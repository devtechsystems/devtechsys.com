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225" codeName="{EAAD5824-E589-9196-6FC8-2F1B51211585}"/>
  <workbookPr filterPrivacy="1" codeName="ThisWorkbook" autoCompressPictures="0"/>
  <bookViews>
    <workbookView xWindow="31680" yWindow="1340" windowWidth="28300" windowHeight="18220"/>
  </bookViews>
  <sheets>
    <sheet name="MASTER" sheetId="1" r:id="rId1"/>
    <sheet name="DEC" sheetId="9" r:id="rId2"/>
    <sheet name="Gender TDYs" sheetId="10" r:id="rId3"/>
  </sheets>
  <definedNames>
    <definedName name="_xlnm._FilterDatabase" localSheetId="0" hidden="1">MASTER!$A$1:$W$183</definedName>
    <definedName name="OLE_LINK1" localSheetId="0">MASTER!#REF!</definedName>
    <definedName name="_xlnm.Print_Area" localSheetId="1">DEC!$E$5:$G$853</definedName>
    <definedName name="_xlnm.Print_Area" localSheetId="0">MASTER!#REF!</definedName>
    <definedName name="_xlnm.Print_Titles" localSheetId="0">MASTER!$1:$1</definedName>
  </definedNames>
  <calcPr calcId="140001" concurrentCalc="0"/>
  <fileRecoveryPr autoRecover="0"/>
  <extLst>
    <ext xmlns:mx="http://schemas.microsoft.com/office/mac/excel/2008/main" uri="{7523E5D3-25F3-A5E0-1632-64F254C22452}">
      <mx:ArchID Flags="2"/>
    </ext>
  </extLst>
</workbook>
</file>

<file path=xl/calcChain.xml><?xml version="1.0" encoding="utf-8"?>
<calcChain xmlns="http://schemas.openxmlformats.org/spreadsheetml/2006/main">
  <c r="E11" i="9" l="1"/>
  <c r="E14" i="9"/>
  <c r="E17" i="9"/>
  <c r="E20" i="9"/>
  <c r="E23" i="9"/>
  <c r="E26" i="9"/>
  <c r="E29" i="9"/>
  <c r="E32" i="9"/>
  <c r="E35" i="9"/>
  <c r="E38" i="9"/>
  <c r="E41" i="9"/>
  <c r="E44" i="9"/>
  <c r="E47" i="9"/>
  <c r="E50" i="9"/>
  <c r="E53" i="9"/>
  <c r="E56" i="9"/>
  <c r="E59" i="9"/>
  <c r="E62" i="9"/>
  <c r="E65" i="9"/>
  <c r="E68" i="9"/>
  <c r="E71" i="9"/>
  <c r="E74" i="9"/>
  <c r="E77" i="9"/>
  <c r="E80" i="9"/>
  <c r="E83" i="9"/>
  <c r="E86" i="9"/>
  <c r="E89" i="9"/>
  <c r="E92" i="9"/>
  <c r="E95" i="9"/>
  <c r="E98" i="9"/>
  <c r="E101" i="9"/>
  <c r="E104" i="9"/>
  <c r="E107" i="9"/>
  <c r="E110" i="9"/>
  <c r="E113" i="9"/>
  <c r="E116" i="9"/>
  <c r="E119" i="9"/>
  <c r="E122" i="9"/>
  <c r="E125" i="9"/>
  <c r="E128" i="9"/>
  <c r="E131" i="9"/>
  <c r="E134" i="9"/>
  <c r="E137" i="9"/>
  <c r="E140" i="9"/>
  <c r="E143" i="9"/>
  <c r="E146" i="9"/>
  <c r="E149" i="9"/>
  <c r="E152" i="9"/>
  <c r="E155" i="9"/>
  <c r="E158" i="9"/>
  <c r="E161" i="9"/>
  <c r="E164" i="9"/>
  <c r="E167" i="9"/>
  <c r="E170" i="9"/>
  <c r="E173" i="9"/>
  <c r="E176" i="9"/>
  <c r="E179" i="9"/>
  <c r="E182" i="9"/>
  <c r="E185" i="9"/>
  <c r="E188" i="9"/>
  <c r="E191" i="9"/>
  <c r="E194" i="9"/>
  <c r="E197" i="9"/>
  <c r="E200" i="9"/>
  <c r="E203" i="9"/>
  <c r="E206" i="9"/>
  <c r="E209" i="9"/>
  <c r="E212" i="9"/>
  <c r="E215" i="9"/>
  <c r="E218" i="9"/>
  <c r="E221" i="9"/>
  <c r="E224" i="9"/>
  <c r="E227" i="9"/>
  <c r="E230" i="9"/>
  <c r="E233" i="9"/>
  <c r="E236" i="9"/>
  <c r="E239" i="9"/>
  <c r="E242" i="9"/>
  <c r="E245" i="9"/>
  <c r="E248" i="9"/>
  <c r="E251" i="9"/>
  <c r="E254" i="9"/>
  <c r="E257" i="9"/>
  <c r="E260" i="9"/>
  <c r="E263" i="9"/>
  <c r="E266" i="9"/>
  <c r="E269" i="9"/>
  <c r="E272" i="9"/>
  <c r="E275" i="9"/>
  <c r="E278" i="9"/>
  <c r="E281" i="9"/>
  <c r="E284" i="9"/>
  <c r="E287" i="9"/>
  <c r="E290" i="9"/>
  <c r="E293" i="9"/>
  <c r="E296" i="9"/>
  <c r="E299" i="9"/>
  <c r="E302" i="9"/>
  <c r="E305" i="9"/>
  <c r="E308" i="9"/>
  <c r="E311" i="9"/>
  <c r="E314" i="9"/>
  <c r="E317" i="9"/>
  <c r="E320" i="9"/>
  <c r="E323" i="9"/>
  <c r="E326" i="9"/>
  <c r="E329" i="9"/>
  <c r="E332" i="9"/>
  <c r="E335" i="9"/>
  <c r="E338" i="9"/>
  <c r="E341" i="9"/>
  <c r="E344" i="9"/>
  <c r="E347" i="9"/>
  <c r="E350" i="9"/>
  <c r="E353" i="9"/>
  <c r="E356" i="9"/>
  <c r="E359" i="9"/>
  <c r="E362" i="9"/>
  <c r="E365" i="9"/>
  <c r="E368" i="9"/>
  <c r="E371" i="9"/>
  <c r="E374" i="9"/>
  <c r="E377" i="9"/>
  <c r="E380" i="9"/>
  <c r="E383" i="9"/>
  <c r="E386" i="9"/>
  <c r="E389" i="9"/>
  <c r="E392" i="9"/>
  <c r="E395" i="9"/>
  <c r="E398" i="9"/>
  <c r="E401" i="9"/>
  <c r="E404" i="9"/>
  <c r="E407" i="9"/>
  <c r="E410" i="9"/>
  <c r="E413" i="9"/>
  <c r="E416" i="9"/>
  <c r="E419" i="9"/>
  <c r="E422" i="9"/>
  <c r="E425" i="9"/>
  <c r="E428" i="9"/>
  <c r="E431" i="9"/>
  <c r="E434" i="9"/>
  <c r="E437" i="9"/>
  <c r="E440" i="9"/>
  <c r="E443" i="9"/>
  <c r="E446" i="9"/>
  <c r="E449" i="9"/>
  <c r="E452" i="9"/>
  <c r="E455" i="9"/>
  <c r="E458" i="9"/>
  <c r="E461" i="9"/>
  <c r="E464" i="9"/>
  <c r="E467" i="9"/>
  <c r="E470" i="9"/>
  <c r="E473" i="9"/>
  <c r="E476" i="9"/>
  <c r="E479" i="9"/>
  <c r="E482" i="9"/>
  <c r="E485" i="9"/>
  <c r="E488" i="9"/>
  <c r="E491" i="9"/>
  <c r="E494" i="9"/>
  <c r="E497" i="9"/>
  <c r="E500" i="9"/>
  <c r="E503" i="9"/>
  <c r="E506" i="9"/>
  <c r="E509" i="9"/>
  <c r="E512" i="9"/>
  <c r="E515" i="9"/>
  <c r="E518" i="9"/>
  <c r="E521" i="9"/>
  <c r="E524" i="9"/>
  <c r="E527" i="9"/>
  <c r="E530" i="9"/>
  <c r="E533" i="9"/>
  <c r="E536" i="9"/>
  <c r="E539" i="9"/>
  <c r="E542" i="9"/>
  <c r="E545" i="9"/>
  <c r="E548" i="9"/>
  <c r="E551" i="9"/>
  <c r="E554" i="9"/>
  <c r="E557" i="9"/>
  <c r="E560" i="9"/>
  <c r="E563" i="9"/>
  <c r="E566" i="9"/>
  <c r="E569" i="9"/>
  <c r="E572" i="9"/>
  <c r="E575" i="9"/>
  <c r="E578" i="9"/>
  <c r="E581" i="9"/>
  <c r="E584" i="9"/>
  <c r="E587" i="9"/>
  <c r="E590" i="9"/>
  <c r="E593" i="9"/>
  <c r="E596" i="9"/>
  <c r="E599" i="9"/>
  <c r="E602" i="9"/>
  <c r="E605" i="9"/>
  <c r="E608" i="9"/>
  <c r="E611" i="9"/>
  <c r="E614" i="9"/>
  <c r="E617" i="9"/>
  <c r="E620" i="9"/>
  <c r="E623" i="9"/>
  <c r="E626" i="9"/>
  <c r="E629" i="9"/>
  <c r="E632" i="9"/>
  <c r="E635" i="9"/>
  <c r="E638" i="9"/>
  <c r="E641" i="9"/>
  <c r="E644" i="9"/>
  <c r="E647" i="9"/>
  <c r="E650" i="9"/>
  <c r="E653" i="9"/>
  <c r="E656" i="9"/>
  <c r="E659" i="9"/>
  <c r="E662" i="9"/>
  <c r="E665" i="9"/>
  <c r="E668" i="9"/>
  <c r="E671" i="9"/>
  <c r="E674" i="9"/>
  <c r="E677" i="9"/>
  <c r="E680" i="9"/>
  <c r="E683" i="9"/>
  <c r="E686" i="9"/>
  <c r="E689" i="9"/>
  <c r="E692" i="9"/>
  <c r="E695" i="9"/>
  <c r="E698" i="9"/>
  <c r="E701" i="9"/>
  <c r="E704" i="9"/>
  <c r="E707" i="9"/>
  <c r="E710" i="9"/>
  <c r="E713" i="9"/>
  <c r="E716" i="9"/>
  <c r="E719" i="9"/>
  <c r="E722" i="9"/>
  <c r="E725" i="9"/>
  <c r="E728" i="9"/>
  <c r="E731" i="9"/>
  <c r="E734" i="9"/>
  <c r="E737" i="9"/>
  <c r="E740" i="9"/>
  <c r="E743" i="9"/>
  <c r="E746" i="9"/>
  <c r="E749" i="9"/>
  <c r="E752" i="9"/>
  <c r="E755" i="9"/>
  <c r="E758" i="9"/>
  <c r="E761" i="9"/>
  <c r="E764" i="9"/>
  <c r="E767" i="9"/>
  <c r="E770" i="9"/>
  <c r="E773" i="9"/>
  <c r="E776" i="9"/>
  <c r="E779" i="9"/>
  <c r="E782" i="9"/>
  <c r="E785" i="9"/>
  <c r="E788" i="9"/>
  <c r="E791" i="9"/>
  <c r="E794" i="9"/>
  <c r="E797" i="9"/>
  <c r="E800" i="9"/>
  <c r="E803" i="9"/>
  <c r="E806" i="9"/>
  <c r="E809" i="9"/>
  <c r="E812" i="9"/>
  <c r="E815" i="9"/>
  <c r="E818" i="9"/>
  <c r="E821" i="9"/>
  <c r="E824" i="9"/>
  <c r="E827" i="9"/>
  <c r="E830" i="9"/>
  <c r="E833" i="9"/>
  <c r="E836" i="9"/>
  <c r="E839" i="9"/>
  <c r="E842" i="9"/>
  <c r="E845" i="9"/>
  <c r="E848" i="9"/>
  <c r="E851" i="9"/>
  <c r="E8" i="9"/>
  <c r="E5" i="9"/>
  <c r="G851" i="9"/>
  <c r="G6" i="9"/>
  <c r="G674" i="9"/>
  <c r="G698" i="9"/>
  <c r="G74" i="9"/>
  <c r="G782" i="9"/>
  <c r="G842" i="9"/>
  <c r="G425" i="9"/>
  <c r="G11" i="9"/>
  <c r="G389" i="9"/>
  <c r="G746" i="9"/>
  <c r="G578" i="9"/>
  <c r="G791" i="9"/>
  <c r="G638" i="9"/>
  <c r="G167" i="9"/>
  <c r="G623" i="9"/>
  <c r="G77" i="9"/>
  <c r="G8" i="9"/>
  <c r="G656" i="9"/>
  <c r="G68" i="9"/>
  <c r="G647" i="9"/>
  <c r="G317" i="9"/>
  <c r="G665" i="9"/>
  <c r="G539" i="9"/>
  <c r="G668" i="9"/>
  <c r="G146" i="9"/>
  <c r="G344" i="9"/>
  <c r="G443" i="9"/>
  <c r="G473" i="9"/>
  <c r="G488" i="9"/>
  <c r="G176" i="9"/>
  <c r="G596" i="9"/>
  <c r="G185" i="9"/>
  <c r="G626" i="9"/>
  <c r="G20" i="9"/>
  <c r="G152" i="9"/>
  <c r="G785" i="9"/>
  <c r="G704" i="9"/>
  <c r="G740" i="9"/>
  <c r="G815" i="9"/>
  <c r="G671" i="9"/>
  <c r="G677" i="9"/>
  <c r="G776" i="9"/>
  <c r="G497" i="9"/>
  <c r="G641" i="9"/>
  <c r="G242" i="9"/>
  <c r="G767" i="9"/>
  <c r="G215" i="9"/>
  <c r="G200" i="9"/>
  <c r="G248" i="9"/>
  <c r="G743" i="9"/>
  <c r="G53" i="9"/>
  <c r="G227" i="9"/>
  <c r="G584" i="9"/>
  <c r="G131" i="9"/>
  <c r="G98" i="9"/>
  <c r="G824" i="9"/>
  <c r="G653" i="9"/>
  <c r="G506" i="9"/>
  <c r="G755" i="9"/>
  <c r="G263" i="9"/>
  <c r="G323" i="9"/>
  <c r="G788" i="9"/>
  <c r="G137" i="9"/>
  <c r="G182" i="9"/>
  <c r="G680" i="9"/>
  <c r="G284" i="9"/>
  <c r="G386" i="9"/>
  <c r="G233" i="9"/>
  <c r="G17" i="9"/>
  <c r="G587" i="9"/>
  <c r="G563" i="9"/>
  <c r="G749" i="9"/>
  <c r="G236" i="9"/>
  <c r="G305" i="9"/>
  <c r="G218" i="9"/>
  <c r="G164" i="9"/>
  <c r="G689" i="9"/>
  <c r="G401" i="9"/>
  <c r="G845" i="9"/>
  <c r="G659" i="9"/>
  <c r="G455" i="9"/>
  <c r="G221" i="9"/>
  <c r="G599" i="9"/>
  <c r="G101" i="9"/>
  <c r="G479" i="9"/>
  <c r="G521" i="9"/>
  <c r="G557" i="9"/>
  <c r="G356" i="9"/>
  <c r="G515" i="9"/>
  <c r="G461" i="9"/>
  <c r="G353" i="9"/>
  <c r="G269" i="9"/>
  <c r="G620" i="9"/>
  <c r="G608" i="9"/>
  <c r="G50" i="9"/>
  <c r="G398" i="9"/>
  <c r="G224" i="9"/>
  <c r="G794" i="9"/>
  <c r="G806" i="9"/>
  <c r="G59" i="9"/>
  <c r="G554" i="9"/>
  <c r="G569" i="9"/>
  <c r="G278" i="9"/>
  <c r="G821" i="9"/>
  <c r="G320" i="9"/>
  <c r="G56" i="9"/>
  <c r="G122" i="9"/>
  <c r="G572" i="9"/>
  <c r="G758" i="9"/>
  <c r="G155" i="9"/>
  <c r="G446" i="9"/>
  <c r="G302" i="9"/>
  <c r="G65" i="9"/>
  <c r="G827" i="9"/>
  <c r="G230" i="9"/>
  <c r="G536" i="9"/>
  <c r="G371" i="9"/>
  <c r="G692" i="9"/>
  <c r="G761" i="9"/>
  <c r="G209" i="9"/>
  <c r="G566" i="9"/>
  <c r="G380" i="9"/>
  <c r="G662" i="9"/>
  <c r="G212" i="9"/>
  <c r="G104" i="9"/>
  <c r="G527" i="9"/>
  <c r="G161" i="9"/>
  <c r="G713" i="9"/>
  <c r="G308" i="9"/>
  <c r="G35" i="9"/>
  <c r="G275" i="9"/>
  <c r="G188" i="9"/>
  <c r="G110" i="9"/>
  <c r="G173" i="9"/>
  <c r="G722" i="9"/>
  <c r="G410" i="9"/>
  <c r="G836" i="9"/>
  <c r="G590" i="9"/>
  <c r="G134" i="9"/>
  <c r="G107" i="9"/>
  <c r="G14" i="9"/>
  <c r="G329" i="9"/>
  <c r="G695" i="9"/>
  <c r="G29" i="9"/>
  <c r="G338" i="9"/>
  <c r="G509" i="9"/>
  <c r="G701" i="9"/>
  <c r="G500" i="9"/>
  <c r="G533" i="9"/>
  <c r="G551" i="9"/>
  <c r="G416" i="9"/>
  <c r="G260" i="9"/>
  <c r="G710" i="9"/>
  <c r="G725" i="9"/>
  <c r="G368" i="9"/>
  <c r="G266" i="9"/>
  <c r="G803" i="9"/>
  <c r="G575" i="9"/>
  <c r="G482" i="9"/>
  <c r="G326" i="9"/>
  <c r="G848" i="9"/>
  <c r="G770" i="9"/>
  <c r="G632" i="9"/>
  <c r="G605" i="9"/>
  <c r="G80" i="9"/>
  <c r="G407" i="9"/>
  <c r="G635" i="9"/>
  <c r="G86" i="9"/>
  <c r="G287" i="9"/>
  <c r="G734" i="9"/>
  <c r="G377" i="9"/>
  <c r="G194" i="9"/>
  <c r="G524" i="9"/>
  <c r="G542" i="9"/>
  <c r="G383" i="9"/>
  <c r="G779" i="9"/>
  <c r="G593" i="9"/>
  <c r="G431" i="9"/>
  <c r="G191" i="9"/>
  <c r="G296" i="9"/>
  <c r="G644" i="9"/>
  <c r="G143" i="9"/>
  <c r="G92" i="9"/>
  <c r="G47" i="9"/>
  <c r="G614" i="9"/>
  <c r="G245" i="9"/>
  <c r="G365" i="9"/>
  <c r="G95" i="9"/>
  <c r="G44" i="9"/>
  <c r="G503" i="9"/>
  <c r="G617" i="9"/>
  <c r="G434" i="9"/>
  <c r="G89" i="9"/>
  <c r="G290" i="9"/>
  <c r="G833" i="9"/>
  <c r="G629" i="9"/>
  <c r="G452" i="9"/>
  <c r="G314" i="9"/>
  <c r="G422" i="9"/>
  <c r="G140" i="9"/>
  <c r="G41" i="9"/>
  <c r="G419" i="9"/>
  <c r="G602" i="9"/>
  <c r="G71" i="9"/>
  <c r="G530" i="9"/>
  <c r="G5" i="9"/>
  <c r="G350" i="9"/>
  <c r="G545" i="9"/>
  <c r="G116" i="9"/>
  <c r="G32" i="9"/>
  <c r="G293" i="9"/>
  <c r="G797" i="9"/>
  <c r="G470" i="9"/>
  <c r="G203" i="9"/>
  <c r="G560" i="9"/>
  <c r="G581" i="9"/>
  <c r="G467" i="9"/>
  <c r="G26" i="9"/>
  <c r="G83" i="9"/>
  <c r="G719" i="9"/>
  <c r="G392" i="9"/>
  <c r="G197" i="9"/>
  <c r="G38" i="9"/>
  <c r="G395" i="9"/>
  <c r="G512" i="9"/>
  <c r="G437" i="9"/>
  <c r="G281" i="9"/>
  <c r="G257" i="9"/>
  <c r="G830" i="9"/>
  <c r="G809" i="9"/>
  <c r="G839" i="9"/>
  <c r="G683" i="9"/>
  <c r="G818" i="9"/>
  <c r="G494" i="9"/>
  <c r="G428" i="9"/>
  <c r="G362" i="9"/>
  <c r="G458" i="9"/>
  <c r="G491" i="9"/>
  <c r="G347" i="9"/>
  <c r="G812" i="9"/>
  <c r="G731" i="9"/>
  <c r="G518" i="9"/>
  <c r="G179" i="9"/>
  <c r="G800" i="9"/>
  <c r="G449" i="9"/>
  <c r="G359" i="9"/>
  <c r="G404" i="9"/>
  <c r="G170" i="9"/>
  <c r="G311" i="9"/>
  <c r="G548" i="9"/>
  <c r="G707" i="9"/>
  <c r="G62" i="9"/>
  <c r="G119" i="9"/>
  <c r="G254" i="9"/>
  <c r="G485" i="9"/>
  <c r="G335" i="9"/>
  <c r="G374" i="9"/>
  <c r="G476" i="9"/>
  <c r="G773" i="9"/>
  <c r="G149" i="9"/>
  <c r="G341" i="9"/>
  <c r="G611" i="9"/>
  <c r="G737" i="9"/>
  <c r="G752" i="9"/>
  <c r="G299" i="9"/>
  <c r="G413" i="9"/>
  <c r="G23" i="9"/>
  <c r="G272" i="9"/>
  <c r="G239" i="9"/>
  <c r="G728" i="9"/>
  <c r="G440" i="9"/>
  <c r="G686" i="9"/>
  <c r="G464" i="9"/>
  <c r="G650" i="9"/>
  <c r="G158" i="9"/>
  <c r="G113" i="9"/>
  <c r="G716" i="9"/>
  <c r="G206" i="9"/>
  <c r="G128" i="9"/>
  <c r="G251" i="9"/>
  <c r="G764" i="9"/>
  <c r="G125" i="9"/>
  <c r="G332" i="9"/>
</calcChain>
</file>

<file path=xl/sharedStrings.xml><?xml version="1.0" encoding="utf-8"?>
<sst xmlns="http://schemas.openxmlformats.org/spreadsheetml/2006/main" count="3982" uniqueCount="1838">
  <si>
    <t>Project Title</t>
  </si>
  <si>
    <t xml:space="preserve">  Subcontract Number/Order Number/Grant Number</t>
  </si>
  <si>
    <t>Contract Number</t>
  </si>
  <si>
    <t>Start Year</t>
  </si>
  <si>
    <t>End Year</t>
  </si>
  <si>
    <t>ISO3 Code</t>
  </si>
  <si>
    <t>Region</t>
  </si>
  <si>
    <t>Country</t>
  </si>
  <si>
    <t>Client/ Donor</t>
  </si>
  <si>
    <t>Prime</t>
  </si>
  <si>
    <t>Sub</t>
  </si>
  <si>
    <t>Contract Value USD</t>
  </si>
  <si>
    <t>M&amp;E</t>
  </si>
  <si>
    <t>Education, Gender, and Youth Development</t>
  </si>
  <si>
    <t>Security, Transparency, and Governance</t>
  </si>
  <si>
    <t>Energy and Environment</t>
  </si>
  <si>
    <t>Knowledge Management and Data Analytics</t>
  </si>
  <si>
    <t xml:space="preserve">Public Financial Management and Fiscal Sustainability
</t>
  </si>
  <si>
    <t>Brief Description</t>
  </si>
  <si>
    <t>Link to the document file</t>
  </si>
  <si>
    <t xml:space="preserve">Point of contact </t>
  </si>
  <si>
    <t xml:space="preserve">Email </t>
  </si>
  <si>
    <t>Phone</t>
  </si>
  <si>
    <t>Link</t>
  </si>
  <si>
    <t>Document Title</t>
  </si>
  <si>
    <t>Is Current Project? (true/false)</t>
  </si>
  <si>
    <t>Government Income Policies</t>
  </si>
  <si>
    <t>JOR</t>
  </si>
  <si>
    <t xml:space="preserve">Middle East </t>
  </si>
  <si>
    <t>Jordan</t>
  </si>
  <si>
    <t>World Bank</t>
  </si>
  <si>
    <t>x</t>
  </si>
  <si>
    <t>DevTech participated in an evaluation of the Jordanian fiscal revenues system, examining such issues as equity and efficiency of the tax system, social security, price control, and food subsidies programs. The study also included the impact of tax evasion and avoidance on the fiscal revenue system and an assessment of the effects of tax incentives on the investment activity of the private business sector.</t>
  </si>
  <si>
    <t>No</t>
  </si>
  <si>
    <t>Integrated Rural Development Program</t>
  </si>
  <si>
    <t>MEX</t>
  </si>
  <si>
    <t>Latin America and the Caribbean</t>
  </si>
  <si>
    <t>Mexico</t>
  </si>
  <si>
    <t>As part of a mission to assess project progress, DevTech identified major constraints and formulated recommendations to improve project performance. DevTech assessed the institutional aspects of the project with emphasis on program, budget, and investment activities, and their coordination with Mexican federal and state agencies.</t>
  </si>
  <si>
    <t xml:space="preserve">World Bank office </t>
  </si>
  <si>
    <t xml:space="preserve">speakersbureau@worldbank.org </t>
  </si>
  <si>
    <t>(202) 473-1000</t>
  </si>
  <si>
    <t>Agricultural Credit Project</t>
  </si>
  <si>
    <t>P-4125-ME</t>
  </si>
  <si>
    <t>DevTech participated in a mission to appraise a proposed loan request for agricultural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</si>
  <si>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Financial Management Reform</t>
  </si>
  <si>
    <t>JAM</t>
  </si>
  <si>
    <t xml:space="preserve">Latin America and the Caribbean </t>
  </si>
  <si>
    <t>Jamaica</t>
  </si>
  <si>
    <t>Government of Jamaica</t>
  </si>
  <si>
    <t>Under a World Bank Technical Assistance Loan for structural adjustment, DevTech provided expert services to the government of Jamaica through the auspices of the Administrative Reform Programme to assist in the improvement and automation of accounting and financial management systems throughout government operations. DevTech was directly involved in carrying out reorganization and development plans for major divisions of the Ministry of Finance and Planning.</t>
  </si>
  <si>
    <t>The Auditor General's Department /  Rudolph Irvine</t>
  </si>
  <si>
    <t>audgen@auditorgeneral.gov.jm</t>
  </si>
  <si>
    <t xml:space="preserve">1-876-926-8309 </t>
  </si>
  <si>
    <t>Latin America and the Caribbean Institute for Industrial Research Technology</t>
  </si>
  <si>
    <t>596-0089-O-00-5206-00</t>
  </si>
  <si>
    <t>Guatemala</t>
  </si>
  <si>
    <t>USAID</t>
  </si>
  <si>
    <t>ROCAP</t>
  </si>
  <si>
    <t>DevTech conducted an analysis of the internal financial and personnel management systems of ICAITI and made recommendations to improve their effectiveness. The institutional review included the historical, current, and projected balance sheet and cash flow statements to determine the long-term viability of the institution; the management structure, personnel policies, and employee benefits package; and internal financial practices.</t>
  </si>
  <si>
    <t>Office Information/ Reynold Bloom</t>
  </si>
  <si>
    <t>eads@usaid.gov</t>
  </si>
  <si>
    <t>(202) 712-4810</t>
  </si>
  <si>
    <t>Latin America and the Caribbean Institute of Business Administration (INCAE)</t>
  </si>
  <si>
    <t>596-0000-0-00-5293-00</t>
  </si>
  <si>
    <t>COS</t>
  </si>
  <si>
    <t>Costa Rica</t>
  </si>
  <si>
    <t>DevTech evaluated the curriculum and course content of a master's degree program in business economics to be offered in September 1986 to Latin America and the Caribbean students. DevTech performed a two-pronged demand analysis of the program to determine the level of interest in neighboring countries and their students, as well as the potential demand for graduates of the program.</t>
  </si>
  <si>
    <t xml:space="preserve">Office Information/ Reynold Bloom </t>
  </si>
  <si>
    <t>Radio Education in the Dominican Republic</t>
  </si>
  <si>
    <t>DPE-5807-6-00-1406-00</t>
  </si>
  <si>
    <t>DOM</t>
  </si>
  <si>
    <t>Dominican Republic</t>
  </si>
  <si>
    <t>USAID/Washington</t>
  </si>
  <si>
    <t>InterAmer. Res. Assocs</t>
  </si>
  <si>
    <t>DevTech conducted a cost simulation study of the replication and expansion of a USAID/Dominican Republic-sponsored primary education project. The analysis involved collection of field data on current operations and formulation of a quantitative model to project recurrent costs under several assumed scenarios.</t>
  </si>
  <si>
    <t>Office / Beatriz Andrews</t>
  </si>
  <si>
    <t>Economic Assessment, Center for the Administration of Justice in Latin America</t>
  </si>
  <si>
    <t>FIU 0013404</t>
  </si>
  <si>
    <t>FIU</t>
  </si>
  <si>
    <t>DevTech provided technical assistance in support of the design and development of the automated national financial management systems.</t>
  </si>
  <si>
    <t>Office / Luis Salas</t>
  </si>
  <si>
    <t xml:space="preserve"> (305) 940-5978</t>
  </si>
  <si>
    <t>Impact of Technical Assistance on Small Business Development</t>
  </si>
  <si>
    <t>518-6-230-L</t>
  </si>
  <si>
    <t>ECU</t>
  </si>
  <si>
    <t>Ecuador</t>
  </si>
  <si>
    <t>As part of an evaluation of the Small Business Development Project in Ecuador, DevTech conducted a study that consisted of gathering evidence of the impact of international technical assistance interventions on the economic development and employment generation role of small industrial enterprises.</t>
  </si>
  <si>
    <t>Office/ James Finucane</t>
  </si>
  <si>
    <t>Internal Efficiency of the Judiciary System</t>
  </si>
  <si>
    <t>SLV</t>
  </si>
  <si>
    <t xml:space="preserve">El Salvador </t>
  </si>
  <si>
    <t>DevTech designed the terms of reference of a technical assistance project for improving the administration of justice in El Salvador. The main focus of the project was to examine strategic alternatives for improving internal efficiency and resource utilization.</t>
  </si>
  <si>
    <t>office</t>
  </si>
  <si>
    <t>Justice Administration and Legal Systems</t>
  </si>
  <si>
    <t>Panama</t>
  </si>
  <si>
    <t>DevTech conducted a macro- and microeconomic study of the legal system of Panama, with special emphasis on the administration of justice. This pioneering research, performed under USAID/Washington sponsorship, involved analysis of the costs and financing of the justice sector, an assessment of the internal efficiency of the system, and studies of the markets for legal services, labor markets of lawyers, and the impact of the legal system on the economy.</t>
  </si>
  <si>
    <t>National Development Foundation</t>
  </si>
  <si>
    <t>DevTech carried out a study to analyze the direct lending operations of the National Development Foundation/Jamaica. The project involved an assessment of the functions and operations of the Board of Directors, a study of the feasibility of using guarantee scheme programs for microenterprise lending in Jamaica, a management audit of the foundation, and an assessment of the long-term viability of the institution. It also required specific appraisals of counseling and training programs, lending operations, management information systems, and the overall impact of social and economic factors on the effectiveness of the institution's operations.</t>
  </si>
  <si>
    <t xml:space="preserve"> NDFJ Office</t>
  </si>
  <si>
    <t>ndfjinfo@ndfj.org.jm</t>
  </si>
  <si>
    <t xml:space="preserve">(876) 929-4100 </t>
  </si>
  <si>
    <t>Health Care and Social Security</t>
  </si>
  <si>
    <t>C87035</t>
  </si>
  <si>
    <t xml:space="preserve">World Bank </t>
  </si>
  <si>
    <t>As part of a World Bank Technical Assistance Loan for structural adjustment, DevTech assessed various aspects of the public health care system and the pension regimes of Costa Rica. DevTech evaluated the internal efficiency of the health care system, its long-term economic and financial viability, alternatives for improving outpatient services, and the integration of preventive and curative services. One of the objectives was to study the possibility of increasing the role of preventive rather than curative services to reduce the overall costs of the national health care system. The project included formulation of a quantitative model of health planning aimed at simulating and projecting future resource needs (derived from epidemiological transitions and improvements in managerial conditions). DevTech's team of consultants for this aspect of the project included experts in macroeconomics and microeconomics, sociology, public health, epidemiology, institutional analysis, and statistical and quantitative analysis. In the area of social security, DevTech examined the financial viability of the various pension regimes, their impact on the national budget, the feasibility of integrating them, and political alternatives aimed at lessening the fiscal burden the country was facing.</t>
  </si>
  <si>
    <t>Gilberto Flores / Freddy Justiniano Coordinator del Program</t>
  </si>
  <si>
    <t>freddy.justiniano@undp.org</t>
  </si>
  <si>
    <t xml:space="preserve"> (212) 906-5404</t>
  </si>
  <si>
    <t>Organizational Development, Ministry of Commerce &amp; Industry</t>
  </si>
  <si>
    <t>525-0189-C-00-7010-00</t>
  </si>
  <si>
    <t>PAN</t>
  </si>
  <si>
    <t xml:space="preserve">DevTech provided technical assistance in economic analysis and organizational development. The project consisted of redefining the strategic mission of the Ministry so it could enhance its role as a promoter and facilitator of private-sector development. The analysis included a wide range of sectoral activities of the ministry, including capital markets, financial enterprises, the insurance industry, fisheries, mineral resources, domestic and international trade, patent and brand registration, and the definition of industry standards.
The project also analyzed general economic conditions that affect the development of the private sector, especially labor markets, market imperfections in the transportation industry, the legal system, and the body of laws regarding property rights and the security of contractual relations. In addition, DevTech provided technical assistance in the design of management information systems and budgeting procedures.
</t>
  </si>
  <si>
    <t>Office / Ralph Lewis</t>
  </si>
  <si>
    <t xml:space="preserve">Primary and Secondary Education </t>
  </si>
  <si>
    <t>COS-86-R01</t>
  </si>
  <si>
    <t>Under a World Bank Technical Assistance Loan for structural adjustment, DevTech conducted a comprehensive study (in Spanish) of Costa Rica's general education system. DevTech's multi-disciplinary team included experts in economics, educational administration, anthropology, financial management, and distance education. This team assessed the following facets of education's role in economic development: internal efficiency of the primary and secondary education system; quality of instruction; curriculum content; community participation; future demand for educational services and long-term trends of educational costs and financing; and the feasibility of educational television for improving teaching methods.</t>
  </si>
  <si>
    <t>Investment Planning</t>
  </si>
  <si>
    <t>C88127</t>
  </si>
  <si>
    <t>Under a World Bank Technical Assistance Loan, DevTech conducted a technical assistance project to strengthen the investment planning and project appraisal capabilities of the Costa Rican public sector. The project included a critical review of current investment planning practices and formulation of an improvement strategy, a series of lectures and workshops to train government personnel in project preparation and cost-benefit analysis, and the development of computer applications for investment planning.</t>
  </si>
  <si>
    <t>Manufacturing Enterprise Development</t>
  </si>
  <si>
    <t xml:space="preserve">N68546
</t>
  </si>
  <si>
    <t>DevTech analyzed manufacturing enterprise growth and development of manufacturing enterprises in Ecuador. The purpose of the analysis was to identify growth and development constraints, such as access to finance and technology of different types of enterprises, evaluate the impact of economic policies and general economic conditions (e.g., trade and credit policies, labor markets, legal systems) on enterprise development, suggest needed reforms, and indicate credit requirements.</t>
  </si>
  <si>
    <t xml:space="preserve">Ines Garcia Thoumi </t>
  </si>
  <si>
    <t>igarciathoumi@worldbank.org</t>
  </si>
  <si>
    <t>(202) 473-0098</t>
  </si>
  <si>
    <t xml:space="preserve">Agricultural Credit </t>
  </si>
  <si>
    <t>LOAN 1891-ME</t>
  </si>
  <si>
    <t>DevTech participated in the preparation of a project on rural credit in Mexico. DevTech's role was to assess the financial viability of the Mexican Agricultural Trust Funds by making a thorough review of the institution's structure, operations, and financial situation. Additionally, DevTech prepared the Project Completion Report for the Eighth and Interim Agricultural Credit Projects on behalf of the World Bank.</t>
  </si>
  <si>
    <t xml:space="preserve">Graciela Lituma </t>
  </si>
  <si>
    <t>glituma@worldbank.org</t>
  </si>
  <si>
    <t>(202) 473-1892
(202) 473-6189</t>
  </si>
  <si>
    <t>Basic Education - El Salvador</t>
  </si>
  <si>
    <t>LAC-0000-C-00-6074-00</t>
  </si>
  <si>
    <t>State University of New York</t>
  </si>
  <si>
    <t>DevTech carried out an evaluation of the cost and financing of basic education in El Salvador and its implications for long-term educational development strategies and policies. Special attention was given to the resource-allocation and decision-making systems and their effectiveness in educational management; the relationship between teachers' salaries and the quality of basic education; and the alternatives to improve the management of education via decentralization.</t>
  </si>
  <si>
    <t>Beverly Jones / Rosamund Mische John</t>
  </si>
  <si>
    <t xml:space="preserve">rjohn@aed.org </t>
  </si>
  <si>
    <t>202-884-8978</t>
  </si>
  <si>
    <t>Economics of basic education in El Salvador </t>
  </si>
  <si>
    <t>Economics of Basic Education in El Salvador</t>
  </si>
  <si>
    <t>Economic Aspects of Legislative Processes</t>
  </si>
  <si>
    <t>R44082</t>
  </si>
  <si>
    <t>DevTech prepared the economic analysis of a project paper under preparation by USAID's Office of Democratic Initiative. The study addressed the legislative activities that have important economic aspects such as taxation, government budgets, regulatory law, social security, labor codes, and international agreements.</t>
  </si>
  <si>
    <t xml:space="preserve">Office Information/ James Heaphey
</t>
  </si>
  <si>
    <t>ugadmissions@albany.edu</t>
  </si>
  <si>
    <t>(518) 442-5435</t>
  </si>
  <si>
    <t>Economic Consequences of a Catastrophic Earthquake</t>
  </si>
  <si>
    <t>EMW-89-C-3028</t>
  </si>
  <si>
    <t>USA</t>
  </si>
  <si>
    <t xml:space="preserve">North America </t>
  </si>
  <si>
    <t>Federal Emergency Management Agency</t>
  </si>
  <si>
    <t>Jane Bullock</t>
  </si>
  <si>
    <t>jane.bullock@fema.gov</t>
  </si>
  <si>
    <t xml:space="preserve"> (202) 862-1900</t>
  </si>
  <si>
    <t>National Defense Executive Reserve</t>
  </si>
  <si>
    <t>EMW-89-C-3219</t>
  </si>
  <si>
    <t>North America</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</si>
  <si>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DevTech's responsibility was to assist FEMA in planning for and executing a successful conference. DevTech adapted the conference preparations and planning to absorb the involvement of conference participants in Operation Desert Storm.</t>
  </si>
  <si>
    <t xml:space="preserve">Jane Bullock </t>
  </si>
  <si>
    <t>(202) 646-2800</t>
  </si>
  <si>
    <t>Natural and Technological Hazards</t>
  </si>
  <si>
    <t>EMW-89-C-4246</t>
  </si>
  <si>
    <t>DevTech provided technical, management, and administrative support on activities related to emergency management, including planning for, mitigating, and responding to a wide range of emergencies such as earthquakes, hurricanes, and floods. DevTech's technical support entailed research into relevant public policy and studies of the economic consequences of disasters. Other support required DevTech to establish a resources database, participate in the design and execution of public information programs, and organize and conduct conferences and other events where information about hazard mitigation and response is transferred.</t>
  </si>
  <si>
    <t>Public-Sector Investment Planning</t>
  </si>
  <si>
    <t>ATN/SF-3373-VE</t>
  </si>
  <si>
    <t>VEN</t>
  </si>
  <si>
    <t>Venezuela</t>
  </si>
  <si>
    <t>Inter-American Development Bank</t>
  </si>
  <si>
    <t>DevTech consultants conducted a critical review of the investment process in the Venezuelan public sector (central government and public enterprises) and developed a strategy to improve the different phases of the process. The review included the design and evaluation of projects, the preparation of national investment plans, the monitoring and control of investment execution, and the post-completion evaluation of projects. Special attention was given to reinforcing economic analysis capabilities at the public-sector level.</t>
  </si>
  <si>
    <t xml:space="preserve">Office / Nancy Baquero </t>
  </si>
  <si>
    <t>iicmail@iadb.org</t>
  </si>
  <si>
    <t xml:space="preserve">(202) 623-1000  </t>
  </si>
  <si>
    <t>Radio Education - Ecuador</t>
  </si>
  <si>
    <t>518-0080</t>
  </si>
  <si>
    <t>EDC</t>
  </si>
  <si>
    <t>DevTech carried out an economic analysis of the feasibility of a radio education project applied to primary education in Ecuador. The effort included the construction of a quantitative simulation model to assess costs under various organizational designs.</t>
  </si>
  <si>
    <t>Office / Thomas Tilson</t>
  </si>
  <si>
    <t>contact@edc.org</t>
  </si>
  <si>
    <t xml:space="preserve">  (617) 969-7100</t>
  </si>
  <si>
    <t>http://pdf.usaid.gov/pdf_docs/pdabb998.pdf</t>
  </si>
  <si>
    <t>Radio Learning</t>
  </si>
  <si>
    <t>SECPLAN Financial Accounting</t>
  </si>
  <si>
    <t>522-0325-C-00-0015-00</t>
  </si>
  <si>
    <t>HND</t>
  </si>
  <si>
    <t>Honduras</t>
  </si>
  <si>
    <t>DevTech carried out a diagnosis of the Honduran financial accounting system and recommended a strategy and implementation plan to standardize accounts and improve the manner in which information for those accounts is collected, maintained, and used. This effort included a definition of the roles of the various entities within SECPLAN (Planning Ministry), MHYCP (Ministry of Finance and Public Credit), and BCH (Central Bank of Honduras) with regards to the budgetary process and the requirements of each institution in terms of timely and useful consolidated financial information. A two-person team performed the diagnosis and analysis on-site in Honduras and produced a report that included an implementation plan for technical assistance.</t>
  </si>
  <si>
    <t>Vicente Diaz/ Hjordis Bierman</t>
  </si>
  <si>
    <t xml:space="preserve">vidiaquez@usaid.gov.
</t>
  </si>
  <si>
    <t xml:space="preserve"> (504) 236-9320</t>
  </si>
  <si>
    <t>http://pdf.usaid.gov/pdf_docs/pdabd729.pdf</t>
  </si>
  <si>
    <t>Project to improve the financial accounts of the non-financial public sector</t>
  </si>
  <si>
    <t>U.S. National Defense Executive Reserve</t>
  </si>
  <si>
    <t>DevTech was contracted to provide technical and logistical support for the National Defense Executive Reserve Conference held in February 1991. The purpose of the program was to enhance the readiness of reservists who were civilian professionals involved in sectors such as agriculture, business and industry, education, energy, labor, management, and transportation. </t>
  </si>
  <si>
    <t>Education Sector Concept Paper</t>
  </si>
  <si>
    <t>LAC-0032-C-00-9036-00</t>
  </si>
  <si>
    <t>DevTech prepared a concept paper that critically reviewed the educational climate in six countries in the Latin America/Caribbean region (Costa Rica, the Dominican Republic, El Salvador, Guatemala, Honduras, and Panama). The paper's central thesis was that a crisis existed in the educational systems of the countries of the region that adversely affected the human resource endowment of the societies. This phenomenon, comparable in terms of economic consequences to the destruction of the rain forest, had far-reaching implications for the economic and social development prospects of the region. In its discussion of the educational crisis, the paper addressed financial constraints, the dilemma of quality versus coverage, and dependence on external financial resources. Reform was suggested on the following fronts: priority of educational policy, institutional reform of education ministries, improved teacher salaries, decentralized administrative functions, and increased effectiveness and sustainability of international assistance.</t>
  </si>
  <si>
    <t>(202) 862-1972 / 202-884-8978</t>
  </si>
  <si>
    <t>Educational crisis in Latin America : the financial constraint and the dilemma of quality versus coverage </t>
  </si>
  <si>
    <t>Educational Crisis in Latin America: the Financial Constraint and the dilemna of quality versus coverage</t>
  </si>
  <si>
    <t>Asia</t>
  </si>
  <si>
    <t xml:space="preserve">Asia </t>
  </si>
  <si>
    <t>Immediate Recovery Project</t>
  </si>
  <si>
    <t>525-0302-C-00-0539-00</t>
  </si>
  <si>
    <t>DevTech provided technical assistance to the government of Panama under its Immediate Recovery Project to initiate the restructuring of public institutions to promote the confidence, security, and continuity necessary for democratic processes and economic reactivation. DevTech's role was to assist the Panamanian government in developing and beginning implementation of the economic and financial policy reforms that would allow for a new, sustainable growth strategy. DevTech fielded two resident core advisors, in addition to a wide variety of short-term technical assistance experts, to provide strategic advice in such fields as privatization, social security, debt restructuring, housing, fuel production and consumption, investment and export strategies, health, and agriculture.</t>
  </si>
  <si>
    <t xml:space="preserve">Mileydi Guilarte / Mary Ott </t>
  </si>
  <si>
    <t xml:space="preserve"> mguilarte@usaid.gov</t>
  </si>
  <si>
    <t xml:space="preserve"> 011 (503) 2501-2999 / (503) 2-98-1666</t>
  </si>
  <si>
    <t>http://pdf.usaid.gov/pdf_docs/pdabb803.pdf</t>
  </si>
  <si>
    <t>Macroeconomic Simulation Model</t>
  </si>
  <si>
    <t>519-0177-C-00-0314-00</t>
  </si>
  <si>
    <t>Within the context of a government-wide program of structural reforms, DevTech evaluated the feasibility of developing and installing a dynamic macroeconomic simulation model of the Salvadoran economy. The model was designed to strengthen USAID/El Salvador's ability to evaluate the distributional implications of economic policy alternatives and make recommendations in support of economic stabilization and preparation for medium-term growth and development.</t>
  </si>
  <si>
    <t xml:space="preserve">Judd Harriott / Mileydi Guilarte </t>
  </si>
  <si>
    <t>mguilarte@usaid.gov</t>
  </si>
  <si>
    <t xml:space="preserve">  011 (503) 2501-2999 / (503) 2 98-1666</t>
  </si>
  <si>
    <t>Panama's petroleum sector : recommendations for reform </t>
  </si>
  <si>
    <t>Radio Education in Honduras</t>
  </si>
  <si>
    <t>DPE-5818-C-00-5059-00</t>
  </si>
  <si>
    <t>DevTech evaluated development and recurrent costs for the Radio Mathematics Learning Project "La Familia de los Números" in Honduras. Cost data were collected and analyzed for the program's initial four years to provide the basis for projecting three years of costs under different staffing and program content assumptions. Future cost-effectiveness ratios were calculated on the basis of these projections.</t>
  </si>
  <si>
    <t>Social Profitability of Investment in the Education Sector</t>
  </si>
  <si>
    <t>519-0168-C-00-0287</t>
  </si>
  <si>
    <t>Rosamund Mische John / Marcia Ellis (AED)</t>
  </si>
  <si>
    <t xml:space="preserve"> (202) 862-1900 /202-884-8978</t>
  </si>
  <si>
    <t>Technical Assistance to Environmental Division of the Office of Project Development, ANE Bureau Quarterly Progress Report</t>
  </si>
  <si>
    <t>ANE-0178-C-00-0041-00</t>
  </si>
  <si>
    <t xml:space="preserve">Europe and Eurasia
</t>
  </si>
  <si>
    <t>Europe and Eurasia</t>
  </si>
  <si>
    <t xml:space="preserve">Ron Greenberg </t>
  </si>
  <si>
    <t>(202) 647-7315</t>
  </si>
  <si>
    <t>http://pdf.usaid.gov/pdf_docs/pdabe658.pdf</t>
  </si>
  <si>
    <t>Economic Policy Development Support</t>
  </si>
  <si>
    <t>525-0313-C-00-1342-00</t>
  </si>
  <si>
    <t>As a follow-up to the Immediate Recovery Project in Panama (USAID 1990-1991), DevTech provided long-term support to the Ministry of Planning and Economic Policy (MIPPE). This assistance was divided into two components.
The first component involved provision of a long-term, resident senior macroeconomic advisor to MIPPE for policy reform and implementation. This macroeconomist advised on liberalization policies, assisted the government with restoring access to assistance from international financial institutions, and reviewed macroeconomic projections and general economic and business conditions in light of targets of the economic program.
The second component of the project called for short-term technical assistance in specific areas to facilitate the implementation of the economic program. Illustrative short-term technical assistance tasks included:
Financial equilibrium in social security pension plans;
Budget policy and administration;
Reduction and eventual elimination of barriers to free trade;
Privatization;
Elimination of price controls;
Cost analysis of health care services delivered by the government; and
Public-sector investment planning.
This project also continued the public education program to raise the level of economic understanding in support of policy reform initiated during the Immediate Recovery Project.
Task #01: External Debt Assistance
Task #02: Price Survey
Task #03: Support to the Implementation of the Economic Program, Agriculture Sector
Task #04: Health Study—Separation of Costs
Task #05: Actuarial Protection of Old Age and Handicapped
Task #06: Discussion at the World Bank in Washington, D.C.
Task #07: Price Regulation
Task #08: Banco Hipotecario Nacional (BHN) Study
Task #09: Implementation of the Technical Assistance Program
Task #10: Terms of Reference for a Study on Task #11: Study of the Competitiveness of the Panamanian Dairy Industry
Task #12: Study of the Competitiveness of the Panamanian Sugar Industry
Task #13: Study of the Competitiveness of the Panamanian Tomato Industry
Task #14: Public Sector Pensions
Task #15: Consumer Protection
Task #16: Terms of Reference: Irrigation Study
Task #17: Effective Protection
Task #18: Terms of Reference: BHN – Banco de Desarrollo Agropecuario (BDA)
Task #19: Economic Integration Study (2nd Part)
Task #20: Study of the Agribusiness Industry
Task #21: Support to the Department of Labor and Social Welfare: Study of Labor Codes
Task #22: World Bank Mission
Task #23: Investment Planning Design
Task #24: BDA
Task #25: Preparation of the Public Investments Task
Task #26: Preparation of the BDA Task
Task #27: Preparation of the BHN Task</t>
  </si>
  <si>
    <t xml:space="preserve">Nilka de Varela </t>
  </si>
  <si>
    <t>507-2-636-011 (202) 537-0753</t>
  </si>
  <si>
    <t>Improving Public Sector Financial Accounts</t>
  </si>
  <si>
    <t>DevTech assisted the government of Honduras in a project designed to link accounting systems and procedures to the requirements of macroeconomic classification models and reporting.
The first project component involved system improvements designed to enable the Honduran government to produce a single version of the public sector's consolidated financial accounts. Working with the Vice-Minister of Finance and Public Credit, DevTech identified problems at the consolidation stage, recommended a common methodology, and reviewed the quality and timeliness of financial data flowing through the budgetary and accounting process. For the consolidation portion of the project, the International Monetary Fund methodology was adapted and merged with the existing coding structure for both revenue and expense. The result was a detailed chart of accounts that accommodated both the budgetary and accounting processes for the central government, decentralized agencies, and public enterprises.
In the second element of the project, DevTech performed an in-depth analysis of the accounting systems used by the Treasury, the Accountant General, several public enterprises, the Secretariats of Budget, Public Debt, and Decentralized Agencies, and the Data Processing Center.</t>
  </si>
  <si>
    <t>Vincente Diaz   / Vivian Idiaquez</t>
  </si>
  <si>
    <t>vidiaquez@usaid.gov.</t>
  </si>
  <si>
    <t>(504) 236-9320</t>
  </si>
  <si>
    <t>Project to improve the financial accounts of the non-financial public sector -- Government of Honduras : final report </t>
  </si>
  <si>
    <t>Marketing Short-Term Government Securities</t>
  </si>
  <si>
    <t>EE-92-0132</t>
  </si>
  <si>
    <t>HUN</t>
  </si>
  <si>
    <t>Hungary</t>
  </si>
  <si>
    <t xml:space="preserve">In response to an urgent request by the government of Hungary for assistance to strengthen the national market's acceptance of its financial securities, DevTech dispatched a technical advisory team to Budapest. The DevTech team conducted a broad economic analysis of the problem to determine the causes for poor market reception of government securities. Coordinating closely with U.S. Department of Treasury advisors to the government of Hungary, the DevTech team conferred with high-ranking officials in the Ministry of Finance and other Hungarian government institutions and with leaders of the private banking community and other key private-sector entities. DevTech identified steps that the Hungarian government could take to enhance its capability to sell government securities to the public, analyzed the economic consequences, and recommended strategies for immediate and follow-on interventions.
</t>
  </si>
  <si>
    <t xml:space="preserve">Office /Robert Banque </t>
  </si>
  <si>
    <t xml:space="preserve">inquiries@usmint.treas.gov  </t>
  </si>
  <si>
    <t>(202) 622-2000 / (202) 566-5637</t>
  </si>
  <si>
    <t>National Earthquake Hazards Reduction Program</t>
  </si>
  <si>
    <t>EMW-91-C-3598</t>
  </si>
  <si>
    <t>Integrated Orientation, Follow-on, &amp; Evaluation Program for Participant Training in Egypt</t>
  </si>
  <si>
    <t>263-0102-C-00-2218-00</t>
  </si>
  <si>
    <t>EGY</t>
  </si>
  <si>
    <t>Africa</t>
  </si>
  <si>
    <t>Egypt</t>
  </si>
  <si>
    <t>DevTech conducted a comprehensive review of more than 60 training projects undertaken by USAID/Egypt since the 1970s. The purpose of this project was to determine Mission goals for an integrated orientation, follow-on, and evaluation (OFE) program through interviews with Mission officials; carry out an inventory of all OFE activities implemented in the Mission projects; analyze the status of OFE activities with regard to policy requirements; and assess the needs of the recipients through interviews with returned participants. DevTech also evaluated organizations and institutions working in Egypt to determine their interest in participation, their capacity to effectively participate, and ways various organizations could work together to assist the Mission in carrying out its training objectives.
Based upon the findings, DevTech recommended a five-year implementation plan for an OFE program that appropriately and creatively utilized all available resources, fostered effective networking at a minimum cost, emphasized quality of contacts rather than quantity, and incorporated the specific needs and circumstances of USAID/Egypt.</t>
  </si>
  <si>
    <t xml:space="preserve">Diane Leach (now in Honduras) </t>
  </si>
  <si>
    <t>0dleach@usaid.gov</t>
  </si>
  <si>
    <t>504-236-932</t>
  </si>
  <si>
    <t>Educational crisis in Latin America : the financial constraint and the dilemma of quality versus coverage</t>
  </si>
  <si>
    <t>Book written by Jorge Sanguinetty for the USAID/Bureau for Latin America and the Caribbean, Office of Development Resources, Education and Human Resources Division in 1992.</t>
  </si>
  <si>
    <t xml:space="preserve">Educational crisis in Latin America : the financial constraint and the dilemma of quality versus coverage 
</t>
  </si>
  <si>
    <t>Office of Technological Hazards</t>
  </si>
  <si>
    <t>EMW-92-C-3971</t>
  </si>
  <si>
    <t>Jonathan Hoyes</t>
  </si>
  <si>
    <t>jonathan.hoyes@fema.dhs.gov</t>
  </si>
  <si>
    <t xml:space="preserve"> (202) 646-3610</t>
  </si>
  <si>
    <t>Review of USAID/South Africa Training Program</t>
  </si>
  <si>
    <t>674-92-136</t>
  </si>
  <si>
    <t>ZAF</t>
  </si>
  <si>
    <t xml:space="preserve">Africa </t>
  </si>
  <si>
    <t>South Africa</t>
  </si>
  <si>
    <t>DevTech conducted a comprehensive review of each training project undertaken by USAID/South Africa since its inception in the early 1980s. DevTech made a determination of Mission goals for a follow-on program through interviews with Mission officials; assessed the needs of the recipients through interviews with returned participants; and analyzed the status of follow-on activities with regard to policy requirements. The team evaluated NGOs working in South Africa for the purpose of determining their interest in participation, their capacity to effectively participate, and ways various NGOs could work together to assist the Mission in carrying out its training objectives.
Based upon the findings, DevTech recommended an implementation plan that appropriately and creatively utilized all available resources; fostered effective networking at a minimum cost; emphasized the quality of contacts rather than the quantity; and incorporated the specific needs and circumstances of USAID/South Africa.</t>
  </si>
  <si>
    <t>The Basis of Property Rights &amp; Predatory Behavior in Colombia</t>
  </si>
  <si>
    <t>P308486</t>
  </si>
  <si>
    <t>COL</t>
  </si>
  <si>
    <t>Colombia</t>
  </si>
  <si>
    <t>University of Miami North-South Center</t>
  </si>
  <si>
    <t xml:space="preserve">Mary Uebersax </t>
  </si>
  <si>
    <t>(305) 284-8963</t>
  </si>
  <si>
    <t>Transition Towards Market Economy in Cuba</t>
  </si>
  <si>
    <t>CUB</t>
  </si>
  <si>
    <t>Cuba</t>
  </si>
  <si>
    <t xml:space="preserve">Lisandro Perez </t>
  </si>
  <si>
    <t>crinst@fiu.edu</t>
  </si>
  <si>
    <t>(305) 348-1991</t>
  </si>
  <si>
    <t>Economic and Social Data Services (ESDS)</t>
  </si>
  <si>
    <t>AEP-0001-C-00-5033-00
AEP-0232-C-00-3010-00</t>
  </si>
  <si>
    <t xml:space="preserve">Global </t>
  </si>
  <si>
    <t>Global</t>
  </si>
  <si>
    <t>1,849,896.00 
3,094,135.00</t>
  </si>
  <si>
    <t>The USAID Center for Development Information and Evaluation (CDIE) Economic and Social Data Service project provided a wide range of analytic and technical support services to maintain the Economic and Social Data Base (ESDB) and to sustain ESDS and its corollary work with USAID central and regional Bureaus, and field Missions.
DevTech ESDS economists utilized the latest computer software applications and statistical research techniques to access, exchange, and manipulate large international databases.
ESDS analysts provided demand-driven, analytical services (quantitative research, methodology development, econometric modeling, macroeconomic policy analysis, special socioeconomic studies, and performance monitoring and evaluation efforts) to USAID regional Bureaus.
Further, the ESDS staff provided economic and social data measures and inputs that track country development trends; provided technical support for special Mission projects and initiatives; and served as the Agency focal point for coordinating and harmonizing socioeconomic data from a wide range of sources.</t>
  </si>
  <si>
    <t xml:space="preserve">Lee White </t>
  </si>
  <si>
    <t xml:space="preserve"> lwhite@usaid.gov</t>
  </si>
  <si>
    <t>(202) 712-4696</t>
  </si>
  <si>
    <t>HNE-5832-I-00-3069-00</t>
  </si>
  <si>
    <t>Don Foster-Gross</t>
  </si>
  <si>
    <t>dfoster-gross@usaid.gov</t>
  </si>
  <si>
    <t xml:space="preserve"> 27-12-323-8869 </t>
  </si>
  <si>
    <t>Entrepreneurial Response to Economic Liberalization</t>
  </si>
  <si>
    <t>P354322</t>
  </si>
  <si>
    <t>Lauren Usher</t>
  </si>
  <si>
    <t>lusher@psy.miami.edu</t>
  </si>
  <si>
    <t xml:space="preserve"> (305) 284-4991</t>
  </si>
  <si>
    <t>Environmental Audit Program</t>
  </si>
  <si>
    <t>DE-AC01-94EH89343</t>
  </si>
  <si>
    <t>U.S. Department of Energy</t>
  </si>
  <si>
    <t>The goal of the Environmental Audit program was to provide a continuing program of internal, independent oversight of DOE line management's environmental performance, in support of DOE's broader goal of achieving full compliance with applicable regulations, reduction of environmental risk, and environmental excellence.
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
For each audit, DevTech's administrative team wrote and produced 50-page site handbooks for use by audit team members in preparing for the on-site portion of the audit and writing the report; produced an on-site, 200-page draft report, including compilation of sections by technical specialists, integration of graphics, editing, and coordination of printing; and produced camera-ready final reports incorporating site, technical specialist, and editorial comments for printing by the Government Printing Office.</t>
  </si>
  <si>
    <t xml:space="preserve">Main Switchboard / Andrea Heintzelman </t>
  </si>
  <si>
    <t>The.Secretary@hq.doe.gov</t>
  </si>
  <si>
    <t xml:space="preserve">(202) 586-4769 / 202-586-5000 </t>
  </si>
  <si>
    <t>Women in Development: Strategies and Resources (WIDSR)</t>
  </si>
  <si>
    <t>FAO-0100-C-00-3052-00</t>
  </si>
  <si>
    <t>GBL</t>
  </si>
  <si>
    <t>DevTech supported the Office of Women in Development (WID) in integrating gender concerns throughout the Agency with an interest in developing countries. DevTech assisted the WID office with the following:
Training program design and implementation;
Information dissemination;
Technical support to the Agency's central and regional Bureaus and overseas Missions; and
Response to data collection and analysis requests as needed for Agency WID strategy and policy papers and statistical data.</t>
  </si>
  <si>
    <t xml:space="preserve">Virginia Lambert </t>
  </si>
  <si>
    <t>cate@usaid.gov</t>
  </si>
  <si>
    <t>(202) 712-1524</t>
  </si>
  <si>
    <t>Center for Trade and Investment Services (CTIS)</t>
  </si>
  <si>
    <t>AEP-0232-C-00-4035-00</t>
  </si>
  <si>
    <t>AED</t>
  </si>
  <si>
    <t>The Center for Trade and Investment Services connected U.S. firms and their counterparts in the developing world, fostering economic opportunities and promoting economic development in a timely, reliable, and effective manner.
DevTech's CTIS staff of trade analysts responded to trade and investment inquiries by providing value-added counseling and conduct business research for CTIS clients by collecting and disseminating information through databases, management information systems, meetings, conferences, classes, networking, and travel. They monitored a wide range of information sources within and outside USAID in order to identify critical market intelligence as well as transaction and procurement opportunities for U.S. businesses.</t>
  </si>
  <si>
    <t>Lee White</t>
  </si>
  <si>
    <t>lwhite@usaid.gov</t>
  </si>
  <si>
    <t xml:space="preserve"> (202) 712-4696</t>
  </si>
  <si>
    <t>Environmental and Natural Resources Information System (ENRIS)</t>
  </si>
  <si>
    <t>EUR-0249-C-4050-00</t>
  </si>
  <si>
    <t>In response to the USAID Environment and Natural Resources Division's need for coordination of project information, DevTech provided an Environmental Information Specialist to collect and distribute information about environmental projects and activities in Central and Eastern Europe and the Newly Independent States. Services provided included researching, writing, and distributing a monthly newsletter on current and future projects in the region; generating reports and policy papers; and providing public information and outreach support. DevTech was responsible for establishing and maintaining computer information management systems appropriate to the project and USAID Bureaus and Missions in other countries. Technical support included data collection, distribution, and networking.</t>
  </si>
  <si>
    <t xml:space="preserve">Melody Bacha </t>
  </si>
  <si>
    <t>mbacha@usaid.gov</t>
  </si>
  <si>
    <t xml:space="preserve">(202) 712-4673 </t>
  </si>
  <si>
    <t>Environmental Technology Network for Asia (ETNA)</t>
  </si>
  <si>
    <t>Joe Duncan</t>
  </si>
  <si>
    <t>jduncan@usaid.gov</t>
  </si>
  <si>
    <t xml:space="preserve">1-800-706-5606 </t>
  </si>
  <si>
    <t>T2940090001</t>
  </si>
  <si>
    <t>United States</t>
  </si>
  <si>
    <t>U.S. Department of Education</t>
  </si>
  <si>
    <t>DevTech studied educational services provided under Title VII of the Elementary and Secondary Education Act (ESEA) for the funding of local educational agencies that assist secondary school limited English proficient (LEP) students. DevTech conducted a comprehensive literature review concerning the geographic location and educational and social needs of LEP secondary school students and reviewed the ESEA Title VII-funded grants for schools with 10 or more LEP secondary school students.
In its final report, DevTech provided recommendations based on findings of the study to assist the Department of Education in improving programs and services offered to secondary school LEP students.</t>
  </si>
  <si>
    <t>Mid-Term Evaluation of Primary Education Project (PIPE)</t>
  </si>
  <si>
    <t>A two-person DevTech team was tasked with conducting a formative midterm evaluation of the Primary Education Project in the Dominican Republic to determine the effectiveness of the overall project design and EDUCA's (Action for Basic Education) capabilities and to assist the Mission in making further decisions regarding the project.</t>
  </si>
  <si>
    <t>Trade opportunities computer software [TOCS] : system overview and proposal </t>
  </si>
  <si>
    <t>Component of the Project on Competition, Laws, and Regulations</t>
  </si>
  <si>
    <t>FTC/DOJ</t>
  </si>
  <si>
    <t xml:space="preserve">The U.S. Department of Justice (DOJ) and the Federal Trade Commission (FTC) have provided joint technical assistance to countries in Central and Eastern Europe in the areas of antitrust and consumer protection with the overarching goal of assisting in the transition to and strengthening of free-market economies. DevTech was contracted to analyze the impact of the FTC/DOJ program on the development and refinement of antitrust and consumer protection legislation and the level and quality of guidance provided to local antitrust and consumer protection institutions.
The project involved extensive and intensive data collection through on-site interviews, observations, document analysis, and reviews of existing records and files in Washington, D.C., Lithuania, Poland, Slovakia, and Hungary.
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
  </si>
  <si>
    <t xml:space="preserve">Design of an Evaluation and Performance Measurement System </t>
  </si>
  <si>
    <t>TOS-95-81</t>
  </si>
  <si>
    <t>DevTech responded to a request from the Budget Policy and Management Group of the Department of Treasury, Office of Technical Assistance (IET) to design and implement a system to evaluate and measure the performance of individuals and projects, and the overall progress of the program. </t>
  </si>
  <si>
    <t>Rosa Perry</t>
  </si>
  <si>
    <t>202-622-0797</t>
  </si>
  <si>
    <t>Electronic Communications and Dissemination System (TradeNet)</t>
  </si>
  <si>
    <t>623-047823-A-004092</t>
  </si>
  <si>
    <t>DevTech operated TradeNet, an electronic communications network that was implemented by the Agricultural and Resource Analysis Office of USAID's Africa Bureau. As part of this contract, DevTech established equipment needs for newly designated TradeNet sites, installed required hardware and software at field sites, provided on-site training for individuals who were part of the network, provided hubbing services to TradeNet sites, monitored progress on a monthly basis for traffic across the network, and provided troubleshooting assistance when necessary.</t>
  </si>
  <si>
    <t>Glenn Magagula</t>
  </si>
  <si>
    <t xml:space="preserve"> (268) 84-723</t>
  </si>
  <si>
    <t>Evaluation &amp; Performance Measurement System</t>
  </si>
  <si>
    <t>DevTech designed a system to evaluate and measure the performance of technical assistance programs within Central and Eastern Europe (CEE) countries and the Newly Independent States (NIS) served by the Budget Policy and Management Group of the Department of the Treasury, Office of Technical Assistance (IET). IET provides direct technical assistance to ministries of finance to help CEE and NIS countries move from command to market economies. </t>
  </si>
  <si>
    <t>Victor Miller</t>
  </si>
  <si>
    <t>check.claims@fms.treas.gov</t>
  </si>
  <si>
    <t xml:space="preserve"> (202) 622-0102, fax 622-5879</t>
  </si>
  <si>
    <t>PVO Co-Financing Evaluation</t>
  </si>
  <si>
    <t>524-0313-C-00-5058-00</t>
  </si>
  <si>
    <t>NIC</t>
  </si>
  <si>
    <t>Nicaragua</t>
  </si>
  <si>
    <t>USAID's Private Voluntary Organizations Cofinancing Project in Nicaragua was designed to increase adoption of preventive health and family practices, expand employment opportunities for low-income families, and promote sustainable natural resource management among farmers. DevTech evaluators met with USAID, PVO, and project management unit officials; interviewed a sample of target beneficiaries; reviewed technical assistance interventions; assessed the effects of project implementation; examined priorities and needs of participating PVOs; and recommended ways in which project goals could be realized.</t>
  </si>
  <si>
    <t xml:space="preserve">Frank Valva </t>
  </si>
  <si>
    <t xml:space="preserve"> fvalva@usaid.gov</t>
  </si>
  <si>
    <t>(505-2) 67-0502</t>
  </si>
  <si>
    <t>Final report : mid-term evaluation of the PVO co-financing project USAID/Nicaragua -- contract no. 524-0313-C-00-5058-00 </t>
  </si>
  <si>
    <t>Final report: Mid-term evaluation of the PVO co-financing project USAID/Nicaragua</t>
  </si>
  <si>
    <t>Support for Ugandan Primary Education Reform (SUPER): A Formative Evaluation </t>
  </si>
  <si>
    <t>HNE-5832-I-03-3069-00</t>
  </si>
  <si>
    <t>Uganda</t>
  </si>
  <si>
    <t>DevTech evaluation team highlights its findings based on the formative evaluation - of the Support for Ugandan Primary Education Reform (SUPER), conducted in the spring of 1995. The report includes the team's most important concerns and conclusions, the progress SUPER has made in achieving its purposes and end-of-project status and recommendations.</t>
  </si>
  <si>
    <t>http://pdf.usaid.gov/pdf_docs/PDABP618.pdf</t>
  </si>
  <si>
    <t>Support for Ugandan Primary Education Reform: a Formative Evaluation</t>
  </si>
  <si>
    <t>Basic Education Project Evaluation: Honduras</t>
  </si>
  <si>
    <t xml:space="preserve">HNE-5832-I-07-3069-00 </t>
  </si>
  <si>
    <t>HON</t>
  </si>
  <si>
    <t>Latin American and the Caribbean</t>
  </si>
  <si>
    <t>EVALUATED THE DEGREE TO WHICH THE BASIC EDUCATION PROJECT ACTIVITIES ARE CONTRIBUTING TO PRIMARY EDUCATION</t>
  </si>
  <si>
    <t>South African Basic Education Reconstruction (SABER) Project</t>
  </si>
  <si>
    <t>HNE-5832-I-04-3069-00</t>
  </si>
  <si>
    <t>Evaluation of the South African Basic Education Reconstruction (SABER) Project.</t>
  </si>
  <si>
    <t>Mid-Term Evaluation of the Support to Tertiary Education Project</t>
  </si>
  <si>
    <t>HNE-5832-I-05-3069-00</t>
  </si>
  <si>
    <t>Conducted the Mid-Term Evaluation</t>
  </si>
  <si>
    <t>Tertiary Education Linkages Project (TELP)</t>
  </si>
  <si>
    <t>674-0315-C-00-5143-00</t>
  </si>
  <si>
    <t xml:space="preserve">IRG and ICF International </t>
  </si>
  <si>
    <t>X</t>
  </si>
  <si>
    <t>The Tertiary Education Linkages Project (TELP) provided assistance to the South African National Department of Education and the historically disadvantaged institutions (HDIs) in South Africa to promote equity through increased access to and enhanced quality of education. DevTech provided USAID/SA with technical support to assist in the management of policy analysis and planning, capacity building, and linkages with South Africa's historically disadvantaged majority universities and technikons. DevTech staff were responsible for:
Providing organizational and material support to HDIs and technikons in conducting workshops, training courses, and other implementation activities;
Recruiting, placing, and supervising South African and/or U.S. consultants to assist USAID/SA in the implementation of the project;
Conducting workshops on the preparation of applications for TELP assistance;
Convening the Application Review Panels and the Policy Consultative Forum; and
Ensuring dissemination of project information to participating organizations throughout the tertiary education sector in South Africa.
DevTech also supported HDIs' institutional capacity building efforts by providing financial management training.</t>
  </si>
  <si>
    <t>Jaroslaw Kryschtal</t>
  </si>
  <si>
    <t>rusric@erols.com</t>
  </si>
  <si>
    <t>(27-12) 323-8869</t>
  </si>
  <si>
    <t>Project TELP (tertiary education linkages project) completion report </t>
  </si>
  <si>
    <t>Project TELP (Tertiary Education Linkages Project) Completition report</t>
  </si>
  <si>
    <t>930-0100-C-00-3052-00</t>
  </si>
  <si>
    <t>KEN</t>
  </si>
  <si>
    <t>Kenya</t>
  </si>
  <si>
    <t xml:space="preserve">DevTech carried out an evaluation of attention to gender issues in the design and implementation of the National Agricultural Research Project I1 involves two approaches: an appraisal of attention to gender concerns in the organizational and personnel structure and functions of KARI as an institution; and the incorporation of gender issues in the socio-economic applied research activities designed to increase the effective dissemination of new agricultural  technologies to the farming population. Of these two dimensions of gender issues, the second was treated in more depth. </t>
  </si>
  <si>
    <t>Gender issues and socio-economic research in KARI [Kenya Agricultural Research Institute] : mid-term evaluation of the USAID NARP [national agricultural research project] II </t>
  </si>
  <si>
    <t xml:space="preserve">Gender issues and socio-economic research in KARI [Kenya Agricultural Research Institute] : mid-term evaluation of the USAID NARP [national agricultural research </t>
  </si>
  <si>
    <t xml:space="preserve">Europe and Eurasia </t>
  </si>
  <si>
    <t>Business resource guide for the New Independent States of the former Soviet Union </t>
  </si>
  <si>
    <t>263-0255-C-00-6078-00</t>
  </si>
  <si>
    <t>DevTech provided services to plan and implement intellectual exchanges between private industry and private/public education</t>
  </si>
  <si>
    <t xml:space="preserve">Sally Patton </t>
  </si>
  <si>
    <t>spatton@usaid.gov</t>
  </si>
  <si>
    <t xml:space="preserve">(20-2) 5126-5505 </t>
  </si>
  <si>
    <t>Technical Assistance to USAID/Cairo and the Egyptian Ministry of Education</t>
  </si>
  <si>
    <t>HNE-5832-I-08-3069-00</t>
  </si>
  <si>
    <t xml:space="preserve">PROVIDED TECHNICAL ASSISTANCE TO USAID/CAIRO AND THE EGYPTIAN MINISTRY OF EDUCATION 
</t>
  </si>
  <si>
    <t>Global Technology Network</t>
  </si>
  <si>
    <t>PCE-C-00-97-00002-00</t>
  </si>
  <si>
    <t xml:space="preserve">The Global Technology Network (GTN) contract expanded on DevTech's experience in developing and managing the environmental technology network for USAID/US-AEP. The primary objective of the GTN was to identify, disseminate information about, and match overseas business opportunities for, U.S. businesses interested in emerging markets. The GTN assisted lesser-developed countries (LDCs) countries graduating from USAID development assistance, and U.S. small and medium-size businesses to effectively respond to economic policy reforms and ensure sustainable economic growth through trade. DevTech's GTN staff provided assistance to companies operating in such industries as health, agri-business, financial services, telecommunications, and information technology. </t>
  </si>
  <si>
    <t xml:space="preserve"> (202) 712-0474 </t>
  </si>
  <si>
    <t>Trade lead submission, matching, and follow-up instructions </t>
  </si>
  <si>
    <t>Trade lead submission, matching, and follow-up instructions</t>
  </si>
  <si>
    <t>Guinea Rural Roads</t>
  </si>
  <si>
    <t>624-0216-C-00-3068-00</t>
  </si>
  <si>
    <t>GIN</t>
  </si>
  <si>
    <t>Guinea</t>
  </si>
  <si>
    <t>The study finds that the impact of rural roads on agricultural markets and marketing activities, a strategic objective of the PNIR project, is considerable. Over the last three years, marketing traffic has increased six fold, while the number of people in markets, the number of commercial vehicle operators, and the number of traders have all more than doubled. The number of tax tickets levied on markets has increased threefold, which clearly indicates an increase in the number of commercial transactions. The volume of agricultural products sold in markets has increased fivefold, and transportation time has decreased to one-sixth of what it was, since the average speed on improved roads has increased from 6 kilometers per hour (kdh) to 35 kdh. As a result, transportation costs have been cut in half for passengers as well as for commodities, and traffic is no longer halted during the rainy season. Villages that were totally cut off are now linked to the outside world year-round.</t>
  </si>
  <si>
    <t>Impact of rural roads : final report </t>
  </si>
  <si>
    <t>Impact of Rural roads</t>
  </si>
  <si>
    <t>Mid-Term Evaluation of Basic Education Project (BASE)</t>
  </si>
  <si>
    <t xml:space="preserve">DevTech performed a mid-term evaluation of the USAID Basic Education Project (BASE). The three-person team evaluated the design, management, and implementation of the project under three major components: institutional strengthening, teacher training, and curriculum and instructional materials design. Among the recommendations made for the second phase of BASE were a move towards more student-oriented curricula and instructional methods and increased community participation in support of ongoing decentralization.
CONTRACTOR SHALL EVALUATE THE DEGREE TO WHICH THE BASIC EDUCATION PROJECT ACTIVITIES ARE CONTRIBUTING TO PRIMARY EDUCATION. 
 CONTRACTOR SHALL PROVIDE TECHNICAL ASSISTANCE TO USAID/CAIRO AND THE EGYPTIAN MINISTRY OF EDUCATION </t>
  </si>
  <si>
    <t>Final report : findings, conclusions, recommendations -- mid-term evaluation of Nicaragua basic education project BASE </t>
  </si>
  <si>
    <t>Final report: findings, conclusions, reccommendations--mid-term of Nicaragua basic education project</t>
  </si>
  <si>
    <t>RUTA Social</t>
  </si>
  <si>
    <t>A13960</t>
  </si>
  <si>
    <t>BEL</t>
  </si>
  <si>
    <t>Belize, Costa Rica, El Salvador, Guatemala, Honduras, Nicaragua, and Panama</t>
  </si>
  <si>
    <t>RUTA Social is a technical assistance program for the design and execution of social sector projects in the Latin America and the Caribbean countries. The project was started in the second half of 1993 to assist the governments of the region in finding effective ways to address chronic social sector problems. Participants included the governments of Belize, Costa Rica, El Salvador, Guatemala, Honduras, Nicaragua, and Panama. The general objective of the DevTech-led evaluation mission was to assess the relevance of RUTA Social as a strategy for assisting these governments to achieve a higher efficiency in the funding and delivery of social services as well as in targeting resources for poverty alleviation. The evaluation mission produced a report (in Spanish) highlighting the successes and shortcomings of RUTA Social and offering recommendations for restructuring the program to better fulfill its stated objectives.</t>
  </si>
  <si>
    <t>Hubert Sinclair</t>
  </si>
  <si>
    <t>speakersbureau@worldbank.org</t>
  </si>
  <si>
    <t xml:space="preserve"> (202) 477-1234</t>
  </si>
  <si>
    <t>Development of Investment Vehicles in Russia</t>
  </si>
  <si>
    <t>RUS</t>
  </si>
  <si>
    <t>Russia</t>
  </si>
  <si>
    <t>Antimonopoly Committee of Ukraine/ Antitrust/Consumer Protection in the Newly Independent States</t>
  </si>
  <si>
    <t>2900-00-97-Z-001</t>
  </si>
  <si>
    <t>UKR</t>
  </si>
  <si>
    <t>Ukraine</t>
  </si>
  <si>
    <t>FTC</t>
  </si>
  <si>
    <t>This task order contract provided support to the Federal Trade Commission in the areas of antitrust and consumer protection. The first task order involved providing technical assistance to the Antimonopoly Committee of Ukraine. In support of this effort, DevTech provided logistical and administrative assistance to U.S. government staff in Ukraine. DevTech established an office in Kiev to ensure that all requests for assistance were met satisfactorily.</t>
  </si>
  <si>
    <t xml:space="preserve">Mary Anne Radebach </t>
  </si>
  <si>
    <t>antitrust@ftc.gov</t>
  </si>
  <si>
    <t>(202) 326-2679</t>
  </si>
  <si>
    <t>El Salvador Economic Reform and Civil Society</t>
  </si>
  <si>
    <t>519-C-00-97-00153-00</t>
  </si>
  <si>
    <t>For five years, DevTech worked closely with USAID to assist the Salvadoran public and private sectors to design, discuss, and analyze economic policy reform proposals in three areas:
Decentralization and Local Governance;
Public Financial Management; and
Trade and Competitiveness.
Work orders were issued under the contract to perform economic studies, prepare and/or arrange for the preparation of seminars on economic topics, conduct in-country training, and provide related technical assistance to private- and public-sector entities.
DevTech completed 31 work orders and prepared several significant technical publications, highlighted below.
Decentralization and Local Governance
Fiscal Reform: Reviewed the overall public finances of El Salvador, including several issues related to financing municipal transfers. DevTech assistance focused on how the transfer system (FODES – Fondo de Desarrollo Económico Social) addressed horizontal inequality, its impact on local revenue effort, and the slow implementation/usage rate by local governments. Recommendations were made to improve the incentive aspects to encourage local revenue effort and to improve the programming of transfers to better meet implementation cycles. This included not only analytical work and setting an agenda for reform, but also making several presentations, including to the Budget and Municipal Affairs Committees of the Legislative Assembly. DevTech's presentation was aired on television and radio and appeared on the front page of the country’s main newspaper.
Municipal Tax Reform: Provided technical assistance and advisory services to the Municipal Affairs Committee of the Legislative Assembly and worked closely with the Mayors’ organization, COMURES, in conducting a dialogue with the private sector. Sub-tasks included: preparing a guideline to facilitate the Legislative Assembly’s review and qualification of municipal tax proposed legislation; developing analytical techniques for assessing the impact of local tax law changes on industry and municipal revenues, and its application; development of model legislation; developing a proposed agenda for municipal finance system reform; advising the new Government’s transition team on municipal finance system reform; and assisting the Legislative Assembly in the development of property tax and other municipal tax legislation.
Municipal Finance. Assisted the municipalities of San Salvador and Sonsonate in the analysis of options for private sector participation in municipal infrastructure investment. This included economic, financial, and regulatory aspects of BOO BOT. DevTech also conducted a seminar on private sector participation in municipal infrastructure investment.
Municipal Finance (Asset Tax): Assisted the municipal government of San Salvador in the proposal and defense of an important reform of its asset tax. This included developing alternative scenarios and revenue projections, reclassifying municipal finance data in the IMF Government Finance Statistics format, participating in discussions with the private sector on the need for the reform, and supporting the municipal government in defending its position.
Municipal Finance. Assisted the municipalities of San Salvador with analytical and legal issues related to the first bond issuance.
Public Financial Management
Examined El Salvador’s public-sector budget and made recommendations regarding taxation, spending, subsidies, and transparency. This public sector review was presented in a seminar to the Budget Committee of the Legislative Assembly.
Established the Office of Budget Analysis and Oversight in the Legislative Assembly and trained the staff.
Provided advisory assistance to the Ministry of Hacienda on tax administration. Reported on use of computerized data systems, tax administration, tax personnel, tax code, and other non-policy aspects of the tax system.
Trade and Competitiveness
Trade Capacity Building. Strengthened the institutional capacity of the Ministry of Economy Office of Export Market Promotion to assist local El Salvador clients in expanding their sales into international markets. Technical advisory assistance included: a) assessments of how units of the Ministry could be better organized and coordinated in support of the national competitive program; b) skills development in conducting research to collect international country, market and product intelligence; and c) team building to enhance the effectiveness of staff working in the three Ministry offices implementing the program. 
Competition (Micro, small and medium sized enterprises). In the aftermath of the earthquakes of early 2001, a DevTech team conducted an assessment of how to reactivate the economy, including examining the expansion of credit for housing, enterprises, and other financing instruments; evaluating priority actions to stimulate the growth of enterprises, particularly micro, small, and medium sized enterprises using non-credit instruments, with particular emphasis on the use of private business associations, business development organizations, NGOs, and other intermediaries that can work with enterprises on a fee for service basis; and other possible policy interventions. 
Assisted the Mission’s efforts to clarify performance indicators in education, micro-finance, and policy. DevTech also helped the Mission refine its system for measuring and monitoring rural policy. 
Supported the USAID Mission in El Salvador in crafting an updated agriculture and rural development assistance strategy for the country.</t>
  </si>
  <si>
    <t xml:space="preserve">Jorge Pena </t>
  </si>
  <si>
    <t>mott@usaid.gov</t>
  </si>
  <si>
    <t xml:space="preserve">(503) 2-98-1666, fax 2-98-0885
</t>
  </si>
  <si>
    <t>Evaluation of Bolivia's Catholic University's Master's Program</t>
  </si>
  <si>
    <t>BOL</t>
  </si>
  <si>
    <t>Bolivia</t>
  </si>
  <si>
    <t xml:space="preserve">DevTech performed an institutional evaluation of the ability of the Catholic University of Bolivia to sustain two master's degree programs—one in public policy, one in auditing—after the end of USAID assistance. </t>
  </si>
  <si>
    <t xml:space="preserve">Girls' and Women's Education </t>
  </si>
  <si>
    <t>LAG-C-00-97-00017-00</t>
  </si>
  <si>
    <t>Ghana</t>
  </si>
  <si>
    <t xml:space="preserve">Susie Clay </t>
  </si>
  <si>
    <t>sclay@usaid.gov</t>
  </si>
  <si>
    <t>(202) 712-0954</t>
  </si>
  <si>
    <t>Girls' and women's education [GWE] project : quarterly &amp; final report, January 1, 2003 to March 31, 2003 </t>
  </si>
  <si>
    <t>Girls' and Women's Project: Quaterly and Final Report</t>
  </si>
  <si>
    <t>Romanian Competition Office and Competition Council</t>
  </si>
  <si>
    <t>DOJ-ATR-7-0004</t>
  </si>
  <si>
    <t>ROU</t>
  </si>
  <si>
    <t>Romania</t>
  </si>
  <si>
    <t>Under an Inter-Agency Agreement with USAID, the U.S. Department of Justice and the Federal Trade Commission provide technical assistance to the Romanian Competition Office and Competition Council. In support of this effort, DevTech provided logistical and administrative assistance to U.S. government staff in Romania. This assistance included arranging housing for semi-permanent and visiting officials; providing interpreting and translating services; arranging for international and domestic travel and accommodations; and providing other assistance as required. DevTech established an office in Bucharest to ensure that all requests for assistance were met satisfactorily.</t>
  </si>
  <si>
    <t>Katherine Nelson</t>
  </si>
  <si>
    <t>AskDOJ@usdoj.gov</t>
  </si>
  <si>
    <t xml:space="preserve"> (202) 305-1841</t>
  </si>
  <si>
    <t>Sub-Saharan Africa : a resource guide </t>
  </si>
  <si>
    <t>Working session on communities, institutions, and policies : moving from environmental research to results, September 16-17, 1997[, Bethesda, Maryland, US] </t>
  </si>
  <si>
    <t>Argentine Competition Office</t>
  </si>
  <si>
    <t>98-L-0024</t>
  </si>
  <si>
    <t>ARG</t>
  </si>
  <si>
    <t>Argentina</t>
  </si>
  <si>
    <t>DevTech provided logistical and administrative assistance to U.S. government staff in Argentina in support of the Federal Trade Commission's (FTC's) work with the Argentine Competition Office. This assistance included arranging housing for semi-permanent and visiting officials; providing interpreting and translating services; arranging for international and domestic travel and accommodations; and providing other assistance as required. DevTech established an office in Buenos Aires to ensure that all requests for assistance are met satisfactorily.</t>
  </si>
  <si>
    <t>Mary Ann Redenbach</t>
  </si>
  <si>
    <t xml:space="preserve"> (202) 326-2679</t>
  </si>
  <si>
    <t xml:space="preserve">Assistance to Environmental Management in Enterprises in the NIS
</t>
  </si>
  <si>
    <t>EE-A-00-98-00020-00</t>
  </si>
  <si>
    <t>Assistance to environmental management in enterprises in the NIS : USAID activities in the NIS -- time period 1998-2001 </t>
  </si>
  <si>
    <t>Assistance to environmental management in enterprise in the NIS: USAID activities in the NIS</t>
  </si>
  <si>
    <t>Central bank reform and banking regulation in El Salvador : a New Zealand perspective</t>
  </si>
  <si>
    <t>El Salvador</t>
  </si>
  <si>
    <t>Central bank reform and banking regulation in El Salvador : a New Zealand perspective </t>
  </si>
  <si>
    <t xml:space="preserve">EcoLinks Environmental Partnership Program Management Support
</t>
  </si>
  <si>
    <t>EE-C-00-98-00001-00</t>
  </si>
  <si>
    <t>EUR</t>
  </si>
  <si>
    <t xml:space="preserve">DevTech provided project management services to the USAID EcoLinks Trade and Investment program in USAID's Bureau for Economic Growth, Agriculture, and Trade for five years (1998–2003). The Program facilitated the transfer of environmental technologies and services to businesses, municipalities, and associations in Eastern Europe and Eurasia.
As the prime contractor during the first stage of the project, DevTech developed a performance monitoring system for the Trade and Investment Program that tracks positive environmental impacts achieved by EcoLinks projects, highlights capacity-building initiatives, and identifies new investments in the environmental sector leveraged by EcoLinks.
DevTech provided technical assistance to EcoLinks partners and technology representatives to improve the development of environmental projects, and helped project sponsors to secure project financing. DevTech staff also represented EcoLinks at environmental trade shows and financing workshops in the United States and abroad, and coordinated EcoLinks conference participation. 
</t>
  </si>
  <si>
    <t>Final report on the ECOLINKS program conference : held in Dubrovnik, Croatia, March 20-March 22, 2000 </t>
  </si>
  <si>
    <t>Final report on the ECOLINKS program conference: held in Dubronvik, Croatia</t>
  </si>
  <si>
    <t>263-C-00-98-0004-00</t>
  </si>
  <si>
    <t>DDI</t>
  </si>
  <si>
    <t xml:space="preserve">Under a subcontract to Directions Data, Inc., DevTech worked with the Egyptian Exporters Association/Trade Development Center's exporting arm to expand and enhance Egyptian exports and to provide market information. DevTech recruited and placed industry experts to assist Egyptian exporters of processed foods, furniture, apparel, leather goods, and software to penetrate the European and Middle Eastern markets.
</t>
  </si>
  <si>
    <t>Cecile Coronato</t>
  </si>
  <si>
    <t>cairomedia@usaid.gov</t>
  </si>
  <si>
    <t>20 2 2522-7000</t>
  </si>
  <si>
    <t>Haiti</t>
  </si>
  <si>
    <t>Modernization of the State Program</t>
  </si>
  <si>
    <t>EMD.8.276.00-F</t>
  </si>
  <si>
    <t xml:space="preserve">DevTech was contracted to evaluate the progress of modernization of the state programs being carried out with Inter-American Development Bank (IDB) funds. The IDB program supports reform efforts within the executive, judicial, and legislative branches
of government, as well as systems to strengthen civil society. </t>
  </si>
  <si>
    <t>Arne Paulson</t>
  </si>
  <si>
    <t>202-623-1252</t>
  </si>
  <si>
    <t>National Education Program Review</t>
  </si>
  <si>
    <t>GTM</t>
  </si>
  <si>
    <t>For the Ministry of Education of Guatemala, DevTech developed a negotiated proposal for restructuring the Ministry to ensure that bilingual/inter-cultural education is an integral part of the national education program, as mandated by the Peace Accords. The proposal was well-received by officials at all levels of the Ministry and will be implemented over the next several years.</t>
  </si>
  <si>
    <t>Pricing Strategy Development</t>
  </si>
  <si>
    <t>30318-CV-202</t>
  </si>
  <si>
    <t xml:space="preserve">Booz Allen Hamilton, Inc
</t>
  </si>
  <si>
    <t xml:space="preserve">Deborah Truitt </t>
  </si>
  <si>
    <t>(703) 917-2920</t>
  </si>
  <si>
    <t>PADF001</t>
  </si>
  <si>
    <t>U.S. Information Agency</t>
  </si>
  <si>
    <t>DevTech was contracted to provide training on fund raising and project development to more than 300 NGOs in Argentina and Brazil. DevTech designed fund-raising training manuals in Spanish and Portuguese; carried out hands-on workshops for 490 NGO representatives in four cities; addressed procurement of public, corporate, foundation, and multilateral institutional funding; provided instruction on resource development research; taught project and proposal development; and provided resource leveraging advice to government agencies in both countries.</t>
  </si>
  <si>
    <t xml:space="preserve">Patricia Garcia </t>
  </si>
  <si>
    <t>(202) 458-3978</t>
  </si>
  <si>
    <t>Women in Development: Strategic and Technical Support (WIDStrat)</t>
  </si>
  <si>
    <t>LAG-98-C-00-0029-00</t>
  </si>
  <si>
    <t>DevTech provided technical support to the Office of Women in Development to incorporate gender considerations in USAID's field and Bureau activities, guidance and policies, and training.</t>
  </si>
  <si>
    <t>Cate Johnson</t>
  </si>
  <si>
    <t>1999 Latin America and the Caribbean selected economic and social data </t>
  </si>
  <si>
    <t>Addressing Cuban Affairs</t>
  </si>
  <si>
    <t>Agribusiness as an engine of growth in developing countries </t>
  </si>
  <si>
    <t>Decentralization and Local Development in Latin America and the Caribbean</t>
  </si>
  <si>
    <t>GS10F-0048L</t>
  </si>
  <si>
    <t>DevTech prepared a paper on decentralization and local development in Latin America and the Caribbean focusing on past successes and outlining a future strategy for incorporating municipalities in the post-Hurricane Mitch reconstruction and transformation. The paper was presented at the USAID Donor Consultative Group Meeting on Latin America and the Caribbean in Stockholm, Sweden in May 1999.</t>
  </si>
  <si>
    <t>Relationship between financial development and the legal tradition of a country : potential guidelines for USAID programs </t>
  </si>
  <si>
    <t>Financing guide : sub-Saharan Africa </t>
  </si>
  <si>
    <t>Measuring Cuban public opinion: project report</t>
  </si>
  <si>
    <t>LAG-G-00-98-00021-00</t>
  </si>
  <si>
    <t>Measuring food affordability </t>
  </si>
  <si>
    <t>ICMA</t>
  </si>
  <si>
    <t>DevTech provided the services of a fiscal adviser to assist in a technical study that examined both the short and long-term impact of Hurricane Mitch on the finances of municipalities in Honduras. The fiscal adviser was responsible for developing those parts of the overall assessment that were specifically and generally related to the intergovernmental fiscal relations between central and local government. Specific duties included:
&gt;Reviewing the overall state of the budget of the Honduran central government;
&gt;Reviewing the transfers and other intergovernmental fiscal relations between central and local government;
&gt;Participating in the review of municipal government finances;
&gt;Participating in the projections of municipal government financing needs;
&gt;Leading the assessment of the central government's future abilities to assist the municipalities in meeting the financial needs;
&gt;Suggesting means for alleviating financing gaps; and
&gt;Participating in making suggestions with regard to donor flows to and through central and local governments.</t>
  </si>
  <si>
    <t>front Desk</t>
  </si>
  <si>
    <t>customerservices@icma.org</t>
  </si>
  <si>
    <t>202-289-4262</t>
  </si>
  <si>
    <t>http://pdf.usaid.gov/pdf_docs/pbaab494.pdf</t>
  </si>
  <si>
    <t>The role of municipalities in the reconstruction of Honduras: an assesment of the impact of Hurricane Mitch</t>
  </si>
  <si>
    <t>Report on economic and social growth : 'Mack report' 1999 </t>
  </si>
  <si>
    <t>522-C-00-00-00243-00</t>
  </si>
  <si>
    <t>Accessing and promoting the CADERH (Advisory Council for Human Resources Development) production fund in Honduras </t>
  </si>
  <si>
    <t>Development of the Budget Analysis and Oversight Office of the Salvadoran Legislative Assembly </t>
  </si>
  <si>
    <t>The future of education in Dominican Republic : opportunities and challenges </t>
  </si>
  <si>
    <t>The future of education in Dominican Republic: Opportunities and Challenges</t>
  </si>
  <si>
    <t>Honduras Vocational and Technical Training Centers</t>
  </si>
  <si>
    <t xml:space="preserve">DevTech supported USAID/Honduras in meeting the critical need to reconstruct the educational facilities that were destroyed by Hurricane Mitch. DevTech provided the Mission with technical assistance in establishing and strengthening vocational centers and improving the overall quality of the training. Activities included:
&gt;Negotiating and managing grants to NGOs operating the vocational training centers;
&gt;Overseeing the construction and expansion of the centers;
&gt;Strengthening the financial viability of the centers;
&gt;Establishing and/or improving certification programs within the centers;
&gt;Improving the quality of the training and the materials;
&gt;Enforcing quality control efforts;
&gt;Developing and implementing operational models designed to support the formation of small service businesses and enterprises for graduates; and
&gt;Developing policies and a pilot program for reforming public secondary-level vocational-technical education to increase relevancy, quality, cost-effectiveness, and equity.
</t>
  </si>
  <si>
    <t>Diane Leach</t>
  </si>
  <si>
    <t xml:space="preserve"> dleach@usaid.gov</t>
  </si>
  <si>
    <t xml:space="preserve"> (504) 236-932</t>
  </si>
  <si>
    <t>Final report : vocational technical education project -- USAID/Honduras </t>
  </si>
  <si>
    <t>Vocational Technical Education project--USAID/Honduras</t>
  </si>
  <si>
    <t>RTI</t>
  </si>
  <si>
    <t>Inspection of vocational education centers built under BEST [basic education and skills training] II </t>
  </si>
  <si>
    <t>Institutional Reform and Restructure of the Regional Administration of the National Authority of the Environment of the Government of Panama</t>
  </si>
  <si>
    <t xml:space="preserve">DevTech provided assistance to Panama's environmental protection agency that involved conducting a complete organizational restructuring and strengthening the agency. ANAM launched an environmental action program in the Darien region aimed at recuperating and protecting its natural resources and improving the quality of life of the people in a manner consistent with the sustainability of its resources. DevTech provided technical assistance in the following activities:
&gt;Organizational analysis of ANAM, including procedures and responsibilities of the central and regional offices; contracting methods and personnel procedures and functions; and staff training activities;
&gt;Preparation of an administrative procedures manual; development of contracting rules and guidelines; and design of an institutional support project; and
&gt;Recommendations for management and control procedures, identification of roles and responsibilities of the regional and central offices, hiring and deployment of personnel and the reassignment of functions and shifts, and the job profiles of new ANAM personnel as well as the personnel training costs and corresponding budgets.
</t>
  </si>
  <si>
    <t xml:space="preserve">Office Government of Panama
</t>
  </si>
  <si>
    <t>cestrategia@spi.gob.pa</t>
  </si>
  <si>
    <t>(507) 527-9600</t>
  </si>
  <si>
    <t>Poverty Reduction and Fiscal Decentralization</t>
  </si>
  <si>
    <t>KGZ</t>
  </si>
  <si>
    <t>Kyrgyzstan</t>
  </si>
  <si>
    <t>Asian Development Bank</t>
  </si>
  <si>
    <t>DevTech provided expertise to the government of Kyrgyzstan in its effort to decentralize its fiscal system. DevTech analyzed the national and provincial budgets, subsidies, taxes and social funds. DevTech also studied the effectiveness of the existing subsidized programs and evaluated the intra-regional transfers, as well as the transparency of the subsidies and the techniques used to select public investments. DevTech compiled the information, designed a survey, and organized the implementation of the survey and analysis of the data. DevTech issued recommendations to the government of Kyrgyzstan on the priorities that should be considered in reducing poverty.</t>
  </si>
  <si>
    <t>Tsukasa Maekawa</t>
  </si>
  <si>
    <t>tmaekawa@adb.org</t>
  </si>
  <si>
    <t xml:space="preserve"> (632) 632-4444</t>
  </si>
  <si>
    <t>Review of the Commercial Code : Republic of El Salvador </t>
  </si>
  <si>
    <t>SEGIR/GBTI Global Technology Network</t>
  </si>
  <si>
    <t>517-C-00-00-00143-0</t>
  </si>
  <si>
    <t>GeoNetWeaver(TM) USAID E&amp;E Bureau SO 1.6 model : an application in results-oriented planning and monitoring </t>
  </si>
  <si>
    <t>EE-00-98-00001-00/PO-015</t>
  </si>
  <si>
    <t>New tools, like NetWeaverTM and GeoNetWeaverTM, can assist organizations like USAID in
addressing the complexity of systems in which sustainable development takes place. In this
case, DevTech have used GeoNetWeaverTM to analyze E&amp;E Bureau’s environmental SO 1.6 to look at how a decision support tool can serve planners, managers, decision makers, etc. in strategic
planning and performance monitoring efforts.</t>
  </si>
  <si>
    <t>GeoNetWeaver™ USAID E&amp;E Bureau SO 1.6 model: an application in results-oriented planning and monitoring</t>
  </si>
  <si>
    <t>Alcaldia Municipal de San Salvador : informe sobre fortalecimiento de la Unidad Financiera y modernizacion de la gestion financiera </t>
  </si>
  <si>
    <t>Assessment of USAID Civil Society Program in the Dominican Republic</t>
  </si>
  <si>
    <t>DevTech led a team of evaluation and civil society specialists with extensive knowledge of the Dominican Republic to conduct a comprehensive assessment of the impact of USAID's Strengthening Civil Society Project, which included the Democratic Initiative Project (PID), providing substantial resources to Participación Ciudadana (PC), and supporting Rule of Law activities related to civil society through Fundación Institucionalidad y Justicia (FINJUS).
The objectives of the assessment were to provide a rigorous review of the impact of USAID's investment in civil society; share input to help the Mission shape its next five-year strategy (2002—2007); and draw key lessons learned and best practices from USAID/DR's activities to promote the development of a politically active civil society in support of democracy.
As part of this assessment, the team:
Interviewed 187 key individuals in local and national government using semi-structured protocols;
Conducted 22 focus groups throughout the country with PID sub-grantees and PC electoral observers;
Conducted a nationwide survey of PID beneficiaries and PC electoral observers on values and practices of individuals and community groups related to democracy and civil society. The data from the nation-wide survey was then cross-analyzed to draw conclusions about the impact of program activities.
The Assessment team concluded that there were several key factors critical to the success of implementing a program to strengthen civil society in the Dominican Republic. These were:
Civil Society Programs require a long-term strategy. USAID/DR's foresight to support the initiative over a 10-year period was critical. It provided the necessary time to build the projects carefully, let them take hold, and eventually reach out to a broad and receptive public. Changing political culture needs at least a decade.
One step behind approach is critical. An essential part of the strategy to promote democracy in the DR was to maintain a low profile, allowing the Dominican grantees to take the visible lead in pushing for democratic reforms. This one step behind strategy conferred legitimacy and credibility to the effort as a Dominican initiative and was key to its success.
Flexibility. Given the fluidity of the political situation in the DR, it was essential for the USAID Mission to support a "demand" rather than a "supply" driven initiative. This approach helped to build momentum and contributed to the sustainability of the initiative</t>
  </si>
  <si>
    <t>Office</t>
  </si>
  <si>
    <t>checchi@checchiconsulting.com</t>
  </si>
  <si>
    <t>202-466-9070</t>
  </si>
  <si>
    <t>Assessment of USAID civil society programs in the Dominican Republic </t>
  </si>
  <si>
    <t>Assessment of USAID civil Society programs in the Dominican Republic</t>
  </si>
  <si>
    <t>HFM-C-00-01-00015</t>
  </si>
  <si>
    <t>DevTech provided direct data and analytical support to USAID staff, facilitating access to and the use of standardized and
 consistent data and data sources available through the Economic and Social Database, local Bureau resources and 
external statistical databases.  The data was a part of the DIS Project led by the Academy for Educational Development. 
DevTech supported general data and research activities and lent support to the LAC Bureau and its respective Missions, 
including on-demand and proactive research and analysis of statistical data; requirements analysis, definition of data 
collection methodologies, collection and maintenance of statistical data; and tracking and reporting LAC Bureau and 
Mission inquiries for ESDS support.</t>
  </si>
  <si>
    <t>Economic Impact Model of U.S. Small Business Administration</t>
  </si>
  <si>
    <t>SBA-HQ-01-F-0488</t>
  </si>
  <si>
    <t>Small Business Administration</t>
  </si>
  <si>
    <t xml:space="preserve">DevTech designed a process that would enable a working Group of SBA Field Managers to assess the outcomes 
correlated with their assistance to small businesses. </t>
  </si>
  <si>
    <t>Janet Strong
Jacqueline West</t>
  </si>
  <si>
    <t>janet.strong@sba.gov
jacqueline.west@sba.gov</t>
  </si>
  <si>
    <t>(202) 205-7581</t>
  </si>
  <si>
    <t>AEP-I-00-00-00022-00</t>
  </si>
  <si>
    <t>DevTech led an assessment of how the Initiative for Social Action and Renewal (ISAR) programs fit and contributed to the USAID Central Asia Republics’ assistance strategy, especially regarding "increased, better-informed citizen's participation in political and economic decision making" and "reduced environmental risks to public health."
Regional specialists in civil society organizations and environmental problems in the region conducted field interviews in six cities in Kazakhstan, Uzbekistan, and Turkmenistan on ongoing and completed activities. DevTech issued recommendations on activities that should be discontinued, replicated, or expanded to ensure the sustainability of and support for environmental nongovernmental organizations in the region and their activities to promote environmental protection.</t>
  </si>
  <si>
    <t>mmi@metametrics.com</t>
  </si>
  <si>
    <t>(202) 333-3960</t>
  </si>
  <si>
    <t>Final : initiative for social action and renewal (ISAR) Central Asia activities evaluation </t>
  </si>
  <si>
    <t xml:space="preserve">Final: Initiative for Social Action and Renewal Central Asia activities evaluation </t>
  </si>
  <si>
    <t>Honduran Education Evaluation</t>
  </si>
  <si>
    <t xml:space="preserve">Through a task order under the Evaluation IQC, DevTech reviewed the Honduran Secretary of Education's proposed curriculum for preschool to ensure that it was in harmony with proposed education reforms and the end results anticipated from these reforms. DevTech implemented the following tasks:
&gt;Reviewed the proposed standards for preschool education to assure that these standards were consistent with the major goals and proposed policies for the national basic curriculum;
&gt;Reviewed the proposed curriculum to ensure that it was consistent with the proposed standards for preschool education;
&gt;Ensured that the proposed curriculum included appropriate content, evaluation criteria, and policies to increase student achievement in the early grades of primary education, as children continue their studies in primary schools;
&gt;Prepared recommendations for developing the educational materials and the training of teachers for the implementation of the new curriculum to include cost estimates for materials and teacher training programs; and
&gt;Prepared policy recommendations to ensure universal access to preschool programs for all children five years of age.
DevTech prepared a final report providing a summary of the tasks completed above, including its final recommendations. </t>
  </si>
  <si>
    <t>Local Development Program II: Design of Indicators of Financial Performance and Classification of Municipalities</t>
  </si>
  <si>
    <t>In collaboration with ICMA, DevTech developed a manual for the application of a topology for the development of a pilot Financial and Administrative Indicator system for municipalities. The manual includes a detailed description of methodology and procedures for collecting and handling the data, selecting the sample of twenty-six municipalities, and conducting the evaluation exercise, forms and instructions for completing the forms, step-by-step descriptions of how to calculate each indicator which will be reviewed, and explanations as to how to do a first test with theoretic data and a second test with 26 real cases.
DevTech also prepared and presented to the InterAmerican Development Bank's Municipal Development Group the materials required to implement the exercise, including survey and rest results. To that effect DevTech implemented the exercise, including data collection, selecting and training the evaluators, identifying the initial test groups, carrying out two tests, providing training to municipalities to assist them in preparing for the exercise and helping communicate the event to the municipalities.</t>
  </si>
  <si>
    <t>Logistical Support in Stability Pact Countries</t>
  </si>
  <si>
    <t>Federal Trade Commission</t>
  </si>
  <si>
    <t>DevTech provided administrative support (interpreters and translators) and logistical assistance to United States Government personnel while in Stability Pact countries in Southeast Europe other than Romania. The countries included Hungary, Bulgaria, Croatia, Macedonia, Bosnia, and Albania.</t>
  </si>
  <si>
    <t>Office of Policy and Coordination</t>
  </si>
  <si>
    <t xml:space="preserve"> (202) 326-3300</t>
  </si>
  <si>
    <t>Preschool Curriculum Implementation and Validation Plan</t>
  </si>
  <si>
    <t>DevTech worked with the Unidad para la Transformación de la Educación Nacional (UTEN) Preschool Curriculum Committee to provide technical assistance for the completion of  a preschool curriculum implementation plan to prepare a model plan for Honduras, based on successful experiences in other Latin American countries. The technical assistance assisted the Secretary of Education in Honduras in the preparation of a final version of the preschool curriculum implementation and validation plan.</t>
  </si>
  <si>
    <t>Office UTEN</t>
  </si>
  <si>
    <t>tic@utennacional.org</t>
  </si>
  <si>
    <t>(57-1) 7557193</t>
  </si>
  <si>
    <t>Support for Economic Growth and Fiscal Reform</t>
  </si>
  <si>
    <t>DAI</t>
  </si>
  <si>
    <t xml:space="preserve">DevTech provided resident, long-term technical assistance on budget reform and institutional strengthening in Ukraine.
The project had two phases.
Phase I
During the first 18 months, DevTech assisted the Ministry of Finance to reform its budget process. DevTech provided a Budget Advisor, who helped the Ministry of Finance design and incorporate policies, procedures, and programs that ensured all government ministries develop and execute balanced budgets that reflected their respective short-, medium- and long-term strategies, priorities, and objectives. The Budget Advisor trained various line-ministries and conducted strategic planning while helping to build the capacity of the ministries’ staff with regards to program or performance based budgeting (PPB). DevTech also helped the Ministry of Finance to establish a more effective revenue and expenditures structure that was consistent with the new market economy driven government functions.
Phase II
In 2003, the project shifted focus from federal ministries to the sub-national level. DevTech began promoting fiscal decentralization and equitable allocation of resources, and trained local officials to increase their budgeting and financial management expertise and capabilities. The Senior Budget Advisor, based in Khmelnitsky, became Chief of Party. As such, he assisted local governments in Lviv and Poltava to improve their financial position through PPB, resulting in more autonomy and accountability. DevTech led a nationwide budget training to raion and subraion finance officers, focusing on the opportunities and requirements mandated in Ukraine’s new Budget Code. Three oblasts and their cooperating jurisdictions used PPB for their 2005–2007 budgets, thus demonstrating a capacity to implement improved budgeting approaches. They were then selected to participate in an intense training program with seminars, workshops, and mini-trainings, which served as a PPB Pilot Project to be replicated on a wider scale. DevTech also provided critical technical input into the extension of the Budget Code to lower levels of local government, specifically to subraion levels.
 </t>
  </si>
  <si>
    <t xml:space="preserve">Government's hotline
 </t>
  </si>
  <si>
    <t>infomf@minfin.gov.ua</t>
  </si>
  <si>
    <t>(044) 253-66-49</t>
  </si>
  <si>
    <t>Tax Administration Modernization Project (TAMP): Phase I</t>
  </si>
  <si>
    <t>HGO</t>
  </si>
  <si>
    <t>Bosnia and Herzegovina</t>
  </si>
  <si>
    <t>As a SEGIR-EP subcontractor, DevTech assisted the three tax administrations in Bosnia and Herzegovina (Federation of Bosnia and Herzegovina, the Republic of Srpska, and the District of Brcko) to develop a comprehensive design for tax administration reform under strict and challenging time constraints.
The TAMP team applied Business Process Analysis and Business Process Reengineering techniques using a sophisticated software program to fully document the tax administration processes and propose reengineered processes and their automation. DevTech technical experts developed complete automation plans, full systemization design and architecture, database development, and data processing centralization. In addition, DevTech completed an assessment of the legal framework for tax administration and tax policy, and established a system to ensure that future necessary legal reforms will be defined in a way that will help to facilitate further reform.
All tasks were completed on time and within scope. In addition to the original scope of work, USAID asked TAMP to support the immediate implementation of the Taxpayer Registration system.</t>
  </si>
  <si>
    <t>http://pdf.usaid.gov/pdf_docs/pdach965.pdf</t>
  </si>
  <si>
    <t>Bosnia and Herzegovina: USAID assistance in tax modernization</t>
  </si>
  <si>
    <t>Final 2001 report on the environmental index for strategic objective 1.6 </t>
  </si>
  <si>
    <t>U.S.-Montenegro Partnership for Municipal Development</t>
  </si>
  <si>
    <t>4506-001-02</t>
  </si>
  <si>
    <t>MNE</t>
  </si>
  <si>
    <t>Montenegro</t>
  </si>
  <si>
    <t>DevTech advised the Government of Montenegro on reform of legislation on the powers and functions of local governments and the development of a more efficient, equitable system of intergovernmental finance in Montenegro. This included reviewing and analyzing existing laws governing municipal and intergovernmental finance systems, including the laws on Self-Government, Public Expenditures, and Public Revenues, advising on draft legislation, and ensuring that the new legislation addressed the interests and needs of municipal governments. The advisory service focused on conducting an analysis of social equity and fiscal efficiency impacts of existing revenue and expenditure assignment systems, tax sharing, and grant policies, and developing recommendations for improvements based on their effects on local governments. In addition, DevTech completed an analysis of the property tax and assisted in the development of a new property tax law and system. DevTech's work included analysis, advice, and public information for reforms.</t>
  </si>
  <si>
    <t>Vickie Brook</t>
  </si>
  <si>
    <t>(202) 289-4262</t>
  </si>
  <si>
    <t>http://pdf.usaid.gov/pdf_docs/pdacd514.pdf</t>
  </si>
  <si>
    <t xml:space="preserve">Final Report: U.S.-Montenegro Partnership for Municipal Development </t>
  </si>
  <si>
    <t>Women in Development: Short-term Technical Assistance and Training Supporting Gender Integration in USAID Operating Units Under Leadership of EGAT/WID</t>
  </si>
  <si>
    <t>GEW-I-00-02-00019-00, TO1</t>
  </si>
  <si>
    <t xml:space="preserve">SCG, AFG, PRY, SLV, USA, KHM, ZAF, USA, UGA, USA, PER, TZA, HTI, NIC, ARM, USA, COL, MWI, USA, USA, USA, USA, EGY, GTM, AFG, DOM, IDN, USA, SLV, GTM, HND, NGA, JOR, BOL, USA, NIC, TZA, GUY, MAR, USA, MLI, AZE, SLV, MKD, NAM, ETH, USA, LKA, PAN, USA, NIC, TLS, USA, MOZ, RUS, MEX, PHL, ZAF, USA, USA, GHA, NER, MLI, PRY, BOL, USA, RUS, BIH, TLS, USA, BGD, IND, USA, SEN, BGD, COD, GEO, TZA, EGY, EGY, PAN, KHM, ARM, ZMB, BRB, PER, SDN, PAN, AFG, ETH, BOL, ZAF, PRY, KAZ, DOM, RWA, MEX, MEX, NAM, ZMB, HON, PSE, </t>
  </si>
  <si>
    <t>USAID/WID</t>
  </si>
  <si>
    <t xml:space="preserve">DevTech was the prime contractor for this task order to provide on-demand short-term technical assistance (STTA) and training (STTA&amp;T) to USAID Missions and Bureaus across sectors. DevTech assisted USAID to develop strategies for incorporating and addressing gender concerns in all activities and to provide sector- specific guidelines for integration of gender issues into development activities. DevTech conducted gender training focused on strategic planning, performance measurement, data collection and analysis tools, and monitoring and evaluation.  
DevTech responded to more than 100 USAID Mission requests for assistance covering all sectors in evaluation, gender analysis, gender integration, training, and dissemination (through conferences). For these tasks, DevTech hired more than 75 individuals to deliver technical assistance. In all cases, the firm recruited international and local experts. </t>
  </si>
  <si>
    <t>The cost incurred by the Superintendency of Tax Administration (SAT) in all aspects covered by the administration of the taxes that it administers is of fiscal, economic and social interest, since these costs represent a deduction of the gross yield of each tax. It is therefore important to make an effort to minimize this cost - without undermining the related efforts to strengthen tax collection.
Simultaneously, the administrative cost estimate can play two additional roles:
• Identify those taxes whose cost represents a relatively high proportion of their gross receipts; If so, it may be advisable or repeal such tribute or modify it so that its net collection increased.
• Allow international comparisons as a useful tool for tax administrators and for those who forge tax policy, thus pointing to areas where administrative efficiency is needed.</t>
  </si>
  <si>
    <t>Guatemala : los costos administrativos de la tributacion y de impuestos de bajo rendimiento </t>
  </si>
  <si>
    <t>Guatemala: los costos administrativos de la tributacion y de impuestos de bajo rendimmineto</t>
  </si>
  <si>
    <t xml:space="preserve">Accelerated Microenterprise Advancement Project </t>
  </si>
  <si>
    <t>GEG-I-00-02-00015-00</t>
  </si>
  <si>
    <t>Louis Berger Group, Inc.</t>
  </si>
  <si>
    <t xml:space="preserve">DevTech deployed a team that used in-depth field interviews and a survey of buyers and producers, to take a “bottom-up” perspective to investigate the nature, determinants, and consequences of MSE participation in the textile handicrafts and high-value horticulture value chains in Guatemala. The evaluation team empirically tested the characteristics of value chain linkages that facilitate or inhibit the formation of collaborative inter-firm relationships, both vertically (between firms at different levels of the value chain) and horizontally (among firms at the same level of the value chain). This was followed by an analysis of the impact of these vertical and horizontal relationships on MSE owners’ ability to innovate, or upgrade, their enterprise. The results indicated the importance of market information, inter-firm communication, reduced transaction costs, risk-offsetting opportunities, and effective group governance in building strong horizontal and vertical relationships that promote MSE upgrading and enhance the competitiveness of value chains.  </t>
  </si>
  <si>
    <t>Veronica Cordero</t>
  </si>
  <si>
    <t>vcordero@louisberger.com</t>
  </si>
  <si>
    <t>Tel: 202/331-7775</t>
  </si>
  <si>
    <t>https://www.microlinks.org/sites/microlinks/files/resource/files/ML4812_aimvc_guatemala.pdf</t>
  </si>
  <si>
    <t>Integrating Micro and Small Enterprises into Value Chains</t>
  </si>
  <si>
    <t>Budget Process Support</t>
  </si>
  <si>
    <t>NGA</t>
  </si>
  <si>
    <t>Nigeria</t>
  </si>
  <si>
    <t>The Budget Process Support (BPS) Project assisted the Government of the Federal Republic of Nigeria (GFRN) in establishing a transparent and macroeconomically sound national budget process that integrated macroeconomic forecasts with strategic policy goals. The BPS Project's goal was to help the GFRN solidify institutional roles in the budget preparation process and establish a multi-year budgeting capability. The project provided technical assistance and training in the areas of planning processes, budget preparation and formulation, budget execution, and organizational development. DevTech provided technical assistance in organizational development to the Budget Office of the Federation (BOF) in the Ministry of Finance and to the Budget Monitoring and Price Intelligence (BMPI) Unit of the Office of the President.
The BOF was divided into several departments that had historically functioned as separate entities, with little understanding or incentive for aligning each department under a unifying overall objective, resulting in inefficiency, mismanagement, and unclear roles. Thus, DevTech conducted a participatory analysis of the departments, and then helped them to clearly define their respective roles in the budget process regarding the overall BOF strategic plan. Following this exercise, DevTech helped BOF staff develop departmental objectives that were in alignment with the overall BOF objectives, with measurable performance indicators built into each objective. DevTech staff also provided input into the development of a training program.
The BMPI unit was responsible for ensuring that the Office of the President was fully informed about the budgetary process at three levels:
Budget Formulation—providing a pool of experts and a Price Intelligence Database (PID) tool to ensure accuracy and authenticity of expenditure proposals submitted by various governmental units;
Budget Prioritization—establishing the strategic and planning priorities for future allocation of resources; and
Budget Execution—enhancing the efficiency and the effectiveness of programs and service delivery as well as the overall management of resources.
The BMPI Unit's staff members were mostly contract hires and the BMPI Unit Director planned to have these positions and these staff "regularized" into the civil service, as full-time staff.
To help the BMPI Unit achieve its goals, DevTech assessed consultants' contracts and assisted with planning for the transition of consultancies to full-time staff. DevTech staff reviewed the consultants' perceptions regarding their work with the BMPI vis-à-vis their career development targets; identified factors that inhibit and stimulate the staff in their current roles, and incentives that would make employment more attractive; and provided a methodology to regularize the consulting staff of the BMPI within the civil service structure, upon full-time enrollment. DevTech also conducted an evaluation of existing skills of personnel and identified additional skills required of sector specialists and training needs; helped BMPI staff define personnel job descriptions and create a nomenclature of compensation; identified ways to attract additional expertise into the BMPI Unit; identified a transition strategy for departing staff (sector specialists) and new hires; defined recruitment procedures for new hires; and reviewed and developed organizational performance, standards of performance, appraisal, and teamwork.</t>
  </si>
  <si>
    <t>Environmental Compliance Support Service</t>
  </si>
  <si>
    <t>USAID/Europe and Eurasia</t>
  </si>
  <si>
    <t>MKD</t>
  </si>
  <si>
    <t>Macedonia</t>
  </si>
  <si>
    <t>SETA</t>
  </si>
  <si>
    <t>A DevTech team provided administrative and information management support services to the Office of Environmental Audit at DOE facilities nationwide. The team was responsible for the implementation, operation, documentation, and maintenance of systems for the collection, verification, and publication of audit team (i.e., DOE staff and contractors) data.</t>
  </si>
  <si>
    <t>BGR, KAZ, SRB</t>
  </si>
  <si>
    <t>The report is based on a project undertaken by a team of local consultant specialists in the
countries covered. The first three sections of the report was written by Alexandra Ewing Oead
author), and Jim McNicholas (Project Manager for DevTech). Section 4 of the report contains
indMduai country reports written by the project tearn listed below, based on a questionnaire
developed by Gregory Myers and Jeff Goodson (USAlD) with comments from Alicia Grimes and
Gerald Gold (USAID), J.A. Atchue 11\ (DevTech), and the project tearn. The statements and
opinions expressed herein are not necessarily those of either USAID or DevTech Systems, Inc.</t>
  </si>
  <si>
    <t>Environmental impacts of land privatization in select countries of Eastern Europe and Eurasia : an assessment of priority issues -- final draft report </t>
  </si>
  <si>
    <t>Environmental Information Systems and Networking Project</t>
  </si>
  <si>
    <t>Evaluation of the Microfinance Technical Assistance Program</t>
  </si>
  <si>
    <t xml:space="preserve">DevTech successfully completed on schedule and within scope an in-country evaluation of USAID Honduras progress and the effectiveness of the current technical assistance to strengthen the micro- and small-business lending capacity of selected microfinance institutions in Honduras.
The DevTech evaluators reviewed and provided written analysis of the:
&gt;Long- and short-term staffing, contract management, and support;
&gt;Technical assistance and training activities, including indicators developed by the contractor for measuring results, the strategy followed, and results to date;
&gt;Coordination between the institutional contractor, the Covelo Foundation, and the institutional contractor and USAID;
&gt;Actions in support of the environment affecting the operations of microfinance institutions in Honduras; and
&gt;Possible alternative actions for improving the results of the project during the remaining period under the contract.
</t>
  </si>
  <si>
    <t>James Athanas</t>
  </si>
  <si>
    <t xml:space="preserve"> jathanas@usaid.gov </t>
  </si>
  <si>
    <t xml:space="preserve">011-504-236-9320 </t>
  </si>
  <si>
    <t xml:space="preserve">Evaluation of USAID/Jordan's Efforts to Improve Water Resources Management </t>
  </si>
  <si>
    <t>Middle East</t>
  </si>
  <si>
    <t>USAID/Jordan</t>
  </si>
  <si>
    <t>Checchi &amp; Company
Consulting</t>
  </si>
  <si>
    <t>In 1993, the USAID Mission in Jordan developed the Water Quality Improvement and Conservation (WQIC) Project. This $25 million five-year project focused on the Zarqa River Basin and included comprehensive technical assistance designed to help the Ministry of Water and Irrigation (MWI) develop sound water management policies including the strengthening of water sector institutions.
The Mission's Strategic Objective (SO) 2 is to build stronger water-sector institutions, increase efficiency in the use of water resources; and improve the quality of wastewater in Jordan. DevTech assisted the Mission in evaluating the overall impact of the SO's implementation during the past 10 years by completing a general evaluation of the water sector and presenting options for the direction of USAID's program including answering such questions as:
&gt;Was each activity reaching its targeted population?
&gt;Were all the needed areas covered by the activities?
&gt;Is there a need for a different mix of activities that will contribute more to the objective?
DevTech Systems submitted a report on the organization and effectiveness of the SO in December 2002.</t>
  </si>
  <si>
    <t>Fiscal Policy Reform: Guatemalan Municipal Tax Code</t>
  </si>
  <si>
    <t>Improved Basic Education through Private-Sector Sponsorship of Public Schools</t>
  </si>
  <si>
    <t>517-C-00-02-00115-00</t>
  </si>
  <si>
    <t>The USAID/Dominican Republic's School Sponsorship Project sought to promote the involvement of the private business sector in education improvement, and encourage an active role for NGOs as advocates for policy change at the national level and as facilitators for community participation at the school level.
DevTech implemented this pilot program by mobilizing private-sector partnerships and promoting increased awareness of the benefits accruing to practitioners of corporate social responsibility. The project focused on the need to establish smooth, flexible, and permanent working relationships among the stakeholders involved in the improvement of basic education. The project also incorporated strategies to ensure sustainability through institutional strengthening of the partners as well as an ongoing attention to the particular needs of the various school communities for quality basic education.</t>
  </si>
  <si>
    <t>Dominican Republic school sponsorship project : quarterly report no. 2, January 1-March 31, 2003 </t>
  </si>
  <si>
    <t>Dominican Republic School sponsorship project: Quarterly report no. 2</t>
  </si>
  <si>
    <t>Review of Environmental Activities Implemented in the
Bureau for Europe &amp; Eurasia</t>
  </si>
  <si>
    <t>Staff from DevTech Systems. Inc., the ENR institutional contractor, were requested to extract
information from several sources and synthesize it in a format developed within the ENR
Division. The information sources used in developing these discussions were:
The Fiscal Year (FY) 2001 Congressional Budget Justification
The FY 2002 Congressional Budget Justification
The FY 2002 Results Review (R2a) (and in some case the FY 2001 R2a)
The most recent Mission Strategic Plan
The RIP and Ukraine Mission web sites '
These documents were reviewed for information about environmental projects and for projects
that had potential environmental linkages. The information about each country was synthesized
in the reports making up the remainder of this document. The individual country discussions
were then forwarded to the Mission Program Officers who reviewed them for accuracy and
resubmitted them to ENR staff where they were transmitted to DevTech for inclusion in the final
report. The box below represents the types of projects that were included in this study</t>
  </si>
  <si>
    <t>Review of environmental activities implemented in the Bureau for Europe &amp; Eurasia </t>
  </si>
  <si>
    <t>Review of environmental activities implemented in the Bureau for Europe &amp; Eurasia</t>
  </si>
  <si>
    <t>Tax Computerization Project Outsourcing Initiative Feasibility Study for the Philippine Bureau of Internal Revenue (BIR)</t>
  </si>
  <si>
    <t>GEW-I-02-02-00019</t>
  </si>
  <si>
    <t>PHL</t>
  </si>
  <si>
    <t>Philippines</t>
  </si>
  <si>
    <t>U.S. Trade and Development Agency</t>
  </si>
  <si>
    <t>M Group</t>
  </si>
  <si>
    <t>In partnership with the M Group, DevTech conducted a feasibility study for the BIR's Outsourcing Initiative. As part of this feasibility study, DevTech conducted a thorough analysis of the information technology assets to be included in the outsourcing arrangement. Typically these assets comprise a mixture of hardware, software, services, processes, and personnel.
DevTech also analyzed organizational issues related to the general approach and framework, specific methodologies and procedures, and their rationale.
Legal and regulatory issues were also considered, including a "Benefits Funding" scheme, current legislation and statutes, and any legal issues that may affect the outsourcing and/or BOT ("Build-Own-Transfer") arrangement.
In addition, DevTech assisted the BIR in preparing the business case to be presented to the Legislature, including the scope and structure of the outsourcing arrangement that is most appropriate to BIR's circumstances; ways of overcoming legal/regulatory obstacles that have been identified; and the controls that will be put in place to ensure, among other things, the quality and security of the outsourcing arrangement and the equitable treatment to be accorded BIR employees under the arrangement. DevTech also assisted in preparing the tender documents and provided guidance to the BIR in the bid solicitation and evaluation stages.</t>
  </si>
  <si>
    <t>BIR Contact Center</t>
  </si>
  <si>
    <t>contact_us@cctr.bir.gov.ph</t>
  </si>
  <si>
    <t xml:space="preserve">981-8888 </t>
  </si>
  <si>
    <t>Technical Service Performance Monitoring Plan (PMP) and Workshop</t>
  </si>
  <si>
    <t>ETH</t>
  </si>
  <si>
    <t>Ethiopia</t>
  </si>
  <si>
    <t>USAID/Ethiopia</t>
  </si>
  <si>
    <t>The USAID Integrated Strategic Plan (ISP) for Ethiopia focuses on several critical sectors for the country's sustainable development: agriculture and natural resource management; household food security; market integration and micro-enterprise development; health and nutrition; basic education; democracy and governance; disaster mitigation; and improving the livelihood of pastoralists.
DevTech contributed to an interdisciplinary team that helped the USAID Mission to Ethiopia develop performance measures for the ISP and prepare Performance Monitoring Plans (PMP) for tracking results. Included in the technical assistance were assistance to the staffs of each Mission's strategic objective teams in identifying PMP performance indicators, assessing data quality, setting targets, and establishing a system for data analysis review and use. The firm also participated in providing technical assistance on results framework development and in conducting a PMP training workshop for the Mission and implementing partner staffs.</t>
  </si>
  <si>
    <t>DevTech participated in a multidisciplinary team that conducted a field evaluation of USAID's Public Law 480 Title II Food Assistance in Ethiopia and made recommendations to the Agency for improving the program’s impact on food security in the country. The team evaluated the effectiveness of various local and international NGOs in providing Ethiopian households with assistance aimed at alleviating hunger, while providing incentives for employment, environmentally sustainable agriculture production, rural infrastructure investments, and small enterprise development in areas targeted for help. The evaluation also suggested ways that the Title II program could be better integrated into other USAID development assistance activities in health, education, and support for pastoralist populations.</t>
  </si>
  <si>
    <t>http://pdf.usaid.gov/pdf_docs/pnacq676.pdf</t>
  </si>
  <si>
    <t>The impact of Title II Food Aid on Food Security in Ethiopia</t>
  </si>
  <si>
    <t>U.S.-Mexico Partnership for Municipal Development</t>
  </si>
  <si>
    <t xml:space="preserve">In an effort to foster fiscal decentralization in the Government of Mexico, DevTech, under contract to ICMA, provided strategic support to the Fiscal Coordination Commission. DevTech sought to enable the Commission to become the key forum for dialogue on fiscal decentralization and to develop concrete proposals for changes and/or improvements to existing laws and policies that the Commission can take to the Mexican National Congress for approval. These efforts helped the Commission better articulate the demand for fiscal decentralization in the country and develop specific initiatives to reform/improve upon existing laws, regulations, and practices.
As part of this effort, DevTech:
&gt;Assessed the state of intergovernmental relations, including distribution of revenues, spending, etc., and the legal framework for the federal and state constitutions and local government law;
&gt;Trained members of the Commission in transfer systems, assignment of roles and responsibilities, service delivery models and best practices based on international experience;
&gt;Designed and supervised a variety of technical studies; and
&gt;Organized a seminar to review these studies and to arrive at a consensus on the future of fiscal federalism.
DevTech helped the Instituto para el Desarrollo Técnico de las Haciendas Públicas (INDETEC) publish these studies in a single volume book titled: Enfoques Alternativos del Federalismo Fiscal en México (Alternative Foci for Fiscal Federalism in Mexico).
This final work represented a broad consensus for reform, endorsed by the major players, but based on solid technical analysis. The broad distribution and discussion of this book helped ensure that these issues would start to rise to the top of the political and legislative agenda.
</t>
  </si>
  <si>
    <t xml:space="preserve">C.P. Marcela Andrade Martínez
</t>
  </si>
  <si>
    <t xml:space="preserve">marcela_andrade@hacienda.gob.mx 
</t>
  </si>
  <si>
    <t xml:space="preserve">01 (55) 36881376 
</t>
  </si>
  <si>
    <t>http://pdf.usaid.gov/pdf_docs/pdabz085.pdf</t>
  </si>
  <si>
    <t>U.S.-Mexico Partnership for Municipial Development Extension Period (Phase II)</t>
  </si>
  <si>
    <t>Ambassador’s Girls’ Scholarship Program</t>
  </si>
  <si>
    <t>EDH-I-00-03-00002-00</t>
  </si>
  <si>
    <t>Attn: Susan Benik</t>
  </si>
  <si>
    <t>susan.benik@MMS.gov</t>
  </si>
  <si>
    <t>Tel: 703/787-1350</t>
  </si>
  <si>
    <t>Combating Exploitative Child Labor through Education in the Dominican Republic</t>
  </si>
  <si>
    <t>U.S. Department of Labor</t>
  </si>
  <si>
    <t>Democratic Development and Citizen Participation Project Phase 3 (DDPC3)</t>
  </si>
  <si>
    <t>511-C-00-03-00236-00</t>
  </si>
  <si>
    <t>DevTech was a member of the ICMA Team that implemented USAID's Democratic Development and Citizen Participation Project Phase 3 (DDPC3). The team promoted and enhanced citizen participation, municipal management and governance, service delivery, local economic development, and institution strengthening in Bolivia.
DDPC3 helped create sustainable municipal governments and supported organizations that were able to plan, implement, and sustain infrastructure and service projects, and promoted economic growth, while effectively including women and indigenous communities in the governance process.
DevTech worked in three primary areas:
Gender Equity
&gt;Reviewed program materials for clarity, sensitivity, and appropriateness, with special consideration for gender equity.
&gt;Redefined USAID/Bolivia's Participatory Municipal Management Model to integrate gender and developed a model for enhancing women's participation in the annual planning process – specifically in the definition of municipal investment based on principles of gender equity.
&gt;Designed and provided training-of-trainers support to program participants in methods and techniques for incorporating gender considerations into training programs.
&gt;Coordinated project activities with the Vice-Ministry for Women's Issues and national level organizations to improve the legal framework supporting gender equity, i.e. assistance in the preparation of the draft law against Political Harassment and Violence (approved by the Senate in Fall 2005 and sent to Constitutional Commission).
&gt;Provided assistance to the Association of Women Municipal Council Members of Bolivia (ACOBOL).
&gt;Delivered technical assistance to the Municipal Council for the definition of a gender policy and legal framework. Technical assistance was provided to gender commissions of the Municipal Councils at Concepción, Ascensión, Curahuara, to enable them to request budgets assigned in the 2005 POA for gender policies.
&gt;Trained women civil society organizations in project design and developing economic activities for women.
&gt;Conducted workshops in support of women's legal rights through the Strengthening of Integrated Legal Services (SLIMS) in project municipalities.
Projects and Service Delivery
&gt;Designed a manual for municipalities for the use of System Control for Public Lighting Management (SISCOC) that introduced general urban planning techniques and provided an easy-to-use tool for decision-making within an overall framework of transparent municipal management.
&gt;Increased capacity of municipalities to provide basic public services either directly or through single entities to provide public services (EPSAS). Several municipalities opened public service units to coordinate and articulate basic public service provision.
&gt;Gained citizen support for adjusting the water fee structure to be based on the real costs for operation, maintenance, and expansion.
Improved potable water quality at the Municipality of Concepción.
&gt;Developed a program for the use of ecological latrines and sewage connection, and provided training in the municipalities of San Javier, Concepción, Ascensión de Guarayos, and San Antonio de Lomerío, with additional training provided in project supervision and control in the municipalities of Cliza, Punata, Rurrenabaque, San Buenaventura, Reyes, Turco, and Curahuara.
Municipal Finance
&gt;DevTech assisted on issues of municipal finance (including independent revenue sources) and played a key role in the initial stages of defining the Municipal Development Index. A specific accomplishment includes institutionalization of capacity to increase own source revenues in rural municipalities (completed in Cliza and San Juan de Yapacani, and ongoing in Chapare and Chiquitanía).</t>
  </si>
  <si>
    <t>Vickie L Brooks</t>
  </si>
  <si>
    <t>vbrooks@icma.org</t>
  </si>
  <si>
    <t>T 202/962-3504</t>
  </si>
  <si>
    <t>Bolivia Democratic Development and Citizen Participation</t>
  </si>
  <si>
    <t>Evaluation of Benin's Basic Education Reform</t>
  </si>
  <si>
    <t>BEN</t>
  </si>
  <si>
    <t>Benin</t>
  </si>
  <si>
    <t>Checchi and 
Company 
Consulting</t>
  </si>
  <si>
    <t>Through a task order under the Evaluation IQC, DevTech conducted a mid-course evaluation of the progress and results attained by the pedagogical component of the Benin basic education reform program. This evaluation identified and analyzed the conformity, coherence, progress, and impact of the new curricula, pedagogical guides, the new Math and French workbooks and textbooks, French wall charts, teacher training, student assessment and school orientation, and documentary network. The findings and the observations provided crucial information to successfully guide the progress of the reform.</t>
  </si>
  <si>
    <t>Evaluation of the USAID/Zambia's Education Program</t>
  </si>
  <si>
    <t>GS-10F-0048L</t>
  </si>
  <si>
    <t>ZMB</t>
  </si>
  <si>
    <t>Zambia</t>
  </si>
  <si>
    <t>USAID/Zambia</t>
  </si>
  <si>
    <t>DevTech completed an independent assessment of the USAID/Zambia’s education program between 2003 and 2009, and presented recommendations for USAID's new educational strategy, programming options, and investments for 2010–2015.
The evaluation team conducted:
A summative evaluation of the three largest USAID-funded education programs, and
A sectoral evaluation that assesses the synergies among projects for affecting overall program sub-sectors such as teacher training and information management systems.
The three-person team spent six weeks in Zambia utilizing six complementary, inter-related forms of gathering information through:
A review of pertinent documents throughout the evaluation process;
Individual and group interviews;
Focus group discussions;
Visits to 29 schools, classroom observations, and conversations with local citizens;
Meetings with MOE personnel in six District Education Board Secretary (DEBS) and three Provincial Education Officer (PEO) offices, district, zonal and provincial resource centers, three community radio stations, and two teacher training colleges in Lusaka, Eastern and Southern provinces. as well as , grantees' offices, non-governmental Organizations (NGOs), andothers; and
the administration of anonymous questionnaires to individuals and groups of people involved in and knowledgeable of one or more of the program activities</t>
  </si>
  <si>
    <t>http://pdf.usaid.gov/pdf_docs/pdacn449.pdf</t>
  </si>
  <si>
    <t>USAID/Zambia Education program Evaluation</t>
  </si>
  <si>
    <t>GED 2003, global education database : user's guide </t>
  </si>
  <si>
    <t>Improved Quality of Education Activity</t>
  </si>
  <si>
    <t>MLI</t>
  </si>
  <si>
    <t>Mali</t>
  </si>
  <si>
    <t>World Education</t>
  </si>
  <si>
    <t>DevTech, under subcontract to World Education, Inc., provided technical assistance to the Improved Quality of Education Activity in Mali. Funded by USAID, the project aimed to achieve maximum impact toward improving educational quality in a resource poor environment. The technical assistance had three components:
1) Improving teacher learning and performance through the implementation of a school cluster system in conjunction with the Ministry of Education (MOE);
2) Providing the MOE with the technical expertise, particularly in mathematics, science, and life skills, to create and implement a curriculum best suited to the needs of Malians; and
3) Working with parents and communities to improve their management of schools, monitoring of quality (in partnership with the MOE), and advocacy/mobilization of resources.</t>
  </si>
  <si>
    <t>Macedonia Competitiveness Activity</t>
  </si>
  <si>
    <t>Booz Allen Hamilton, Inc</t>
  </si>
  <si>
    <t xml:space="preserve">Under this activity, DevTech supported Booz Allen Hamilton, Inc. to build the competitiveness of Macedonian enterprises in domestic, regional, and global markets. DevTech provided technical assistance in integrating gender into this activity.
Key activities included:
&gt;Gender analysis to determine the current economic situation for women and men in Macedonia and how this situation influenced what choices they made;
&gt;Gender training for project staff in gender integration strategies as well as on how to gather and analyze sex-disaggregated data for reporting to USAID and the host-country government;
&gt;Supporting the Business Women's Networking Group for the purpose of encouraging Macedonian women to network with other women like themselves to share information and advocate on important gender issues; and
&gt;Data collection, reporting, and monitoring and evaluation of ongoing gender integration.
 </t>
  </si>
  <si>
    <t>James Fisher 
Devin Thatcher</t>
  </si>
  <si>
    <t xml:space="preserve">fisher_james_w@bah.com
thatcher_devin@bah.com
 </t>
  </si>
  <si>
    <t>703-377-7595
703-902-4631</t>
  </si>
  <si>
    <t>pdf.usaid.gov/pdf_docs/pdaci062.pdf</t>
  </si>
  <si>
    <t>Macedonia competitiveness activity (MCA): 2004 annual report and 2005 final work plan</t>
  </si>
  <si>
    <t>Revitalization of Iraqi Schools and Stabilization of Education (RISE) Project</t>
  </si>
  <si>
    <t>IRQ</t>
  </si>
  <si>
    <t>Iraq</t>
  </si>
  <si>
    <t>Creative Associates International Inc. </t>
  </si>
  <si>
    <t>DevTech was a subcontractor to Creative Associates on this USAID-funded education project that promoted rapid school enrollment and sustained retention in the Iraqi school system – with a focus on children who had either dropped out of school or were never enrolled. The project included rapid distribution of school materials, equipment, and supplies; education reform and accelerated learning; and training of teachers and school administrators.
DevTech was responsible for the following activities under RISE:
&gt;Developing the performance monitoring plan for the project;
&gt;Conducting mid-term and project-end data collection and analysis to monitor and report on the results and impacts of the project’s six discrete educational components; and
&gt;Evaluating the community grants for the school rehabilitation component, which involved interviewing stakeholders at the local level where RISE disbursed grants.</t>
  </si>
  <si>
    <t>http://pdf.usaid.gov/pdf_docs/pdaca190.pdf</t>
  </si>
  <si>
    <t>USAID-Iraq Education Program Overview Year 1</t>
  </si>
  <si>
    <t>Safe Schools Program</t>
  </si>
  <si>
    <t>The Safe Schools Program was a five-year program to create gender-safe environments for girls and boys and promote gender-equitable relationships within schools in Malawi and Ghana. This pioneering, evidence-based initiative was designed to reduce school-related gender-based violence (SRGBV), improve educational outcomes, and reduce negative health outcomes. Program interventions were implemented in schools in the two countries and focused on students ranging in age from approximately 10 to 14.</t>
  </si>
  <si>
    <t>GHA</t>
  </si>
  <si>
    <t>Malawi</t>
  </si>
  <si>
    <t>http://pdf.usaid.gov/pdf_docs/pnadk759.pdf</t>
  </si>
  <si>
    <t>The Safe Schools Program: A Qualitative study to Examine School-Related Gender-Based Violence In Malawi</t>
  </si>
  <si>
    <t>System of Monitoring and Evaluation for Municipalities</t>
  </si>
  <si>
    <t>DevTech provided technical assistance on the Inter-American Development Bank's (IDB) System of Monitoring and Evaluation project in El Salvador as a subcontractor to ICMA. DevTech and ICMA collaborated again as a result of the team's success on the Local Development Program II: Design of Indicators of Financial Performance and Classification of Municipalities in El Salvador project in 2001. During 2002, the IDB implemented the monitoring and evaluation program, called FORFIM, for its financial and administrative work in El Salvador. DevTech used data from work conducted during this period to evaluate and redesign the financial and administrative indicators. Additionally, DevTech helped improve the current drafts of the Plan for Strengthening the Finances of Municipalities Plan de Fortalecimiento Financiero Municipal (PFFM) and the Financial and Economic Prospects of Municipalities Potencial Económico y Fincanciero Municipal. DevTech worked to ensure that the indicators reflect the FORFIM program's final objectives, consulting with interested municipal associations. Finally, DevTech presented a final design of instruments and tools to support the new monitoring and evaluation system for FORFIM, and assist in updating the Operating Manual for the Local Development Program to reflect the design of the new monitoring and evaluation system and activities of the new FORFIM.</t>
  </si>
  <si>
    <t>Tax Administration Modernization Project (TAMP): Phase II</t>
  </si>
  <si>
    <t>BIH</t>
  </si>
  <si>
    <t>This project was a follow-on to TAMP: Phase I. As a SEGIR-EP subcontractor, DevTech led the assistance provided to the three tax administrations in Bosnia and Herzegovina (Federation of Bosnia and Herzegovina, the Republic of Srpska, and the District of Brcko) with the following successes as of August 31, 2004:
1. Addressing critical tax policy and legal framework issues;
2. Building institutional capacity within the BiH governments to conduct fiscal policy analysis;
3. Coordinating closely with a related technical assistance activity funded by Deutsch Gesellschaft fur Technische Zusammenarbeit (GTZ) Gmbh; and
4.Creating a more SME-friendly tax environment through elimination of inequitable taxes and fees.
DevTech's long-term advisors included the Chief of Party, who was based in Sarajevo, and a tax administration advisor based in Banja Luka. Short-term advisors worked on administration and organization of the Central Processing Centers, forms design, information technology, and training issues.
The project was extended from September 2004 to June 2006.</t>
  </si>
  <si>
    <t xml:space="preserve">Public Relations Office </t>
  </si>
  <si>
    <t xml:space="preserve">info@fbihvlada.gov.ba </t>
  </si>
  <si>
    <t xml:space="preserve">387 33 21 29 86 </t>
  </si>
  <si>
    <t>Combating Exploitative Child Labor through Education in Central America</t>
  </si>
  <si>
    <t>E-9-K-4-0045</t>
  </si>
  <si>
    <t>COS, DOM, SLV, GTM, HND, NIC</t>
  </si>
  <si>
    <t>Costa Rica, Dominican Republic, El Salvador, Guatemala, Honduras, Nicaragua</t>
  </si>
  <si>
    <t>CARE</t>
  </si>
  <si>
    <t xml:space="preserve">DevTech worked with CARE USA to implement the U.S. Department of Labor-funded project, Primero Aprendo, in the Central American  and Caribbean region. The project was aimed at improving access to quality education as a means to combat exploitative child  labor in Costa Rica, Dominican Republic, El Salvador, Guatemala, Honduras, and Nicaragua. </t>
  </si>
  <si>
    <t xml:space="preserve">https://www.federalregister.gov/documents/2004/05/06/04-10306/combating-exploitive-child-labor-through-education-in-central-america-costa-rica-el-salvador
</t>
  </si>
  <si>
    <t>Combating Exploitive Child Labor through Education in Central America</t>
  </si>
  <si>
    <t>EdData II</t>
  </si>
  <si>
    <t>1-31U-9354</t>
  </si>
  <si>
    <t>DevTech was a subcontractor to the Research Triangle Institute (RTI) in which DevTech authorized technical support and 
expertise for USAID Missions, Bureaus, and other USAID operating units. DevTech's role included assessing gender issues in education through the data, ensuring that appropriate sex-disaggregated data is collected through the surveys, and identifying gender constraints revealed by the data.</t>
  </si>
  <si>
    <t xml:space="preserve">Environmental Policy and Institutional Strength II IQC </t>
  </si>
  <si>
    <t>PA Consulting</t>
  </si>
  <si>
    <t>Head office</t>
  </si>
  <si>
    <t>44 20 7333 5865</t>
  </si>
  <si>
    <t>Hurricane Ivan Social Sector Infrastructure Repair and Reconstruction</t>
  </si>
  <si>
    <t>532-C-00-05-00007-00</t>
  </si>
  <si>
    <t xml:space="preserve">USAID contracted DevTech to facilitate the rapid reconstruction and refurbishment of education and health facilities that were damaged by Hurricane Ivan during 2004. The project restored 95 facilities to pre-hurricane conditions or better.
DevTech conducted nearly 150 assessments of facilities in order to ascertain which sites qualified under project criteria, and eventually repaired 26 schools, including one university, 66 clinics or community health centers, and three NGOs. The 95 facilities are situated in each of the three regions of Jamaica and in every one of the country’s 14 parishes. The final repairs brought better conditions and benefits to an estimated one million people in the population areas most directly served by the facilities.
DevTech coordinated closely with USAID and the Jamaican Office of National Reconstruction throughout project implementation.
</t>
  </si>
  <si>
    <t>Denise Herbol</t>
  </si>
  <si>
    <t xml:space="preserve"> kingstondir@usaid.gov</t>
  </si>
  <si>
    <t>876-702-6444</t>
  </si>
  <si>
    <t>The Hurricane Ivan social sector infrastructure repair and reconstruction project (HISSIRR) : final report </t>
  </si>
  <si>
    <t>The Hurrican Ivan social sector infrastructure repair and reconstruction project final report</t>
  </si>
  <si>
    <t>Knowledge and Practice: Business Development Services</t>
  </si>
  <si>
    <t>Louis Berger Group</t>
  </si>
  <si>
    <t>DevTech was an active member of a multi-organizational team that developed tools and strategies to:
Enhance inter-firm cooperation and coordination between MSEs and other firms in value chains; and Encourage MSE owners to upgrade their businesses to improve competitiveness.
DevTech staff led the field work for a quantitative study of Micro and Small Enterprises in Guatemala. The purpose of the survey was to identify opportunities and difficulties small enterprises experienced in Guatemala, and to research how small enterprises can thrive in local, national, and global markets. DevTech staff worked with the team to design the research protocol, survey methodology and training materials for local surveyors.</t>
  </si>
  <si>
    <t>Mid-Term Evaluation of the Pilot Program to Support Municipalities and Small Enterprises in El Salvador</t>
  </si>
  <si>
    <t>Fondo de Inversion Social para el Desarrollo Local (FISDL)/Inter-American Development Bank (2004)
DevTech performed an evaluation of FISDL's pilot program, which supports municipalities and small enterprises in El Salvador. DevTech staff analyzed FISDL's execution of projects in 40 municipalities with the participation of 600 small enterprises. These projects fund and promote sustainable local development in El Salvador through strengthening the capacities of local governments and community organizations. The FISDL project promotes processes that foster equality, participation, and transparency, helping governments and economic development organizations use these concepts in the effective and efficient uses of limited resources.</t>
  </si>
  <si>
    <t>Program for Productive Reactivation of Micro, Small, and Medium Businesses</t>
  </si>
  <si>
    <t>Assessment of the USAID Assistance Program to the Reform of the Benin Primary Education System</t>
  </si>
  <si>
    <t>USAID/Benin</t>
  </si>
  <si>
    <t xml:space="preserve">DevTech fielded a team of five technical experts to assess the accomplishments of USAID support to the education sector in Benin, examine the impact of USAID-funded basic education programming in Benin, and propose follow-on programs. The assessment documented results, identified constraints, reviewed USAID/Benin’s transition strategy, and proposed programming options for future USAID-funded support to the primary education system for the period of 2006–2011.
◾Assessed the sustainability of current USAID-funded technical assistance and training to support school district operations and in-service training of teachers;
◾Assessed the implementation and the performance of the new study program in private schools while comparing findings with the experience in public schools;
◾Assessed the current teacher training model as applied in Benin;
◾Identified constraints affecting the reform and provide recommendations on short- and long-term solutions; and
◾Assessed the impact and relevance of the USAID/Benin education program, specifically in terms of its objectives, expected results, approach, and the strategy adopted.
</t>
  </si>
  <si>
    <t>http://www.devtechsys.com/images/eyd/benin-reform-of-the-primary-education-system.pdf</t>
  </si>
  <si>
    <t>Benin Reform of the Primary Education System</t>
  </si>
  <si>
    <t>Cyprus Biodiversity Assessment</t>
  </si>
  <si>
    <t xml:space="preserve">EPP-I-00-03-00015-00
</t>
  </si>
  <si>
    <t>CYP</t>
  </si>
  <si>
    <t>Cyprus</t>
  </si>
  <si>
    <t xml:space="preserve"> PA Consulting</t>
  </si>
  <si>
    <t>As part of the process of preparing its first Mission Strategy, the United States Agency for International Development (USAID) office in Cyprus was required to prepare the FAA 119 Biodiversity Analysis report to comply with Section 119 of the Foreign Assistance Act (FAA).
DevTech was the primary author of the final report, which provided a thorough environmental perspective of Cyprus. The report focused on biodiversity and environmental issues. The findings and recommendations were presented a manner consistent with USAID's Strategic Objective, "conditions to foster a durable settlement in Cyprus are strengthened" and were within the existing framework of the Mission's portfolio.
The findings in the report were based on information gathered during interviews and site visits to the Greek Cypriot Community (GCC) in the south and the Turkish Cypriot Community (TCC) in the north. Places visited included the Salt Lake in Larnaca, the Paphos region and Akamas Peninsula in the south and the "new road" to the Karpaz Peninsula and Lefka in the north.</t>
  </si>
  <si>
    <t>Environmental Compliance Support Services II</t>
  </si>
  <si>
    <t>Evaluation of USAID Basic Education in Kyrgyzstan, Tajikistan, and Uzbekistan</t>
  </si>
  <si>
    <t>Guatemala Decentralization and Local Governance</t>
  </si>
  <si>
    <t xml:space="preserve">DevTech was the prime contractor on USAID's Decentralization and Local Governance program in Guatemala. DevTech provided technical assistance in municipalities and coordinated assistance for national-level institutions to improve the capacity to support decentralization. In two cases, contract results were modified mid-course due to changes in Government of Guatemala requirements for municipalities. DevTech conducted the necessary technical analysis to adjust the program activities and re-target assistance. DevTech also helped the Governor of the San Marcos Department establish a system for municipalities to implement reconstruction activities and monitor reconstruction projects in the aftermath of Hurricane Stan.
DevTech incorporated an integrated performance monitoring system for its work at the local government level, which includes indicators for more than 20 lower-level results, and data collection (baseline and yearly) in 15 municipalities. The system served as a basis for establishing indicators of municipal development and guided program activities.
The Program had four Sub-Intermediate Results (IR):
Sub-IR 2.1 More transparent systems for management of public resources by local governments
Sub-IR 2.2 Increased devolution of responsibilities and resources to the local level resulting in greater responsiveness by local governments to citizens' needs
Sub-IR 2.3 More opportunities for citizen participation in and oversight of local government decision-making
Sub-IR 2.4 Local capacity for the development and implementation of reconstruction program strengthened in the San Marcos Department. 
 Sub-IR 2.1. More Transparent Systems for Management of Public Resources
This Sub-IR indicator measured the improvement in the fiscal performance of the selected municipalities. For the 13 selected Program municipalities, intergovernmental transfers were, on average, 92 percent of total revenues in 2008. The annual rate of growth of own-source revenues for the 13 selected municipalities increased from -0.5 percent in 2005 to 41.2 percent in 2008. Technical assistance was delivered through three mechanisms:
Updating the municipal fees schedules;
Improving operating regulations and collection of fees for municipal services; and
Strengthening policies to reduce the avoidance of the payment of municipal services
In addition to the improvement in revenue collection, the Program successfully strengthened the public financial management systems at the municipal level. These included a public procurement system, financial management system, auditing units, and internal controls. In the base year of 2005, the average score for the 13 municipalities was 31 out of 100 points. When the Program closed in September 2009, the average had increased to 89 out of 100 points.
Sub-IR 2.2. Increased devolution of responsibilities and greater responsiveness to citizen needs 
The focus of the activities in this Sub-IR was to change the dynamics at the national level for decentralization. The Program:
Developed a proposal for a municipal tax code and a municipal code;
Introduced a solution for the problem of municipal debt;
Designed a Single-Window for Municipal Projects as the mechanism to improve the coordination of national and municipal public investment; and
Provided legal assistance for the revision of the statutes of national-level municipal associations to reform their reform its governance structure. 
Sub-IR 2.3. More opportunities for citizen participation in and oversight of local government decision-making
The indicator for Sub-IR 2.3 was defined as: “Number of Municipalities with Municipal Development Council (COMUDE) Citizen Participation Commissions operating”. Although the target was seven (7) COMUDEs, by the end of the Program 10 COMUDEs had been established and were functioning with the appropriate commissions and committees. Those formed included the participation of municipal authorities and community leaders. These commissions monitored the commitments made by the COMUDE. In addition, the commissions were conceived as a space to improve the quality, not only the number, of women participating. The Program experience suggests that women participate more actively in small groups. Over the course of the four years of field implementation, a total of 22,744 persons participated in training workshops, COMUDEs, and Commissions (not exclusive to Citizen Participation). Of this total, 24.8 percent were women.
Sub-IR 2.4. Local capacity for the development and implementation of reconstruction program strengthened in the San Marcos Department.
At the request of USAID, Sub-IR 2.4 was added to the Program to contribute to the reconstruction process in the Department of San Marcos in the aftermath of Tropical Storm Stan. In the aftermath of Hurricane Stan, DevTech provided technical assistance during a two-year period to 14 municipalities as well as the governor’s office to track and manage rehabilitation projects to ensure their completion, and strengthen the Municipal Planning Offices and COMUDES to take a pro-active role in the process. A tangible outcome was the design of an easy-to-use management information system for monitoring infrastructure projects that can be used at the municipal levels. The Program has worked with the Secretariat of Decentralization (SCEP) to establish a one-stop window for processing municipal investment projects, and also worked with SCEP and Executive Secretariat of Planning and Programming to replicate the program as a model across the country.
</t>
  </si>
  <si>
    <t>ICR for Azerbaijan Pilot Reconstruction Project</t>
  </si>
  <si>
    <t>AZE</t>
  </si>
  <si>
    <t>Azerbaijan</t>
  </si>
  <si>
    <t>DevTech completed an Implementation Completion Report (ICR) for the Azerbaijan Pilot Reconstruction Project (CR 31090 and 31091) for the World Bank. The ICR was completed based on a review of Bank project files and related documents, interviews with pertinent Bank staff, beneficiaries, Azerbaijan government officials, other donors, and others in a position to have knowledge of the identification, implementation and impact of the projects.</t>
  </si>
  <si>
    <t>http://documents.worldbank.org/curated/en/711881468009974891/pdf/346260rev0pdf.pdf</t>
  </si>
  <si>
    <t xml:space="preserve">IMPLEMENTATION COMPLETION REPORT ON A CREDIT IN THE AMOUNT OF US$20.0 MILLION TO THE REPUBLIC OF AZERBAIJAN FOR  A PILOT RECONSTRUCTION PROJECT
</t>
  </si>
  <si>
    <t>Improving Business Climate in Morocco (IBCM)</t>
  </si>
  <si>
    <t>5153-0000-04S-002</t>
  </si>
  <si>
    <t>MAR</t>
  </si>
  <si>
    <t>Morocco</t>
  </si>
  <si>
    <t>The Improving the Business Climate in Morocco (IBCM) Program in Morocco supported the government to be more responsive to the needs of business, so that businesses could more effectively contribute to Morocco’s goals of expanded economic growth and job creation. DevTech assessed gender-based constraints and integrated gender into each of the four components of the project:
Improved policy, legal, and regulatory environment;
More efficient and effective judiciary;
Improved support systems for financial markets expansion; and
More growth-oriented tax policies, laws, and regulations.
Specifically, DevTech:
Provided review and inputs to project work plan development to ensure gender integration;
Assessed gender-based constraints to the expansion of financial markets;
Catalogued available resources including women's business associations and women lawyer's associations and established contacts with those stakeholders in the business sector;
Provided input into the drafting, review, and monitoring of policy, laws, and regulations to ensure that gender considerations are factored into them;
Reviewed training plans to ensure that those training workshops delivered under the project incorporate issues of particular importance to women in business;
Integrated gender into indicators and baseline data collection and analysis (where feasible and useful to monitor) through sex-disaggregated data, the  impact of the project and/or particular interventions under the project on women and men; and
Provided gender integration training to IBCM staff in Morocco.</t>
  </si>
  <si>
    <t>http://pdf.usaid.gov/pdf_docs/pnady496.pdf</t>
  </si>
  <si>
    <t>Improving the business climate in Morocco: regulatory reform and investment promotion -- beyond doing business: final report</t>
  </si>
  <si>
    <t>Integrated Tax System Technical Assistance</t>
  </si>
  <si>
    <t>U.S. Trade and Development Agency/Kenya Revenue Authority (2005–2006)
DevTech partnered with the M Group on a U.S. Trade and Development Agency (USTDA)- funded feasibility study to examine the Kenya Revenue Authority’s (KRA) Information and Communications Technology (ICT) strategy, issue proposals and recommendations for modernization of this strategy, and identify and develop costing for procuring and implementing a computerized integrated tax management system. Specific tasks within the KRA's Enterprise Integrated System Architecture (KREISA) plan included:
Reviewing the KRA's functions, processes, technology infrastructure, and policies concerning the KRA's tax management functions nationwide;
Undertaking Business Process Improvement with regard to the KRA's tax management functions;
Determining the features that are necessary in the tax management software and identifying potential products to meet these requirements;
Developing a high-level implementation plan for procuring and implementing the new software, and network infrastructure, and developing an implementation strategy;
Developing a KRA ICT framework document to support the KRA's business functions; and
Identifying legal and regulatory issues relevant to the procurement and implementation of the new system, and recommending measures to address these issues.</t>
  </si>
  <si>
    <t>https://www.ustda.gov/library/reports/requested/KEN_200410042A_v2.pdf</t>
  </si>
  <si>
    <t>Nigeria Restructured Economic Framework for Openness, Reform, and Macroeconomic Stability (REFORMS)</t>
  </si>
  <si>
    <t>The Nigeria Restructured Economic Framework for Openness, Reform and Macroeconomic Stability (REFORMS) project supported the Nigerian government at both the federal and state levels in improving the budgeting process and accelerating improvements in public procurements. DevTech provided technical expertise for the project in the following areas:
Capital budgeting at the federal level with the Budget Office of the Federation;
Capital budgeting at the state level with four state offices equivalent to the Budget Office;
Institutional strengthening and organizational change; and
Training to federal ministries and agencies.</t>
  </si>
  <si>
    <t>http://pdf.usaid.gov/pdf_docs/pdaco498.pdf</t>
  </si>
  <si>
    <t>Quarterly Progress Report Restructured Economic Framework for Openness, Reform &amp; Macroeconomic Stability Project</t>
  </si>
  <si>
    <t>Response to Hurricane Katrina</t>
  </si>
  <si>
    <t>International Rescue Committee</t>
  </si>
  <si>
    <t>DevTech assisted the International Rescue Committee in Baton Rouge, Louisiana, to undertake the needs of hurricane 
evacuees. DevTech helped in designing academic and social youth programs, working with a task force to institute a 
network of charter schools in East Baton Rouge, advising the Baton Rouge Area Foundation on present and vital needs in the
community, and providing consultation to the newly formed Louisiana Family Recovery Corps on basic standards for service 
delivery to children and youth.</t>
  </si>
  <si>
    <t>Safe schools program : Jamaica assessment report, April 11-22, 2005 </t>
  </si>
  <si>
    <t>Sri Lanka Tsunami Reconstruction Program</t>
  </si>
  <si>
    <t>LKA</t>
  </si>
  <si>
    <t>Sri Lanka</t>
  </si>
  <si>
    <t>CH2M Hill</t>
  </si>
  <si>
    <t>Of the several countries affected by the tsunami in December 2005, Sri Lanka suffered a great loss of life as a result of this devastating event. DevTech was a subcontractor on a post-tsunami reconstruction and development project led by CH2M Hill. DevTech assisted with short-term consultancies to support all aspects of the project, with a particular focus on vocational education. The project also focused on repair and reconstruction of harbors, bridges, and roads.</t>
  </si>
  <si>
    <t>Karen J. Holden</t>
  </si>
  <si>
    <t>CH2M HILL Int’l</t>
  </si>
  <si>
    <t>1.888.242.6445</t>
  </si>
  <si>
    <t>Tax Policy and Administration Reform (TPAR)</t>
  </si>
  <si>
    <t xml:space="preserve">The Tax Policy and Administration Reform (TPAR) project supported the Government of El Salvador’s Ministry of Finance in its efforts to improve and modernize tax policy and administration. The primary focus during the project's initial years was on strengthening and modernizing tax administration. DevTech provided long-term intermittent and short-term technical assistance, and successfully:
&gt;Conducted a benchmarking study documenting the existing Ministry of Finance indicators, the benchmarks, and the performance to be obtained;
&gt;Made an IT assessment and recommendations;
&gt;Conducted an administrative structure assessment and issued recommendations;
&gt;Assessed the potential performance under the existing tax administration structure;
&gt;Analyzed ways to maximize collections;
&gt;Assessed the VAT (value added tax) control system and issued recommendations; and
&gt;Documented an Administrative Structure for a Tax Administration Modernization Plan.
 </t>
  </si>
  <si>
    <t>http://pdf.usaid.gov/pdf_docs/pdacn142.pdf</t>
  </si>
  <si>
    <t>Quarterly Report Tax Policy &amp; Administration Reform Project El Salvaldor</t>
  </si>
  <si>
    <t>Gender Assessments STTA &amp; TTO: Gender Assessment: Haiti (TDY 62)</t>
  </si>
  <si>
    <t>GEW-I-01-02-00019-00</t>
  </si>
  <si>
    <t>HTI</t>
  </si>
  <si>
    <t>The assessment was requested to prepare for the development of the 2007-2009 country strategy. Through a review of research and program documents, and interviews with USAID staff and partners as well as key individuals representing non-governmental and other donor organizations, the assessment identified gender relations and gender-based constraints that may affect or be affected by USAID programs. It includes general factors to be addressed in the Strategy Statement, as well as more specific factors to be considered in the preparation of activity-specific documents (such as sector analyses, operational plans and activity designs).</t>
  </si>
  <si>
    <t xml:space="preserve">Link </t>
  </si>
  <si>
    <t>Gender Assessments STTA &amp; TTO: Gender Mainstreaming Workshop for Project NOVA and Partners in Armenia (TDY 64)</t>
  </si>
  <si>
    <t>ARM</t>
  </si>
  <si>
    <t>Armenia</t>
  </si>
  <si>
    <t>The task order collaborated with the Mission and Project NOVA to provide a two and a half day gender training workshop for health projects and associated partner organizations and Ministry of Health staff.</t>
  </si>
  <si>
    <t>Gender Assessments STTA &amp; TTO: Gender Training: Uganda &amp; APEP (TDY 59)</t>
  </si>
  <si>
    <t>UGA</t>
  </si>
  <si>
    <t>USAID/Uganda organized three gender training workshops for its staff, partners, field trainers and farmer organizations. All three workshops were held in Kampala and attended by 108 participants. The workshops were facilitated by the task order.</t>
  </si>
  <si>
    <t>Gender Assessments STTA &amp; TTO: USAID/Nicaragua Gender Training (TDY 63)</t>
  </si>
  <si>
    <t>The task order collaborated with the Global Health Interagency Gender Working Group, and the USAID/Nicaragua Mission to provide three gender training workshops for 75 Mission, implementing partner, and governmental staff.</t>
  </si>
  <si>
    <t>Biodiversity Analyses for Ukraine, Belarus, and Moldova</t>
  </si>
  <si>
    <t>EPP-I-00-03-00015-00</t>
  </si>
  <si>
    <t>UKR, BLR, MDA</t>
  </si>
  <si>
    <t xml:space="preserve">Feasibility Assessment to Support Technical Education in Aech Province </t>
  </si>
  <si>
    <t>IDN</t>
  </si>
  <si>
    <t>Indonesia</t>
  </si>
  <si>
    <t>USAID/Indonesia</t>
  </si>
  <si>
    <t>The purpose of this feasibility study was to determine the needs and options for strengthening the relevance, accessibility, and quality of technical education in Aceh Province. The assessment included: 1) Examining labor market needs for long term sustainable development; 2) Assessing long term sustainable economic growth and the skills needed in growth industries; 3) Assessing the status of technical and vocational education institutions; and, 4) Analyzing construction and maintenance costs to build a new polytechnic institution in Aceh</t>
  </si>
  <si>
    <t>http://pdf.usaid.gov/pdf_docs/Pnadg736.pdf</t>
  </si>
  <si>
    <t>Feasability Study for a Technical Education Facility in Aech Province</t>
  </si>
  <si>
    <t xml:space="preserve">Global Data Services  (EDSB) </t>
  </si>
  <si>
    <t xml:space="preserve"> RAN-O-00-06-00031-00</t>
  </si>
  <si>
    <t>DevTech managed the Economic and Social Data Base (ESDB) for the United States Agency for International Development (USAID). The ESDB is a sophisticated information system that provides macro-level, international economic and social statistical data to USAID Central and Regional Bureaus, USAID Missions, and other U.S. Government Departments and Offices.</t>
  </si>
  <si>
    <t>http://pdf.usaid.gov/pdf_docs/pnacu613.pdf</t>
  </si>
  <si>
    <t>USAID Knowledge Management Inventory</t>
  </si>
  <si>
    <t>Mid-Term Assessment of the USAID/Senegal Middle Basic Education Program</t>
  </si>
  <si>
    <t>SEN</t>
  </si>
  <si>
    <t>Senegal</t>
  </si>
  <si>
    <t>The purpose of this mid-term assessment was to review program progress to date and identify areas for improvements that would facilitate the attainment of planned results and guide the Ministry of Education and USAID in developing a program for supplemental basic education funds. The evaluation team, comprised of four education evaluators, reviewed USAID/Senegal's Middle Basic Education assistance strategy, suggested adjustments to existing programs, and recommended priorities for future assistance. The evaluation team assessed USAID/Senegal's efforts to achieve the following objectives:
Increased access to middle school;
Improved learning and teaching environment;
Increased participation of local government and communities in education, management, and financing;
Management of the USAID/Senegal program; and
Monitoring and evaluation of the program.
The evaluation addressed 53 research questions subsumed under six key questions:
Is the program achieving expected results (at the SO, KIR and SIR levels)?
Is the approach (or model) sufficient to achieve the expected results and how might it be modified?
Are the current implementation approached effective and how might they be improved?
Should the Mission expand the present program and, if so, with what modifications)?
Should the Mission expand into additional regions or work in urban areas?
What, if any, additional program components should be added?</t>
  </si>
  <si>
    <t>Program Evaluation, Sector Studies, and Technical Assistance for the Basic Education Program</t>
  </si>
  <si>
    <t>DevTech conducted a summative evaluation of USAID/Guinea's education program with a six-member technical assessment team. The evaluation gauged the viability of USAID's approaches, and evaluated the efficiency, management, sustainability, impact, and results of USAID's education activities in Guinea since their inception. The evaluation team focused on the Fundamental Quality and Equity Levels project (FQEL), the Community Participation for Equity and Quality in Basic Education project (PACEEQ), as well as other major education program activities.</t>
  </si>
  <si>
    <t>Program evaluation for USAID/Guinea basic education program portfolio </t>
  </si>
  <si>
    <t>Program Evaluation for USAID/Guinea Basic Education Program Portfolio</t>
  </si>
  <si>
    <t>Water Tracking, Estimating, and Reporting Support (WATERS) Program</t>
  </si>
  <si>
    <t>EEP-I-00-05-00010-00</t>
  </si>
  <si>
    <t>Mendez, England, and Associates</t>
  </si>
  <si>
    <t>The WATERS Program focused primarily on providing accurate and timely information on USAID's water and coastal resources management activities and on the levels of financial support provided by the Agency, State Department, and other federal agencies. The program also provided technical support for writing, analysis, and reporting in support of the USAID Economic Growth, Agriculture, and Trade Bureau's Office of Natural Resources.
 </t>
  </si>
  <si>
    <t>Gender Assessments STTA &amp; TTO: Gender Assessment: Colombia (TDY 66)</t>
  </si>
  <si>
    <t>A team of three consultants conducted an assessment in anticipation of the 2007 Operational Plan. The Mission asked that the assessment focus on gender in relation to the armed conflict and its effects, in five programming areas: justice, human rights (with emphasis on domestic violence), alternative development, internally displaced populations, and demobilization and reintegration of ex-combatants. Recommendations were made for incorporating gender into each sector</t>
  </si>
  <si>
    <t>Accounting Certification and Education Program</t>
  </si>
  <si>
    <t>690-M-00-07-00105</t>
  </si>
  <si>
    <t xml:space="preserve">GS-10F-0366R </t>
  </si>
  <si>
    <t>AGO</t>
  </si>
  <si>
    <t>Angola</t>
  </si>
  <si>
    <t>Duca Consulting International</t>
  </si>
  <si>
    <t>DevTech worked through its mentor/protégé relationship with Duca Consulting to provide specific advisory and assistance services to USAID/Angola in its efforts to support the Angolan National Bank's (BNA) development of an Angolan professional accountant certification program. The goal was to assist USAID in defining the activities and expected results that lead to the broad adoption of internationally acceptable accounting standards in Angola. This included establishing both an institutional framework for overseeing the application of certification standards and the human and organizational capacity development aspects that are necessary to ensure the adoption and implementation of these standards.</t>
  </si>
  <si>
    <t>info@ducaconsulting.com</t>
  </si>
  <si>
    <t xml:space="preserve">301-933-7654 </t>
  </si>
  <si>
    <t>http://www.devtechsys.com/projects/africa/22-projects/africa/165-accounting-certification-and-education-program</t>
  </si>
  <si>
    <t>Combating Exploitative Child Labor through Education in the Dominican Republic</t>
  </si>
  <si>
    <t>Early Childhood Education Program Evaluation</t>
  </si>
  <si>
    <t xml:space="preserve"> 391-G-00-04-01020-00</t>
  </si>
  <si>
    <t>GEG-A-00-01-00005-00</t>
  </si>
  <si>
    <t>PAK</t>
  </si>
  <si>
    <t>Pakistan</t>
  </si>
  <si>
    <t>DevTech completed a final evaluation of the USAID/Pakistan Mission's early childhood education program. The evaluation looked at the activities implemented by two organizations in Sindh, Balochistan, Rawalpindi, Islamabad, and Karachi to assess the effectiveness and impact of the program, document lessons learned, and provide summary findings and conclusions.</t>
  </si>
  <si>
    <t>AID-CIO-M-12-00005</t>
  </si>
  <si>
    <t>DevTech manages USAID's Economic Analysis and Data Services (EADS), the Chief Information Officer's initiative to provide U.S. Agency for International Development (USAID) employees with quick and easy access to development data and quantitative analytical support. EADS maintains several specialized websites, which provide access to thousands of statistical series covering all aspects of the development process along with data analysis tools.
In September 2013, DevTech was awarded an add-on to the EADS project. The Microenterprise Accountability and Results Tracking Activity is a four-year activity designed to assist USAID/E3 office to respond to the congressionally-mandated reporting on the status of the agency's microenterprise work each year, while also making the information collected publicly available.
The EADS Websites include the Trade Capacity Building Database, the U.S. Official Development Assistance Database, and the U.S. Overseas Loans and Grants (Greenbook).</t>
  </si>
  <si>
    <t>Elimination of the Worst Forms of Child Labor in Colombia</t>
  </si>
  <si>
    <t>Partners of the Americas</t>
  </si>
  <si>
    <t>In association with Partners of the Americas (lead grantee), Mercy Corps, and CINDE (a Colombian organization specializing in early childhood education and research), DevTech  replicated the successful Espacios para Crecer (Spaces for Growth) and Espacios para Emprender (Spaces for Entrepreneurship) programs in Colombia. Espacios para Crecer (EpC) was developed under the DOL-funded project Combating Child Labor through Education in the Dominican Republic (2003-2007) and Espacios para Emprender (EpE) under the new DOL-funded project Combating Exploitative Child Labor through Education in the Dominican Republic (2007-2011) in the Dominican Republic.
In Colombia, the project worked to withdraw or prevent more than 10,000 Colombian children and adolescents from engaging in exploitative child labor by delivering educational opportunities, implementing strategies to raise awareness about the child labor problem, and supporting the improvement of education and child labor policies. 
The project worked in the most conflictive and poorest barrios of Bogotá, Cali, Cartagena, Barranquilla and Santa Marta, and in poor rural areas of the provinces of Santander and Boyacá where armed conflict has been a way of life during the past few decades.
The EpC and EpE programs focus on children who are involved in the worst forms of child labor: commercial sexual exploitation, street sales (ranging from food to drugs), carrying heavy packages in market areas, work in small machine shops, work in agriculture with dangerous tools and toxic substances. The programs have enabled children and adolescents to improve their self-image, gain valuable social and academic skills and as a result attend school regularly and improve their academic performance.</t>
  </si>
  <si>
    <t>Moldova Governance Country Threshold Program</t>
  </si>
  <si>
    <t>MOL</t>
  </si>
  <si>
    <t>Moldova</t>
  </si>
  <si>
    <t>DevTech worked in Moldova with Millenium-IP3 partners to implement the MCC Threshold Country Plan for Moldova. DevTech worked primarily on tax administration reform to prevent and deter corruption in the administration of tax law by reducing opportunities for corruption and improving efficiency in tax assessments and collections. It also sought to limit tax officials' interaction with taxpayers and remove as much as possible personal discretion in assessments and collections; upgrade tax collections; and substantially upgrade the professionalism and customer service capacity of the government cadre.
The core of the program was the standardization and automation of procedures, and the expansion of the UNDP-developed E-Declarations Information System and Portal to allow full functionality and on-line submission of the full array of required tax returns, electronic communication with tax authorities, and uninterrupted access to entity-specific information such as assessments. The expanded system addressed all forms of taxes, including personal income tax, corporate income tax, and value-added tax, as well as assessments and filings to the Social Insurance Fund.</t>
  </si>
  <si>
    <t xml:space="preserve">USAID/Ghana awarded a Cooperative Agreement in 2001 to World Education to provide support for a program in Strengthening HIV/AIDS Partnerships in Education (SHAPE), referred to as SHAPE I.  In 2004, USAID/Ghana awarded a follow-on three-year Cooperative Agreement, referred to as SHAPE II.  The project’s objective was to reach students, teachers, and parents with information necessary to prevent the spread of HIV/AIDS to themselves and mitigate its impact on the education sector as a whole.  
 </t>
  </si>
  <si>
    <t>James C. Athanas</t>
  </si>
  <si>
    <t>Tel: 233-21-780-580 | Cel: 233-244-313-522</t>
  </si>
  <si>
    <t>http://ghana.worlded.org/Docs/usaid_shape_evaluation.pdf</t>
  </si>
  <si>
    <t xml:space="preserve">STRENGTHENING HIV/AIDS PARTNERSHIPS IN EDUCATION (SHAPE 1 AND 11) EVALUATION REPORT </t>
  </si>
  <si>
    <t>Strengthen the Capacity of the Accountant General of the Federation of Nigeria</t>
  </si>
  <si>
    <t>DPK Consulting</t>
  </si>
  <si>
    <t>This project sought to build the capacity of the Office of the Accountant General of the Federation (AGF) and Auditor General's Office (AGO) to use an electronic Transaction Recording and Reporting System (TRRS) developed with assistance from the World Bank and IMF. At the beginning of the project, 51 of the 105 government ministries, departments, and agencies and none of the federal payroll offices were using the TRRS to submit timely accounts. The project aimed to change the business practices of branches of the federal government so they would integrate the TRRS into their operations, strengthening the capacity of the AGF to complete the consolidation of accounting information from all Ministries and agencies in a timely manner, and ensuring that consolidated data was used to perform real-time audits. Trainings enhanced accountants’ capacity to enter information into the TRRS and auditors’ capacity both in the AGF and AGO to perform real-time audits of government agencies, offices, aid Ministries.
As part of this initiative, DevTech developed an organizational change management (OCM) strategy for the TRRS, and worked with other project team members to implement it. The purpose of the OCM strategy was to ensure that all system users were fully aware of the changes taking place as a result of the new system, and understood their respective roles in the organization.</t>
  </si>
  <si>
    <t>Gender Assessments STTA &amp; TTO: Gender Analysis: Women's Earmark in Afghanistan, FY 2008 (TDY 74)</t>
  </si>
  <si>
    <t>AFG</t>
  </si>
  <si>
    <t>Afghanistan</t>
  </si>
  <si>
    <t>A team of two gender experts conducted field work in Afghanistan to collect data about the Mission</t>
  </si>
  <si>
    <t>Gender Assessments STTA &amp; TTO: Gender Assessment: Guatemala (TDY 73)</t>
  </si>
  <si>
    <t>The gender assessment was requested to help guide gender integration in Mission programs and compliance with Agency directives for gender. The Mission identified three broad objectives, with a strong focus on rural areas: Economic Growth (primarily agriculture and forestry), DG (municipal strengthening and decentralization), and Investing in People (health, education, and food security). A team of three senior consultants (one US and two part-time Guatemalan) conducted the assessment, which included a series of recommendations and a draft gender action plan for the Mission.</t>
  </si>
  <si>
    <t>Gender Assessments STTA &amp; TTO: Gender Assessment: Malawi (TDY 67)</t>
  </si>
  <si>
    <t>A team of three gender specialists (one international and two Malawian) conducted field work to examine the Mission</t>
  </si>
  <si>
    <t>Gender Assessments STTA &amp; TTO: Gender Training: Middle East Regional Training Program (TDY 72)</t>
  </si>
  <si>
    <t>In support of the GenDev Office, the task order managed the delivery of a gender integration workshop hosted by USAID/Egypt for gender focal points, program officers, other relevant staff, and implementing partners of the Middle East Missions, aimed at increasing knowledge of gender integration in USAID programming. This was the first of a series of trainings/workshops. The materials for the training were posted to the web for the participants.</t>
  </si>
  <si>
    <t>N/A</t>
  </si>
  <si>
    <t>Gender Assessments STTA &amp; TTO: Support for Conference participation on Child Marriage at the United Nations (TDY 69)</t>
  </si>
  <si>
    <t>The task order funded travel for a USAID-funded participant from Ethiopia to travel to a conference in the United States.</t>
  </si>
  <si>
    <t>Customs Transit Control System Project</t>
  </si>
  <si>
    <t>6084-001-45</t>
  </si>
  <si>
    <t>USTDA</t>
  </si>
  <si>
    <t>Fast Track Initiative Evaluation</t>
  </si>
  <si>
    <t>http://www.devtechsys.com/images/eyd/zambia-strengthen-support-to-community-schools-2008-05.pdf</t>
  </si>
  <si>
    <t xml:space="preserve">USAID/Zambia Assistance to Strengthen Ministry of Education Support to Community Schools </t>
  </si>
  <si>
    <t>DevTech designed and pilot tested a GPS-based customs transit control system in close collaboration with Guatemala's revenue authority, the Superintendencia de Administracion Tributaria (SAT). The system was designed to operate with the SAT's current IT infrastructure, and provided SAT officials the ability to monitor containers crossing the country's borders. In addition to the design of the system, DevTech designed on-line training modules that could be used by SAT officials throughout the country to train them in the use of the system. The project was recognized by both the SAT and USTDA as a successful effort to improve Guatemala's customs administration.</t>
  </si>
  <si>
    <t>Kosovo Private Enterprise Program</t>
  </si>
  <si>
    <t>EEM-I-00-07-00007-00</t>
  </si>
  <si>
    <t>KKO</t>
  </si>
  <si>
    <t>Kosovo</t>
  </si>
  <si>
    <t xml:space="preserve">Kosovo Private Enterprise Program (PEP) is designed to elevate impact by catalyzing transformational change for Kosovo's economy through lasting improvements in private sector competitiveness. PEP includes four main components:
1. Support private sector in targeted sectors with potential for growth and competitiveness;
2. Identify demand-driven development for business support services;
3. Improve the business enabling environment; and
4. Workforce development.
The Private Enterprise Program also addresses the cross-cutting areas of gender, youth, and minority development.
DevTech's contribution in the preliminary stages of the program has been in the workforce development component. DevTech specialists have identified training gaps in critical economic sectors, and have developed both short- and long-term intervention plans. The key sectors include agriculture, construction, forestry, ICT, tourism, recycling, metals, and decorative stone.
 </t>
  </si>
  <si>
    <t>http://pdf.usaid.gov/pdf_docs/pa00jd9w.pdf</t>
  </si>
  <si>
    <t>USAID Kosovo Private Enterprise Program Final Report</t>
  </si>
  <si>
    <t>Mid-Term Evaluation of American University in Cairo (AUC) Leadership for Education and Development (LEAD) Scholarship Program</t>
  </si>
  <si>
    <t>DevTech fielded a two-person Evaluation Team (including a Team Leader from the US and an Egyptian expert) to determine the quality of program delivery in reference to the stated program goals and program indicators, characteristics of the students selected, program sustainability, and cost effectiveness. The Team provided summary findings, documented key lessons learned, and identified recommended adjustments in program implementation, including methods for improving LEAD in the short-term and long-term, as well as ways to replicate the program within Egypt and beyond.</t>
  </si>
  <si>
    <t>Mid-Term Evaluation of American University in Cairo Leadership for Education and Development Scholarship Program</t>
  </si>
  <si>
    <t>LBR</t>
  </si>
  <si>
    <t>Liberia</t>
  </si>
  <si>
    <t>Mid-Term Evaluation of the Accelerated Learning Program for Positive Living and United Service (ALPP)</t>
  </si>
  <si>
    <t>DevTech conducted a mid-term review of the Accelerated Learning Program for Positive Living and United Service (ALPP) for USAID/Liberia.
Introduced in 2006, the ALPP was part of the broader Liberian Accelerated Learning Program (ALP).  ALP was developed in 1998 with the goal of meeting the educational needs of primary school drop-outs and over-aged children and youth, by enabling them to complete their primary education in three years (Levels 1-III vs. Grades 1-6). At the time of the evaluation, the ALP was implemented in 10 counties by 11 implementing partners.
The Evaluation Team dedicated three months in Liberia to assess:
The coverage and impact of the USAID-funded ALPP intervention after 18 months of implementation; and
The relative efficacy and appropriateness of the overall ALP model for students aged 15 and older as implemented by the 11 partner agencies.
The evaluation design included classroom observations, focus groups, and student testing.
The Evaluation Team traveled to the six counties where ALPP was implemented, visiting a total of 18 school sites and covering the educational programs of the USAID-implemented ALPP, Partner-implemented ALPs, and MoE-run Conventional Primary School Grades 1-6. Data was collected through 39 classroom observations as well as focus groups/interviews that were carried out with a number of stakeholders, which included: Ministry of Education personnel, partner organizations, County and District Education Officers, principals, community members, Parent-Teacher Associations, youth groups and students.
To assess the learning outcomes of ALP students and determine the overall effectiveness of the program, the Team developed and administered assessment instruments in Mathematics and Language Arts for ALP Levels II and III. The exams were designed to assess proficiency in specific skills such as subtraction, division, use of pronouns, and comprehension. To provide comparative data, the tests were also administered to students in MoE Grades 3 and 5 and to students in ALP partner programs. In total, 806 students were tested by the DevTech team.
To complement the evaluation aspects of the assignment, DevTech delivered three capacity building workshops to staff of the implementing partners and other Liberian educators.  The purpose was to increase the capacity of ALP Implementing Partners to develop instructional assessments to collect and use data on ALP student learning outcomes to improve the ability to collect, manage, and analyze data through improved database skills, and to develop a common monitoring tool and reliable database for ALP/ALPP programs.</t>
  </si>
  <si>
    <t>http://pdf.usaid.gov/pdf_docs/pdacm655.pdf</t>
  </si>
  <si>
    <t>Acclerated Learning Program for Postive Living and United Service Mid Term Evaluation Review</t>
  </si>
  <si>
    <t>In 2008, USAID conducted a comprehensive national opinion poll on the visibility of USAID in terms of geographical coverage and population groups (age, sex, etc.). The 2008 poll provided baseline data on USAID visibility in Senegal. This 2010 study was a follow-up to the 2008 study, in order to measure the level of USAID visibility over time. This study provides longitudinal data.
B. Objectives
The survey objectives were the following:
1. To measure the awareness of the existence of foreign assistance in Senegal.
2. To assess the perception and level of effectiveness of foreign assistance in Senegal.
3. To measure the awareness of the countries providing assistance to Senegal.
4. To identify the areas in which Senegal receives development assistance from various countries, in particular the US.
5. To assess the population's perception of the need for development assistance.
6. To measure awareness of USAID and the projects it has sponsored. (Utilizing aided and unaided questions.1)
7. To measure the unaided and aided awareness of the USAID logo.
8. To assess the overall perception of USAID.
9. To identify commonly used sources of information (e.g.., media, informal social contact).
10. To measure the popularity of various radio, TV networks, and other forms of media.
11. To identify the socio-demographic information (sex, age, level of education, occupation, place of residence…) of respondents.</t>
  </si>
  <si>
    <t xml:space="preserve">Public opinion poll on USAID visibility 
</t>
  </si>
  <si>
    <t>Public opinion poll on USAID visibility</t>
  </si>
  <si>
    <t>São Tomé and Príncipe Millennium Challenge Corporation's (MCC's) Threshold Country Plan</t>
  </si>
  <si>
    <t>STP</t>
  </si>
  <si>
    <t>São Tomé and Príncipe</t>
  </si>
  <si>
    <t>DevTech, on this three-phase contract, provided monitoring and evaluation services to the U.S. Department of Treasury's Office of Technical Assistance (OTA) on the project it implemented under the São Tomé and Príncipe Millennium Challenge Corporation (MCC)'s Threshold Country Plan.
The Phase 1 report provided a baseline of views and opinions by the business community of São Tomé on the fiscal system in general, on the Directorate of Taxes, and on business start-up procedures. It included "The Survey of Taxpayer Perception." 
Phase 2 involved assessing the amount of progress made to that point in the implementation of the ambitious and comprehensive OTA fiscal reform project.
Phase 3 provided an opportunity to assess the status and outcome of each component several months after project completion.</t>
  </si>
  <si>
    <t>Meta-Evaluation of Quality and Coverage of USAID Evaluations</t>
  </si>
  <si>
    <t>AID-OAA-M-11-00026</t>
  </si>
  <si>
    <t>Meta-evaluation was undertaken to assess the quality of USAID’s evaluation reports. The study builds on USAID’s practice of periodically examining evaluation quality to identify opportunities for improvement. It covers USAID evaluations completed between January 2009 and December 2012. During this four-year period, USAID launched an ambitious effort called USAID Forward, which aims to integrate all aspects of the Agency’s programming approach, including program and project evaluations, into a modern, evidence-based system for realizing development results. A key element of this initiative is USAID’s Evaluation Policy, released in January 2011.
Meta-Evaluation Questions
The meta-evaluation on which this volume reports systematically examined 340 randomly selected evaluations and gathered qualitative data from USAID staff and evaluators to address three questions:
1. To what degree have quality aspects of USAID’s evaluation reports, and underlying practices, changed over time?
2. At this point in time, on which evaluation quality aspects or factors do USAID’s evaluation reports excel and where are they falling short?
3. What can be determined about the overall quality of USAID evaluation reports and where do the greatest opportunities for improvement lie?</t>
  </si>
  <si>
    <t>Meta-evaluation of quality and coverage of USAID evaluations 2009-2012 </t>
  </si>
  <si>
    <t>Meta-evaluation of quality and coverage of USAID evaulations 2009-2012</t>
  </si>
  <si>
    <t>Colombia Monitoring and Evaluation Program</t>
  </si>
  <si>
    <t>AID-514-C-10-00001</t>
  </si>
  <si>
    <t>The Colombia Monitoring and Evaluation Program (MEP) supported USAID/Colombia’s management information needs to facilitate informed program management decisions, and shape the mission’s long-term strategic direction. The program’s primary objective was to develop an M&amp;E mechanism that provided continued performance monitoring, verification, and impact evaluation of program results, including environmental compliance.
At the center of the program was the design, establishment and operation of a Clearing House Management Information System (MIS) for the collection, archiving and reporting of data.  The data was used to measure the performance and impact of the programs implementing the USAID/Colombia Mission’s 2010-2014 Strategic Framework.  The MIS also captured information on USAID’s contributions to the Colombia Strategic Development Initiative (CSDI) under the direction of the US Embassy. 
The MEP had six Program Results:
USAID Mission Strategic Framework PMP refined and enhanced
Mission-wide USAID/Colombia M&amp;E Clearinghouse developed and implemented
Mission-wide activity-level M&amp;E services
Mission-wide activity-level environmental compliance verification conducted both within and outside of CSDI regions
USAID CSDI PMP refined and enhanced
USAID CSDI Impact Evaluation conducted and results reported on a scheduled basis</t>
  </si>
  <si>
    <t>Adam Cox</t>
  </si>
  <si>
    <t>acox@usaid.gov</t>
  </si>
  <si>
    <t>571-275-2000</t>
  </si>
  <si>
    <t>Gender Assessment and Analysis:
USAID/EGYPT</t>
  </si>
  <si>
    <t>The Scope of Work (SOW) for the Gender Assessment for USAID/Egypt was modified
at the initiation of the work to respond to emerging exigencies in the Mission related to
the development of the new strategy. In addition to the anticipated gender analysis of the
sectors and programs under the current Bridge Strategy for 2009-2010, for all sectors
except Health, the DevTech team was tasked with a review of relevant experience in Egypt and
globally with gender issues and integration of gender considerations in the focus areas of
the new Cairo Initiative as articulated by President Obama in his June 2009 Cairo speech.
The Cairo Initiative will define the core of future USAID programming, under an
evolving relationship between USAID and the Government of Egypt for both the strategy
and the implementation of the program. Therefore, the Gender Assessment report is in
two parts, with an analysis of the strengths and weaknesses of the process of gender
integration under the Bridge Strategy, and a preliminary presentation of evidence for the
importance of addressing gender inequality in Cairo Initiative program areas. A team of
three gender consultants worked with the Mission in May 2010 to collect the information
for the gender assessment.
USAID policy states a clear commitment to gender equality</t>
  </si>
  <si>
    <t>Ghana Partnership for Accountable Governance in Education</t>
  </si>
  <si>
    <t>DevTech serves as a subcontractor to CARE and provides short term technical assistance in the area of monitoring and evaluation. Monitoring and evaluation of the PAGE program serves to provide both management information to project staff and program impact information on progress toward agreed upon targets.</t>
  </si>
  <si>
    <t>Senegal Blanket Purchase Agreement</t>
  </si>
  <si>
    <t>685-E-00-10-00109-00</t>
  </si>
  <si>
    <t>DevTech holds the Senegal Blanket Purchase Agreement (BPA) contract to provide specialized services to USAID/Senegal. DevTech worked with a team of highly experienced Senegalese and U.S. firms. Through the Senegal BPA, DevTech provided USAID/Senegal with a diverse portfolio of tools and experts to conduct analyses and studies; manage activities; provide expert advice; and procure goods and services consistent with the goals set for the country.</t>
  </si>
  <si>
    <t>Peter Tresch</t>
  </si>
  <si>
    <t>ptresch@usaid.gov</t>
  </si>
  <si>
    <t>202-216-6224</t>
  </si>
  <si>
    <t>USAID/Senegal</t>
  </si>
  <si>
    <t>Gender Assessments STTA &amp; TTO: Afghanistan Ambassador’s Small Grants Program (TDY 106)</t>
  </si>
  <si>
    <t>A three person team (two international gender/civil society experts and one Afghan gender advisor) conducted a performance evaluation of the Ambassador's Small Grants Program to support gender equality</t>
  </si>
  <si>
    <t>Gender Assessments STTA &amp; TTO: USAID Rwanda Gender Assessment (TDY 110)</t>
  </si>
  <si>
    <t>RWA</t>
  </si>
  <si>
    <t>Rwanda</t>
  </si>
  <si>
    <t>USAID/Rwanda had completed its Global Health Initiative and Feed the Future Initiative strategies. Within this context, a gender assessment was conducted for the purposes of preparing the CDCS. A team consisting of the Mission Gender Focal Point, one international gender expert, and two Rwandan gender experts conducted the field work. Applying the new CDCS guidance, the gender assessment identified several key gender-based obstacles that were not addressed in either the GHI or FtF programs.</t>
  </si>
  <si>
    <t>Gender Assessments STTA &amp; TTO: USAID Sri Lanka Gender Assessment (TDY 115)</t>
  </si>
  <si>
    <t>Gender Assessments STTA &amp; TTO: USAID West Bank Gaza Gender Assessment (TDY 111)</t>
  </si>
  <si>
    <t>PSE</t>
  </si>
  <si>
    <t>West Bank &amp; Gaza</t>
  </si>
  <si>
    <t>To prepare for its CDCS, West Bank Gaza developed a two-phase assignment with three components. The first phase included a gender review of the existing assistance objectives and then a sector-based gender analysis for economic growth, infrastructure, education, health, and governance. A team of one international expert and three Palestinians completed this phase of the assignment. The second phase was a gender training activity held for USAID and partners, which was conducted by one international expert and a USAID staff member, with support from one of the Palestinians on the gender assessment team.</t>
  </si>
  <si>
    <t>Gender Assessments STTA &amp; TTO: USAID/Bolivia Gender Background Report (TDY 108)</t>
  </si>
  <si>
    <t>A team of one international gender expert and three Bolivian gender specialists completed a two volume gender background report that examined key gender issues in Bolivia and developed a gender-focused action plan for USAID/Bolivia as it works to develop its CDCS.</t>
  </si>
  <si>
    <t>Gender Assessments STTA &amp; TTO: USAID/East Africa (TDY 99)</t>
  </si>
  <si>
    <t>East Africa</t>
  </si>
  <si>
    <t>This was a four-phase activity conducted by several teams. The first phase of work consisted of a desk study that provided an overview of gender issues related to agriculture and climate change. The second phase involved interviewing stakeholders in East Africa, identifying the capabilities of potential partners, and considering possible programming options in light of the new strategic directions being developed by USAID/EA. The third phase was the analytical phase and included disseminating results (including attendance at a USAID-funded consultative meeting in Zambia organized by a regional organization</t>
  </si>
  <si>
    <t>Gender Assessments STTA &amp; TTO: USAID/Namibia Gender Assessment (TDY 114)</t>
  </si>
  <si>
    <t>NAM</t>
  </si>
  <si>
    <t>Namibia</t>
  </si>
  <si>
    <t>A team of three gender experts (one USAID staff member, one regional specialist, and one national specialist) conducted field work in Namibia to complete a gender analysis that included USAID, PEPFAR, and MCC activities. The key sectors were health, natural resource management, democracy and governance, and education. The gender analysis was aimed at supporting the Mission</t>
  </si>
  <si>
    <t>Gender Assessments STTA &amp; TTO: USAID/Paraguay Gender Assessment (TDY 105)</t>
  </si>
  <si>
    <t>PRY</t>
  </si>
  <si>
    <t>Paraguay</t>
  </si>
  <si>
    <t>A team of four gender specialists (three international and one Paraguayan) conducted a gender analysis of key sectors and workshop for USAID/Paraguay staff and partners. The original scope for the gender assessment was designed to inform the CDCS process. The CDCS was postponed so the team adjusted the analysis to be focused on potential development objectives. The team leader for the field work was the Paraguayan gender specialist, who had conducted two previous assignments under the task order.</t>
  </si>
  <si>
    <t xml:space="preserve">Asia Regional Environmental Field Support (AREFS) </t>
  </si>
  <si>
    <t>EPP-I-00-06-00007</t>
  </si>
  <si>
    <t>This task order (under the PLACE IQC) supports USAID Missions in developing effective climate change adaptation programs and projects. It provides a resource for Asia Missions to assist in the planning, implementation, and evaluation of programs to be undertaken under USAID's Global Climate Change Initiative. DevTech is working with IRG and ICF International to identify, monitor, and evaluate gender integration opportunities and constraints in climate change adaptation strategies proposed for Mission portfolios.</t>
  </si>
  <si>
    <t>RAN-I-00-09-00008</t>
  </si>
  <si>
    <t>AMEX</t>
  </si>
  <si>
    <t>Jordan Education Reform Support Program (ERSP Mid-Term Evaluation)</t>
  </si>
  <si>
    <t>AID-278-O-11-00073</t>
  </si>
  <si>
    <t>As a prime contractor, DevTech conducted a mid-term performance evaluation of USAID/Jordan's Education Reform Support Project (ERSP) implemented by Creative Associates International, Inc. 
The ERSP supports the Jordan Ministry of Education's reform efforts to produce graduates with skills to compete in a knowledge economy across four components, including:
&gt;Early childhood education;
&gt;Youth, technology, and career development;
&gt;Improved professional development and certification; and
&gt;Increased capacity to manage school-based education programs.
The mid-term evaluation measured the extent to which the project is achieving its objectives and the extent to which the project is progressing towards achieving its higher level impact results.
DevTech utilized a mixed-methods approach, including: key informant interviews and focus groups, review of project-generated documentation and PMP indicator data supplemented by site visits, and field site visits to a stratified sample of schools and directorate offices in three regions across Jordan. Of note, DevTech developed an Organizational Development Ranking instrument to track Ministry of Education progress in ERSP-fostered education reforms and conducted a Knowledge Attitude and Practice (KAP) Analysis of the changes in behavior of a sample of selected ERSP target beneficiary populations.
Based on the major findings, DevTech identified gaps in programming, and made evidence-based recommendations that will inform project implementation for the remaining 2.5 years and assure sustainability of the interventions.</t>
  </si>
  <si>
    <t>Program Cycle Service Center</t>
  </si>
  <si>
    <t>USAID/Bureau fo Policy, Planning, and Learning (PPL)</t>
  </si>
  <si>
    <t>Stephanie Fugate</t>
  </si>
  <si>
    <t>202 567 5315</t>
  </si>
  <si>
    <t>Support for the Service Delivery Integration (SSDI) Activity Evaluation</t>
  </si>
  <si>
    <t xml:space="preserve">AID-OAA-I-15-00018 
AID-612-TO-16-00003
</t>
  </si>
  <si>
    <t>Under contract from USAID/Malawi, DevTech Systems is currently providing performance evaluation services to The Support for Service Delivery Integration (SSDI) activity in Malawi.  USAID/Malawi’s flagship health activity, SSDI aims to strengthen health systems in Malawi through
the implementation of three primary health sector activities: SSDI-Services, SSDI-Systems and SSDI-Communication. DevTech Systems’ approach to conducting the final performance evaluation of the SSDI activity involves all three components:
For the SSDI-Services component, the evaluation will determine the effect of SSDI-Services’ interventions on improved service delivery and quality of care at supported community clinics and health facilities; expanded coverage of quality EHP services; and increased uptake of quality integrated EH.
DevTech is evaluating the SSDI- Communications component to  determine the extent SSDI- Communications achieved its four primary objectives with specific focus on extent to which SSDI-Communications was able to reposition the Health Education Section (HES); the degree to which SSDI-Communications’ campaigns resonated with individuals and communities; and an appraisal of the community mobilization implementation model.
Finally, the DevTech evaluation team will assess the SSDI-Systems methodologies and approaches to capacity strengthening, and institutionalization of key MoH functions, including supportive supervision; management structures, responding to stakeholder expressed needs, and mentorship) in relation to the activity’s achievements.</t>
  </si>
  <si>
    <t>http://pdf.usaid.gov/pdf_docs/pa00k4tw.pdf</t>
  </si>
  <si>
    <t>Support for Service Delivery Intergration-Systems-Malawi Quarter 4 and Year 1 Annual Report</t>
  </si>
  <si>
    <t>Gender Assessments STTA &amp; TTO: USAID/East Africa: Report on the Regional Workshop on Gender, Agriculture, and Global Climate Change, March 20-23, 2012</t>
  </si>
  <si>
    <t>The workshop was held on March 20-23, 2012 in Dar es Salaam, Tanzania. It was an outgrowth of an eighteen month process to identify key gender issues in the East Africa region as part of USAID/East Africa’s (USAID/EA) development of its Feed the Future multi-year strategy. The workshop was jointly supported by the USAID Washington’s Office of Gender Equality and Women’s Empowerment (GenDev) and USAID/EA Office of Regional Economic Growth and Integration (REGI) and implemented by DevTech Systems, Inc. (DevTech) under the Short- Short-Term Technical Assistance and Training Task Order (Contract Number GEW-I-01-02-00019-00).
The first phase of work consisted of a desk study that provided an overview of gender issues related to agriculture and climate change.1 The second phase involved interviewing stakeholders in East Africa, identifying the capabilities of potential partners, and considering possible programming options in light of the new strategic directions being developed by USAID/EA/REGI. This investigation was captured in a second report.2 The workshop constituted the final phase of the task order including dissemination of the two volumes of the report and the presentation of a gender integration training workshop.3
The 46 workshop attendees represented seven East African countries (Ethiopia, Kenya, Malawi, Mozambique, Rwanda, Tanzania, and Uganda). In addition to staff members from USAID/Washington, USAID/EA, and these seven field missions, the workshop included USAID partners: NGOs, private sector firms, and international organizations.</t>
  </si>
  <si>
    <t xml:space="preserve">USAID/East Africa : report on the regional workshop on gender, agriculture, and global climate change, March 20-23, 2012 
</t>
  </si>
  <si>
    <t>USAID/East Africa : report on the regional workshop on gender, agriculture, and global climate change</t>
  </si>
  <si>
    <t>Gender Assessments STTA &amp; TTO: USAID/Ethiopia HAPN Assessment (TDY 107)</t>
  </si>
  <si>
    <t>The assessment was designed to inform the development of a strategic/operational plan to improve gender integration and equality in USAID/Ethiopia</t>
  </si>
  <si>
    <t>Gender Assessments STTA &amp; TTO: USAID/Honduras Gender Training (TDY 119)</t>
  </si>
  <si>
    <t>A team of two international gender specialists from the task order and the GenDev Office Director conducted two training workshops in Honduras. A one and half day training was conducted for USAID staff (primarily CORs), which included an introduction to the new USAID Gender Policy. Thereafter, a training workshop for partners with similar materials was held. Several USAID CORs participated with their teams in the preparation of a poster exhibit on how to integrate gender into project activities.</t>
  </si>
  <si>
    <t>Gender Assessments STTA &amp; TTO: USAID/LAC/Regional Sustainable Development Office Gender Analysis for CDCS development (TDY 118)</t>
  </si>
  <si>
    <t>A team of four sector specialists conducted a desk review and interviews with USAID staff and partners to identify key gender trends for the region to be used as the basis for analysis by RSD</t>
  </si>
  <si>
    <t>Gender Assessments STTA &amp; TTO: USAID/Mexico Desk Study on Gender, Gender Assessment, and Gender Training (TDY 113)</t>
  </si>
  <si>
    <t>USAID/Mexico was tasked with preparing an interim strategic framework (2012-2013) prior to the development of a CDCS. The Mission sought to integrate gender during the initial concept phase for this interim strategic framework and to assist in the implementation of the framework. Thus, the Mission proposed a three-phase activity. Phase 1 was a desk study that reviewed the literature on gender in Mexico in two primary areas: Climate Change and Resilient Communities (Citizen Security). Phase 2 included a gender analysis of four objectives: Greenhouse Gas Emissions, Economic Competitiveness, Crime and Violence Mitigation, and Criminal Justice Reforms. In Phase 3, a team of two trainers (one USAID and one task order) conducted a gender workshop for Mission staff.</t>
  </si>
  <si>
    <t>Gender Assessments STTA &amp; TTO: USAID/Zambia Gender Training (TDY 117)</t>
  </si>
  <si>
    <t>The USAID Zambia training comprised three activities, a 3-day workshop for USAID/Zambia staff, a one-day workshop for partners, and a half-day briefing and discussion on gender with Senior Management. The training was delivered by a team of three gender specialists, including a GenDev staff member, a task order field international gender expert and a Zambian gender specialist.
The training team also tailored the core material to fit the Zambian context, including recognizing that USAID/Zambia had completed its CDCS and was already into design phase. Particular attention was paid to preparing, within the limits of time and data availability, project-related case studies and discussion materials that drew from USAID's own work program in Zambia.</t>
  </si>
  <si>
    <t>Education Portfolio Mid-Term Performance Review</t>
  </si>
  <si>
    <t>DevTech, along with partner AMEX, conducted an evaluation of the USAID/Dominican Republic Education Portfolio. The evaluation consisted of two large, ongoing projects (the Effective Schools Program and the Basic Education Program), as well as additional activities included in the portfolio (the Out-of-School and At-Risk Youth and Children Program, the Batey Community Development project, and the Major League Baseball Dominican Development Alliance).</t>
  </si>
  <si>
    <t xml:space="preserve">USAID/Dominican Republic education portfolio mid-term performance evaluation : integrated report 
</t>
  </si>
  <si>
    <t>Evaluation of the International Narcotics and Law Enforcement Affairs (INL) Rule of Law Programs in Colombia</t>
  </si>
  <si>
    <t>SINLEC12F0057</t>
  </si>
  <si>
    <t>Sara Collins</t>
  </si>
  <si>
    <t>CollinsSE@STATE.GOV</t>
  </si>
  <si>
    <t>703 87 54889</t>
  </si>
  <si>
    <t>Summative Performance Evaluations for the Office of Global Women’s Issues of the Secretary’s Innovative Small Grants Programs</t>
  </si>
  <si>
    <t>Brian Efird</t>
  </si>
  <si>
    <t xml:space="preserve"> 202-903-3975</t>
  </si>
  <si>
    <t>USAID/Guatemala Final and Mid-Term Performance Evaluation for Economic Growth Office Assorted Projects</t>
  </si>
  <si>
    <t>AID-RAN-I-00-09-008/
AID-520-TO-12-00001</t>
  </si>
  <si>
    <t xml:space="preserve">From August 2012 – October 2012, DevTech led an evaluation of six projects for USAID/Guatemala, including four final evaluations and two mid-term evaluations.
The end-of-project performance evaluations for four rural value chain projects were:
the Access to Dynamic Markets for Rural Small and Medium Enterprises project implemented by the Guatemalan Association of Exporters (AGEXPORT),
the Competitive Enterprises in Coffee project with the National Coffee Association (ANACAFE),
the Forestry Enterprises in Guatemala project with Rainforest Alliance,
Guatemala Community Tourism Alliance with Counterpart International.
The mid-term performance evaluations of two ongoing projects were:
the Inclusive Market Alliance for Rural Entrepreneurs (IMARE) project, a public-private partnership between USAID and Mercy Corps/Wal-Mart for horticultural value chains;
TIERRAS Land Conflict Resolution project implemented by Mercy Corps in the departments of Alta Verapaz and Quiche.
This evaluation analyzed the effectiveness of USAID/Guatemala Economic Growth Office agricultural and environmental value chain projects at the strategic and individual project levels to validate or improve USAID’s approach and to learn from results. The project evaluations looked at the high-level results as they related to each project’s objectives, and looked to inform new project implementation under the new five-year Country Development and Cooperation Strategy (CDCS), as well as heavily influence upcoming FtF and GCC strategy implementation.
For the each project evaluation, DevTech and its partner, AMEX International, utilized the methods of document review, interviews, field visits, and a review of quantitative data. For the mid-term projects, this evaluation was able to demonstrate to USAID/Guatemala what is not working and why, provided recommendations to the Mission as to what should be adjusted or eliminated, and also made suggestions as to how to increase the sustainability for this project. For the end-of-project evaluations, the Team was able to provide USAID/Guatemala with information regarding the projects meeting their objectives, as well as recommendations on how future projects could meet the Mission’s Feed the Future Multi-year Strategy. This evaluation also looked at the level of gender integration for each project.
</t>
  </si>
  <si>
    <t>http://pdf.usaid.gov/pdf_docs/pdacu507.pdf</t>
  </si>
  <si>
    <t>USAID/Guatemala Mid-Term performance evaluations for two Economic Growth Office projects: final report</t>
  </si>
  <si>
    <t>Community Action for Reading and Security (CARS) Activity in Nicaragua</t>
  </si>
  <si>
    <t>AID 524-C-13-00001.</t>
  </si>
  <si>
    <t>DevTech is currently implementing the four-year USAID-funded Community Action for Reading and Security (CARS) Activity in Nicaragua. The purpose of CARS is to improve early grade reading outcomes and contribute to reducing citizen insecurity in five municipalities of the Region Autonoma Atlantica Sur in Nicaragua, where both education and crime statistics lag behind the national averages. DevTech is working in close partnership with local organizations to implement an evidence-based approach to conduct activities at the municipal, community, and school level to transition to a local-led model to educational development and citizen security.</t>
  </si>
  <si>
    <t>Yes</t>
  </si>
  <si>
    <t xml:space="preserve">Curriculum Development Assessment for the Foreign Service Institute
</t>
  </si>
  <si>
    <t>SFSIAQ13F0110</t>
  </si>
  <si>
    <t>U.S. Department of State</t>
  </si>
  <si>
    <t>DevTech completed the data collection process and interviewed Washington-based FTC, DOJ, and USAID staff before fielding a three-person team to gather data and conduct structured interviews with antimonopoly staff, judges, attorneys, and representatives of consumer organizations in the four cooperating countries. USAID in-country staff, contractor staff of related projects, and other donor agency staff were also interviewed. The team then conducted follow-up interviews with Washington-based staff. The final report contained specific recommendations for the transfer of major components of FTC/DOJ technical assistance to other programs. The Foreign Service Institute (FSI) is the U.S. Department of State's training bureau and the U.S. Government's primary training institution for the U.S. foreign affairs community. DevTech is currently working with FSI to perform a baseline assessment using appreciative inquiry methods in order to provide recommendations for a comprehensive approach to curriculum development for all four schools within FSI as well as the Transition Center.</t>
  </si>
  <si>
    <t>Erin William</t>
  </si>
  <si>
    <t>williamsee3@state.gov</t>
  </si>
  <si>
    <t xml:space="preserve">Educational Technology Assessment for the Foreign Service Institute
</t>
  </si>
  <si>
    <t>SFSIAQ13F0115</t>
  </si>
  <si>
    <t>Evaluation of the Bureau of Intelligence and Research (INR) Products and Services</t>
  </si>
  <si>
    <t>The INR Bureau is a key stakeholder in the Intelligence Community that works to ensure that well-informed and independent analysis informs policy decisions and that intelligence and counterintelligence activities support America’s foreign policy. DevTech and its partner, the Center for Organizational Excellence, conducted interviews with users of INR’s products and services to determine what the Bureau needs to do to improve and the timeliness and usefulness of its reports.</t>
  </si>
  <si>
    <t>Patrick T. Dermidoff</t>
  </si>
  <si>
    <t>dermidoffpt@state.gov</t>
  </si>
  <si>
    <t>703-516-1828</t>
  </si>
  <si>
    <t>Evaluation of USAID’s Afro-Colombian and indigenous program (ACIP) : baseline report </t>
  </si>
  <si>
    <t>Evaluation of USAID's Afro-Columbian and indigenous program</t>
  </si>
  <si>
    <t>SAQMMA13F3110</t>
  </si>
  <si>
    <t>DevTech worked with INL to develop and implement a monitoring system for the INL programs under the Caribbean Basin Security Initiative (CBSI) and conducted mid-term and summative evaluations of the INCLE-funded programs that are part of this initiative.</t>
  </si>
  <si>
    <t>Natalie Donahue</t>
  </si>
  <si>
    <t xml:space="preserve">USAID/Guatemala Monitoring and Evaluation Program </t>
  </si>
  <si>
    <t>AID-520-C-13-00001</t>
  </si>
  <si>
    <t>Latin America and the
Caribbean</t>
  </si>
  <si>
    <t xml:space="preserve">APEC Laboratory Capacity Building Evaluation
</t>
  </si>
  <si>
    <t>AG-3151-P-14-0257</t>
  </si>
  <si>
    <t>DevTech conducted a range of data collection activities, including reviews of training curricula, assessments of activities in online training websites, and face-to-face interviews with food safety professionals from APEC member countries. DevTech’s assessment of online activity provided to-the-day information on hit counts, page visits, online training downloads, and other indicators of utilization of APEC web-based resources among food safety professionals in member countries</t>
  </si>
  <si>
    <t>Angela Garcia</t>
  </si>
  <si>
    <t>202-690-5403</t>
  </si>
  <si>
    <t>http://www.sbaic.org/devtech-evaluation-apec-laboratory-capacity-program-collaboration-and-learning-food-safety</t>
  </si>
  <si>
    <t>DevTech Evaluation of the APEC Laboratory Capacity Program: Collaboration and Learning in Food Safety</t>
  </si>
  <si>
    <t xml:space="preserve">Assistance to Basic Education: All Children Reading (IDIQ) </t>
  </si>
  <si>
    <t xml:space="preserve">AID-OAA-I-14-00057 </t>
  </si>
  <si>
    <t>This contract between DevTech and the United States Agency for International Development is to assist USAID missions, 
bureaus, and other operating units in achieving the strategic objectives of goal one of the USAID Education Strategy 
2011-2015: Improved Reading Skills for 100 million Children in Primary School.</t>
  </si>
  <si>
    <t>SAQMMA12D0084</t>
  </si>
  <si>
    <t>LBN</t>
  </si>
  <si>
    <t>Lebanon</t>
  </si>
  <si>
    <t>Diane K Hill</t>
  </si>
  <si>
    <t>hilldk@state.gov</t>
  </si>
  <si>
    <t>571-345-0144</t>
  </si>
  <si>
    <t>Monitoring and Evaluation of Latin America and the Caribbean Regional Security Initiative Programs (CARSI)</t>
  </si>
  <si>
    <t>Latin America</t>
  </si>
  <si>
    <t>SSG</t>
  </si>
  <si>
    <t>Partnership for Education: Monitoring and Evaluating Support Services activity</t>
  </si>
  <si>
    <t>AID-641-B-15-00006</t>
  </si>
  <si>
    <t>Comprehensive Evaluation of the Bureau of Counterterrorism (CT) Antiterrorism Assistance (ATA) Program (Indonesia)</t>
  </si>
  <si>
    <t>Diane K. Hill</t>
  </si>
  <si>
    <t xml:space="preserve">Consulting Support for Energy Training, MCC
</t>
  </si>
  <si>
    <t xml:space="preserve">Hana Scheetz Freymiller
Monitoring and Evaluation
Department of Policy and Evaluation
Millennium Challenge Corporation
Franklin Court – 740C
</t>
  </si>
  <si>
    <t>freymillerhs@mcc.gov</t>
  </si>
  <si>
    <t>Direct: (202) 521-3672
Mobile: (202) 251-0476</t>
  </si>
  <si>
    <t xml:space="preserve">Evaluation for Power Sector Program (PSP)
</t>
  </si>
  <si>
    <t>SAQMMA15F2671</t>
  </si>
  <si>
    <t>Evaluation of the Effectiveness of PRM-Supported Programs to Build the Capacity of Colombian Municipal Authorities to Assist Internally Displaced Persons</t>
  </si>
  <si>
    <t xml:space="preserve">Latin America and the 
Caribbean </t>
  </si>
  <si>
    <t>AID-263-O-15-00009</t>
  </si>
  <si>
    <t>SAQMMA15F1342</t>
  </si>
  <si>
    <t xml:space="preserve">Capacity Building for Women Entrepreneurs in Accessing Public Procurement </t>
  </si>
  <si>
    <t xml:space="preserve">Lauren McCaw </t>
  </si>
  <si>
    <t>lmccaw@devtechsys.com</t>
  </si>
  <si>
    <t>AID-278-TO-16-00002</t>
  </si>
  <si>
    <t>3729-0000-SA-13</t>
  </si>
  <si>
    <t>Deloitte</t>
  </si>
  <si>
    <t>DevTech works with Deloitte Consulting LLP in implementing USAID's Jordan Fiscal Reform and Public Financial Management project (FRPFM).  FRPFM contributes to the USAID Mission Goal of Improved Prosperity, Accountability, and Equality for a Stable Democratic Jordan, specifically to improve  Fiscal Stability and Public Financial Management.  FRPFM focuses on four components to accomplish these objectives:
1. Revenue performance through improved tax policy and administration;
2. Budget efficiency and transparency;
3. Fiscal sustainability through structural reforms; and
4. Exit strategy.</t>
  </si>
  <si>
    <t>Measuring Overall Impact of East Africa CVE</t>
  </si>
  <si>
    <t>Under the Measuring the Overall Impact of East Africa CVE Initiative, DevTech is designing and conducting an evaluation of the FY15 Counterterrorism Partnership Fund (CTPF) Countering Violent Extremism (CVE) programs in Kenya and Tanzania to measure the overall effect of collective programming on reducing engagement in and recruitment into VE activities in East Africa. DevTech is conducting a quasi-experimental impact evaluation (IE), specifically difference-in-difference with propensity score matching (DID+PSM) to measure the overall impact of CTPF programs in select regions in Kenya and Tanzania. DevTech is currently identifying appropriate communities to serve as comparison groups in both countries that are similar to beneficiary communities in terms of household-level observable characteristics – religion, age, gender, annual expenditures, education level, and rural vs. non-rural – as well as specific observable regional characteristics including known presence of violent extremist organizations and recent attacks.</t>
  </si>
  <si>
    <t>AID-620-TO-16-00001</t>
  </si>
  <si>
    <t xml:space="preserve">Cory Cali </t>
  </si>
  <si>
    <t>ccali@devtechsys.com</t>
  </si>
  <si>
    <t>(703)778-2663</t>
  </si>
  <si>
    <t>Present</t>
  </si>
  <si>
    <t>PRI</t>
  </si>
  <si>
    <t xml:space="preserve">Puerto Rico </t>
  </si>
  <si>
    <t>Patricia Medina</t>
  </si>
  <si>
    <t>pmedina@devtechsys.com</t>
  </si>
  <si>
    <t>AID-263-I-15-00001</t>
  </si>
  <si>
    <t>QED</t>
  </si>
  <si>
    <t>AID-614-B-15-00006</t>
  </si>
  <si>
    <t xml:space="preserve">USAID </t>
  </si>
  <si>
    <t>Evaluation of Enterprise Funds and Legacy Foundation</t>
  </si>
  <si>
    <t>AID-OAA-I-15-00018/ AID-OAA-TO-16-00020</t>
  </si>
  <si>
    <t>Lauren McCaw</t>
  </si>
  <si>
    <t>Evaluation of OFDA's ICS in EAP</t>
  </si>
  <si>
    <t>AID-OAA-I-15-00018/ AID-OAA-TO-16-00037</t>
  </si>
  <si>
    <t>Rebecca Mantel</t>
  </si>
  <si>
    <t>rmantel@devtechsys.com</t>
  </si>
  <si>
    <t>Cory Cali</t>
  </si>
  <si>
    <t>Moisa Saidu</t>
  </si>
  <si>
    <t>msaidu@devtechsys.com</t>
  </si>
  <si>
    <t>S-AQMMA-12-D-0084/ 
SAQMMA 16F4750</t>
  </si>
  <si>
    <t>Tunisia</t>
  </si>
  <si>
    <t>Document Title:</t>
  </si>
  <si>
    <t>Document Type:</t>
  </si>
  <si>
    <t>Authoring Organization(s):</t>
  </si>
  <si>
    <t>Publication Date:</t>
  </si>
  <si>
    <t>Pagination:</t>
  </si>
  <si>
    <t>Additional Information:</t>
  </si>
  <si>
    <t>Document ID:</t>
  </si>
  <si>
    <t>Download Document:</t>
  </si>
  <si>
    <t>Contract/Grant Number(s):</t>
  </si>
  <si>
    <t>Primary Subject:</t>
  </si>
  <si>
    <t>Geographic Descriptor(s):</t>
  </si>
  <si>
    <t>USAID Thesaurus Term(s):</t>
  </si>
  <si>
    <t>Language:</t>
  </si>
  <si>
    <t>File Size:</t>
  </si>
  <si>
    <t>View Document:</t>
  </si>
  <si>
    <t>Record URI:</t>
  </si>
  <si>
    <t>Nicaragua Community Action for Reading and Security (CARS) Activity FY2014 Annual Report </t>
  </si>
  <si>
    <t>Nicaragua Community Action for Reading and Security (CARS) Activity FY2014 Annual Report</t>
  </si>
  <si>
    <t>Annual Report</t>
  </si>
  <si>
    <t>Development Technologies, Inc. (DevTech)</t>
  </si>
  <si>
    <t>14 January, 2016</t>
  </si>
  <si>
    <t>[60 p.]</t>
  </si>
  <si>
    <t>Activity Name: Community Action for Reading and Security (CARS)</t>
  </si>
  <si>
    <t>PA-00K-VFJ</t>
  </si>
  <si>
    <t>AID 524-C-13-00001</t>
  </si>
  <si>
    <t>Education (General)</t>
  </si>
  <si>
    <t>Caribbean</t>
  </si>
  <si>
    <t>Central America</t>
  </si>
  <si>
    <t>Additional Document Information</t>
  </si>
  <si>
    <t>Communities</t>
  </si>
  <si>
    <t>Education</t>
  </si>
  <si>
    <t>Management</t>
  </si>
  <si>
    <t>Mass media</t>
  </si>
  <si>
    <t>Students</t>
  </si>
  <si>
    <t>Teachers</t>
  </si>
  <si>
    <t>English</t>
  </si>
  <si>
    <t>4604 KB</t>
  </si>
  <si>
    <t>http://pdf.usaid.gov/pdf_docs/PA00KVFJ.pdf</t>
  </si>
  <si>
    <t>https://dec.usaid.gov/dec/content/Detail.aspx?ctID=ODVhZjk4NWQtM2YyMi00YjRmLTkxNjktZTcxMjM2NDBmY2Uy&amp;rID=MzcwMzk5</t>
  </si>
  <si>
    <t> 2016, Annual Report   </t>
  </si>
  <si>
    <t>Community Action for Reading and Security Gender Analysis </t>
  </si>
  <si>
    <t> 2016,   </t>
  </si>
  <si>
    <t>USAID Nicaragua Community Action for Reading and Security Activity (CARS) FY2016 Work Plan </t>
  </si>
  <si>
    <t> 2016, Program Planning Document   </t>
  </si>
  <si>
    <t>Final performance evaluation of the education support program (ESP), USAID/Egypt </t>
  </si>
  <si>
    <t> 2015, Final Evaluation Report   </t>
  </si>
  <si>
    <t>Evaluation of the Cairo initiative scholarship program (CISP) </t>
  </si>
  <si>
    <t> 2015, Special Evaluation   </t>
  </si>
  <si>
    <t>Learning evaluation of USAID/Kyrgyz Republic's national admissions test (NAT) project </t>
  </si>
  <si>
    <t> 2014, Final Evaluation Report   </t>
  </si>
  <si>
    <t>Learning evaluation of USAID/Kyrgyz Republic's national admissions test (NAT) project [executive summary] [Russian] </t>
  </si>
  <si>
    <t> 2014, Evaluation Summary   </t>
  </si>
  <si>
    <t>Internal evaluation of USAID/Cambodia's program on rights and justice II (PRAJ II) </t>
  </si>
  <si>
    <t>Complexity-aware monitoring </t>
  </si>
  <si>
    <t> 2013, Other USAID Supported Study/Document   </t>
  </si>
  <si>
    <t> 2013, Special Evaluation   </t>
  </si>
  <si>
    <t>USAID/Dominican Republic education portfolio mid-term performance evaluation : integrated report </t>
  </si>
  <si>
    <t>USAID/Dominican Republic education portfolio mid-term performance evaluation annexes </t>
  </si>
  <si>
    <t>USAID/East Africa gender assessment for agriculture and climate change </t>
  </si>
  <si>
    <t> 2012, Assessment   </t>
  </si>
  <si>
    <t>USAID/East Africa : report on the regional workshop on gender, agriculture, and global climate change, March 20-23, 2012 </t>
  </si>
  <si>
    <t> 2012, Conference Proceedings/Paper   </t>
  </si>
  <si>
    <t>USAID/West Bank and Gaza : gender analysis </t>
  </si>
  <si>
    <t> 2012, Other USAID Supported Study/Document   </t>
  </si>
  <si>
    <t>USAID/Namibia gender assessment </t>
  </si>
  <si>
    <t>USAID/Mexico gender assessment </t>
  </si>
  <si>
    <t>Gender background report. Volume I : gender analysis for USAID/Bolivia </t>
  </si>
  <si>
    <t>Gender background report. Volume II : gender-focused recommendations and action plan for USAID/Bolivia </t>
  </si>
  <si>
    <t>Office of Regional Sustainable Development/Latin America and the Caribbean : gender assessment </t>
  </si>
  <si>
    <t>Measuring gender integration in USAID solicitation documents issued in 2011 </t>
  </si>
  <si>
    <t>Measuring gender integration in USAID solicitation documents issued in 2011 : initial findings </t>
  </si>
  <si>
    <t>USAID Ethiopia : HAPN gender assessment </t>
  </si>
  <si>
    <t>USAID/Ethiopia HAPN gender assessment </t>
  </si>
  <si>
    <t>Communication-based Behavior Change Strategies to Interrupt the Cycle of Violence and Prevent Rape and Other Sexual Violence in the Democratic Republic of Congo </t>
  </si>
  <si>
    <t>USAID/Rwanda gender assessment </t>
  </si>
  <si>
    <t> 2011, Assessment   </t>
  </si>
  <si>
    <t>USAID/Paraguay gender assessment </t>
  </si>
  <si>
    <t>Evaluation of the USAID/Afghanistan ambassador's small grants program to support gender equality in Afghanistan </t>
  </si>
  <si>
    <t> 2011, Special Evaluation   </t>
  </si>
  <si>
    <t>Gender, agriculture, and climate change : an analysis for USAID/East Africa </t>
  </si>
  <si>
    <t> 2010, Other USAID Supported Study/Document   </t>
  </si>
  <si>
    <t>USAID Panama : regional gender integration training report </t>
  </si>
  <si>
    <t>Gender assessment : USAID/Southern Sudan, August 23 - September 13, 2010 </t>
  </si>
  <si>
    <t> 2010, Assessment   </t>
  </si>
  <si>
    <t>Public opinion poll on USAID visibility </t>
  </si>
  <si>
    <t>Enquete quantitative nationale : image de l'USAID aupres des poplations Senegalaises </t>
  </si>
  <si>
    <t>Gender assessment and anlysis : USAID/Egypt </t>
  </si>
  <si>
    <t>USAID/Cambodia gender assessment </t>
  </si>
  <si>
    <t>Gender assessment USAID/Barbados and Eastern Caribbean </t>
  </si>
  <si>
    <t>USAID/Zambia gender-based violence programming evaluation </t>
  </si>
  <si>
    <t> 2010, Special Evaluation   </t>
  </si>
  <si>
    <t>Gender assessment USAID/Armenia </t>
  </si>
  <si>
    <t>Gender assessment USAID/Panama </t>
  </si>
  <si>
    <t>Gender assessment USAID/Senegal </t>
  </si>
  <si>
    <t>Gender assessment, USAID/Georgia </t>
  </si>
  <si>
    <t>Mission d'assistance technique exploratoire pour aider le Senegal a organiser les elections de 2012 </t>
  </si>
  <si>
    <t> 2010, Trip/End of Tour Report   </t>
  </si>
  <si>
    <t>Gender assessment of avian influenza in Egypt </t>
  </si>
  <si>
    <t>Gender assessment USAID/Bangladesh </t>
  </si>
  <si>
    <t>Gender assessment, USAID/El Salvador </t>
  </si>
  <si>
    <t>Gender assessment, USAID/Central Asian Republics </t>
  </si>
  <si>
    <t>Gender assessment, USAID/India </t>
  </si>
  <si>
    <t>Gender assessment USAID/India </t>
  </si>
  <si>
    <t>Final report : Guatemala decentralization and local governance program, 2005-2009 </t>
  </si>
  <si>
    <t> 2009, Final Contractor/Grantee Report   </t>
  </si>
  <si>
    <t>Decentralization and local governance program annual monitoring &amp; evaluation report for the period of : October 2008-September 2009 </t>
  </si>
  <si>
    <t> 2009, Annual Report   </t>
  </si>
  <si>
    <t>Forging women's rights : a USAID-funded program facilitates greater access to justice for women in Guatemala </t>
  </si>
  <si>
    <t> 2009, Activity/Project/Program Overview   </t>
  </si>
  <si>
    <t>Gender assessment : USAID/Dominican Republic </t>
  </si>
  <si>
    <t> 2009, Assessment   </t>
  </si>
  <si>
    <t>USAID/Zambia education program evaluation </t>
  </si>
  <si>
    <t> 2009, Special Evaluation   </t>
  </si>
  <si>
    <t>Report on U.S. Government women's earmark in Afghanistan for fiscal year 2008 </t>
  </si>
  <si>
    <t>Gender assessment : USAID/Guatemala </t>
  </si>
  <si>
    <t>Assessment of the greater access to trade expansion (GATE) project </t>
  </si>
  <si>
    <t>Virtual technical assistance: comments on gender integration for USAID/Indonesia </t>
  </si>
  <si>
    <t> 2009, Other USAID Supported Study/Document   </t>
  </si>
  <si>
    <t>Accelerated learning program for positive living and united service : mid term evaluation review </t>
  </si>
  <si>
    <t> 2008, Special Evaluation   </t>
  </si>
  <si>
    <t>Decentralization and local governance program (programa de descentralizacion y gobernabilidad local) : annual monitoring and evaluation report - October 2007-September 2008 </t>
  </si>
  <si>
    <t> 2008, Annual Report   </t>
  </si>
  <si>
    <t>Decentralization and local governance program (programa de descentralizacion y gobernabilidad local) : work plan - October, 2008-September, 2009 </t>
  </si>
  <si>
    <t> 2008, Design/Implementation Workplan   </t>
  </si>
  <si>
    <t>ABE-BE Egypt : evaluation of the American University in Cairo (AUC) leadership for education and development (LEAD) scholarship program </t>
  </si>
  <si>
    <t>Gender assessment : USAID/Malawi </t>
  </si>
  <si>
    <t> 2008, Assessment   </t>
  </si>
  <si>
    <t>USAID/Zambia assistance to strengthen Ministry of Education support to community schools </t>
  </si>
  <si>
    <t>Manual del usuario administrador </t>
  </si>
  <si>
    <t> 2008, Handbook/Manual   </t>
  </si>
  <si>
    <t>Manual del usuario monitor </t>
  </si>
  <si>
    <t>Informe final : propuesta de creacion de una ventanilla unica de proectos de la Republica de Guatemala </t>
  </si>
  <si>
    <t> 2008, Other USAID Supported Study/Document   </t>
  </si>
  <si>
    <t>La rotacion del personal municipal y sus efectos sobre la efciencia : (un estudio de casos en municipaliciadades seleccionadas) </t>
  </si>
  <si>
    <t>Guia para promover el desarrollo economic local </t>
  </si>
  <si>
    <t>The safe schools program : a qualitative study to examine school-related gender-based violence in Malawi </t>
  </si>
  <si>
    <t>Early childhood education in Pakistan : evaluation report of USAID's supported programs -- creating democratic schools program by Children's Resource International/PACT (under leader award no. GEG-A-00-01-00005-00) : releasing confidence &amp; creativity program by Aga Khan Foundation (grant no. 391-G-00-04-01020-00) </t>
  </si>
  <si>
    <t> 2007, Final Evaluation Report   </t>
  </si>
  <si>
    <t>The safe schools program : student and teacher baseline report on school-related gender-based violence in Machinga District, Malawi </t>
  </si>
  <si>
    <t> 2007, Other USAID Supported Study/Document   </t>
  </si>
  <si>
    <t>WID TO 1, short-term technical assistance &amp; training quarterly report : fourth quarter, FY07, July-September 2007 </t>
  </si>
  <si>
    <t> 2007, Periodic Report   </t>
  </si>
  <si>
    <t>Decentralization and local governance program (programa de descentralizacion y gobernabilidad local) : annual monitoring and evaluation report - October 2006-September 2007 </t>
  </si>
  <si>
    <t> 2007, Annual Report   </t>
  </si>
  <si>
    <t>Decentralization and local governance program (programa de descentralizacion y gobernabilidad local) : work plan - October, 2007-September, 2008 </t>
  </si>
  <si>
    <t> 2007, Design/Implementation Workplan   </t>
  </si>
  <si>
    <t>Gender-based violence training and technical assistance report : USAID/Peru health partners </t>
  </si>
  <si>
    <t> 2006, Other USAID Supported Study/Document   </t>
  </si>
  <si>
    <t>WID TO 1, short-term technical assistance &amp; training quarterly report : fourth quarter, FY06, July-September 2006 </t>
  </si>
  <si>
    <t> 2006, Periodic Report   </t>
  </si>
  <si>
    <t>Gender mainstreaming workshop for USAID/Armenia : project Nova and partners -- Yerevan, Armenia, July 11-13, 2006 </t>
  </si>
  <si>
    <t> 2006, Conference Proceedings/Paper   </t>
  </si>
  <si>
    <t>Gender audit for USAID/Tanzania </t>
  </si>
  <si>
    <t> 2006, Assessment   </t>
  </si>
  <si>
    <t>Recomendaciones para implementacion de propuestas sobre endeudamiento municipal en Guatemala </t>
  </si>
  <si>
    <t>Informe : consultoria para implementacion de un sistema de certificacion de oficiales financieros municipales en la Republica de Guatemala </t>
  </si>
  <si>
    <t>WID TO 1, short-term technical assistance &amp; training quarterly report : third quarter, FY 06, April-June, 2006 </t>
  </si>
  <si>
    <t>Mid-term assessment of the USAID/Senegal middle basic education program </t>
  </si>
  <si>
    <t> 2006, Special Evaluation   </t>
  </si>
  <si>
    <t>Gender training report : USAID/Nicaragua -- March 14-24, 2006 </t>
  </si>
  <si>
    <t>Gender assessment for USAID/Haiti country strategy statement </t>
  </si>
  <si>
    <t>Consultoria para elaboracion de estudios de caso para estimar el impacto en municipios seleccionados de aprobarse el codigo tributario municipal departamental de reconstruccion de San Marcos </t>
  </si>
  <si>
    <t>Feasibility study for a technical education facility in Aceh Province </t>
  </si>
  <si>
    <t>Evaluation du programme en education de base de l'USAID/Guinee </t>
  </si>
  <si>
    <t>Report on gender integration consultancy with USAID/El Salvador </t>
  </si>
  <si>
    <t>WID TO 1, short-term technical assistance &amp; training : quarterly report, second quarter report, FY06, January-March 2006 </t>
  </si>
  <si>
    <t>Decentralization and local governance program = Programa de descentralizacion y gobernabilidad local : quarterly report, January-March 2006 </t>
  </si>
  <si>
    <t>Initiative pour l'eau en Afrique de l'Ouest : les lecons de l'integration du genre dans les activites sur l'eau &amp; l'assainissement -- Ghana, Mali et Niger </t>
  </si>
  <si>
    <t> 2006, Final Contractor/Grantee Report   </t>
  </si>
  <si>
    <t>Gender analysis &amp; assessment : USAID/Cambodia -- volume I : gender analysis </t>
  </si>
  <si>
    <t>Gender analysis &amp; assessment : USAID/Cambodia -- volume II : gender assessment </t>
  </si>
  <si>
    <t>West Africa water initiative (WAWI) : lessons from gender mainstreaming in water &amp; sanitation activities -- Ghana, Mali, and Niger </t>
  </si>
  <si>
    <t>Gender training workshop for USAID/Uganda and the agricultural productivity enhancement program (APEP), February 6-14, 2006, Kampala, Uganda </t>
  </si>
  <si>
    <t>WID TO 1, short-term technical assistance &amp; training : quarterly report, first quarter, FY06, October-December 2005 </t>
  </si>
  <si>
    <t>Gender training &amp; technical assistance to USAID/South Africa, October 10-31, 2005 : volume I -- report </t>
  </si>
  <si>
    <t>Gender training &amp; technical assistance to USAID/South Africa, October 10-31, 2005 : volume II -- appendices </t>
  </si>
  <si>
    <t>FAA 119 biodiversity analysis </t>
  </si>
  <si>
    <t>Bolivia : democratic development and citizen participation, DDCP3 -- quarterly report IX, period of performance October 1 to December 31, 2005 </t>
  </si>
  <si>
    <t>Bolivia : desarrollo democratico y participacion cuidadana, DDP3 -- informe trimestral, periodo de ejecucion 1 de Octubre al 31 de Diciembre de 2005 </t>
  </si>
  <si>
    <t>West Africa water initiative (WAWI) : gender mainstreaming workshops -- Ghana, Mali &amp; Niger, 2005 : summary report and country reports </t>
  </si>
  <si>
    <t> 2005, Conference Proceedings/Paper   </t>
  </si>
  <si>
    <t>Final report : gender integration training for the USAID/EGAT/AGR office and its partners </t>
  </si>
  <si>
    <t> 2005, Final Contractor/Grantee Report   </t>
  </si>
  <si>
    <t>OTI Afghanistan program evaluation (October 2001-June 2005) : gender initiatives and impacts </t>
  </si>
  <si>
    <t> 2005, Special Evaluation   </t>
  </si>
  <si>
    <t>Incorporacion de la perspectiva de genero en los programas de desarrollo de USAID/Paraguay : informe del taller, Junio 14 y 23, 2005 </t>
  </si>
  <si>
    <t>Short-term technical assistance &amp; training : quarterly report, fourth quarter, FY05, July-September 2005 </t>
  </si>
  <si>
    <t> 2005, Periodic Report   </t>
  </si>
  <si>
    <t>Decentralization and local governance program = Programa de descentralizacion y gobernabilidad local : quarterly report, July-September 2005 </t>
  </si>
  <si>
    <t>Decentralization and local governance program = Programa de descentralizacion y gobernabilidad local : monitoring and evaluation plan -- decentralization and local governance program in Guatemala, January 2005-December 2009 </t>
  </si>
  <si>
    <t> 2005, Program/Project Evaluation Guide   </t>
  </si>
  <si>
    <t>Decentralization and local governance program = Programa de descentralizacion y gobernabilidad local : work plan, October 2005-September 2006 </t>
  </si>
  <si>
    <t> 2005, Design/Implementation Workplan   </t>
  </si>
  <si>
    <t>Assessment of the USAID assistance program to the reform of the Benin primary education system </t>
  </si>
  <si>
    <t>Decentralization and local governance program = Programa de descentralizacion y gobernabilidad local : quarterly report, April-June 2005 </t>
  </si>
  <si>
    <t>Short-term technical assistance &amp; training : quarterly report, third quarter, FY05, April-June 2005 </t>
  </si>
  <si>
    <t> 2005, Assessment   </t>
  </si>
  <si>
    <t>Decentralization and local governance program = Programa de descentralizacion y gobernabilidad local : plan of activities, July-September 2005 </t>
  </si>
  <si>
    <t>Evaluation of USAID basic education program and assessment of future programming priorities in education in Kyrgyzstan, Tajikistan and Uzbekistan </t>
  </si>
  <si>
    <t>USAID/Serbia &amp; Montenegro : gender assessment and recommendations for a draft gender action plan </t>
  </si>
  <si>
    <t>USAID/Bosnia-Herzegovina gender assessment </t>
  </si>
  <si>
    <t>Gender analysis &amp; recommendations for a gender plan of action : rural energy portfolio -- USAID /Bangladesh </t>
  </si>
  <si>
    <t>Hurricane Ivan social sector infrastructure repair and reconstruction : Jamaica -- contract no. 532-C-00-05-00007-00 : November 1, 2004-May 31, 2005 </t>
  </si>
  <si>
    <t>Decentralization and local governance program = Programa de descentralizacion y gobernabilidad local : quarterly report, January-March 2005 </t>
  </si>
  <si>
    <t>Quarterly report, January-March 2005 (second quarter, FY05) </t>
  </si>
  <si>
    <t>Gender assessment : USAID/Paraguay </t>
  </si>
  <si>
    <t>Community &amp; gender aspects of a proposed candlenut oil processing facility in Timor-Leste </t>
  </si>
  <si>
    <t> 2005, Other USAID Supported Study/Document   </t>
  </si>
  <si>
    <t>The Hurricane Ivan social sector infrastructure repair and reconstruction project (HISSIRR) : contract no. 532-C-00-05-00007-00 -- mid-term evaluation, November 2004-February 2005 </t>
  </si>
  <si>
    <t>Bolivia : democratic development and citizen participation, DDCP3 -- quarterly report VIII, period of performance July 1 to September 30, 2005 </t>
  </si>
  <si>
    <t>Bolivia : desarrollo democratico y participacion cuidadana, DDP3 -- informe trimesttral [i.e. trimestral] VIII, periodo de evaluacion 1ro de Julio al 30 de septiembre de 2005 </t>
  </si>
  <si>
    <t>Accès des Femmes à la Radio au Mali: Rapport d’Analyse de l’Enquête Auprès des Femmes </t>
  </si>
  <si>
    <t>Safe schools program : Malawi assessment report, October 25th-November 5th, 2004 </t>
  </si>
  <si>
    <t> 2004, Assessment   </t>
  </si>
  <si>
    <t>Gender assessment of USAID/Mexico environment program with focus on Conservation International's Usumacinta watershed program in Chiapas </t>
  </si>
  <si>
    <t>Gender assessment for USAID/South Africa </t>
  </si>
  <si>
    <t>Analysis of gender and indigenous issues with regard to USAID/Bolivia's 2005-2009 strategy </t>
  </si>
  <si>
    <t>Quarterly report, July-September 2004 (fourth quarter, FY'04) : USAID contract # GEW-I-01-02-00019-00 </t>
  </si>
  <si>
    <t> 2004, Periodic Report   </t>
  </si>
  <si>
    <t>Gender assessment for USAID/Russia </t>
  </si>
  <si>
    <t>Summary report on gender training for Conservation International : population and environmental program, strategic planning and gender workshop, Tuguegarao, Philippines, June 15-20, 2004 </t>
  </si>
  <si>
    <t> 2004, Conference Proceedings/Paper   </t>
  </si>
  <si>
    <t>Gender assessment for USAID/Timor-Leste : country strategy plan, FY 2004-2009 </t>
  </si>
  <si>
    <t>Quarterly report, April 1-June 30, 2004 (third quarter, FY'04) [: quick response, short-term technical assistance and training supporting gender integration in USAID operating units] </t>
  </si>
  <si>
    <t>Safe schools program : Ethiopia assessment report, April 26th-May 7th, 2004 </t>
  </si>
  <si>
    <t>Safe schools program : Ghana assessment report, January 6-16, 2004 </t>
  </si>
  <si>
    <t>Gender mainstreaming and disability sensitization in civic and voter education for USAID/Namibia </t>
  </si>
  <si>
    <t> 2004, Other USAID Supported Study/Document   </t>
  </si>
  <si>
    <t>Gender assessment for USAID/Panama </t>
  </si>
  <si>
    <t>Gender assessment for USAID/Macedonia, with training report and action plan recommendations </t>
  </si>
  <si>
    <t>Quarterly report, January 1-March 31, 2004 (second quarter, FY'04) [:quick response, short-term technical assistance and training supporting gender integration in USAID operating units] </t>
  </si>
  <si>
    <t>Gender assessment and action plan for USAID/El Salvador </t>
  </si>
  <si>
    <t>Gender assessment for USAID/Sri Lanka </t>
  </si>
  <si>
    <t>Quarterly report, October 1-December 31, 2003 (first quarter, FY'04) [: quick response, short-term technical assistance and training supporting gender integration in USAID operating units] </t>
  </si>
  <si>
    <t>Gender assessment for USAID/Caucasus/Azerbaijan </t>
  </si>
  <si>
    <t>Independent external evaluation of EMPOWER program for USAID/Ethiopia </t>
  </si>
  <si>
    <t> 2003, Final Evaluation Report   </t>
  </si>
  <si>
    <t>Africa Bureau gender training : needs assessment </t>
  </si>
  <si>
    <t> 2003, Assessment   </t>
  </si>
  <si>
    <t>Poverty reduction strategy papers : review of private sector participation </t>
  </si>
  <si>
    <t> 2003, Other USAID Supported Study/Document   </t>
  </si>
  <si>
    <t>Gender assessment for USAID/Tanzania </t>
  </si>
  <si>
    <t>Gender assessment for USAID/Guyana </t>
  </si>
  <si>
    <t>Gender assessment for USAID/RCSA </t>
  </si>
  <si>
    <t>Quarterly report, April 1-June 30, 2003] [: quick response, short-term technical assistance and training supporting gender integration in USAID operating units] </t>
  </si>
  <si>
    <t> 2003, Periodic Report   </t>
  </si>
  <si>
    <t>Gender assessment for USAID/Caucasus </t>
  </si>
  <si>
    <t>Gender assessment for USAID/Morocco </t>
  </si>
  <si>
    <t>2001/2002 Latin America and the Caribbean selected economic and social data </t>
  </si>
  <si>
    <t> 2003, Reference Document   </t>
  </si>
  <si>
    <t>Quarterly report, January 1-March 31, 2003 [: quick response, short-term technical assistance and training supporting gender integration in USAID operating units] </t>
  </si>
  <si>
    <t>Evaluation of Benin's basic education reform : pedagogical component -- final report </t>
  </si>
  <si>
    <t> 2003, Special Evaluation   </t>
  </si>
  <si>
    <t> 2003, Final Contractor/Grantee Report   </t>
  </si>
  <si>
    <t>Evaluation of USAID/Jordan's strategic objective 2 : improved water resources management -- final report </t>
  </si>
  <si>
    <t>Girls' and women's education [GWE] project : quarterly report, October 1, 2002 to December 31, 2002 </t>
  </si>
  <si>
    <t>Quick response, short-term technical assistance and training supporting gender in USAID operating units under leadership of EGAT/WID : quarterly report, October 1, 2002 to December 31, 2002 </t>
  </si>
  <si>
    <t>GED 2003, global education database [CD-ROM] </t>
  </si>
  <si>
    <t> 2003, Handbook/Manual   </t>
  </si>
  <si>
    <t>Dominican Republic school sponsorship project : contract no. 517-C-00-02-00115-00 -- quarterly report [1], September 5-December 31, 2002 </t>
  </si>
  <si>
    <t>Girls' and women's education project : quarterly report, July 1, 2002 to September 30, 2002 </t>
  </si>
  <si>
    <t> 2002, Periodic Report   </t>
  </si>
  <si>
    <t> 2002, Other USAID Supported Study/Document   </t>
  </si>
  <si>
    <t>Codigo tributario municipal en Guatemala </t>
  </si>
  <si>
    <t>Girls' and women's education project : quarterly report, April 1, 2002 to June 30, 2002 </t>
  </si>
  <si>
    <t> 2002, Assessment   </t>
  </si>
  <si>
    <t> 2002, Special Evaluation   </t>
  </si>
  <si>
    <t>Girls' and women's education project : quarterly report, January 1, 2002 to March 31, 2002 </t>
  </si>
  <si>
    <t>Girls' and women's education project : quarterly report, October 1, 2001 to December 31, 2001 </t>
  </si>
  <si>
    <t>Girls' and women's education project : work plan for 2002, January 1, 2002 through September 30, 2002 </t>
  </si>
  <si>
    <t> 2002, Design/Implementation Workplan   </t>
  </si>
  <si>
    <t>Aplicacion de mejores practicas internacionales al desempeno de la administracion tributaria de Guatemala : un estudio de benchmarking </t>
  </si>
  <si>
    <t> 2001, Other USAID Supported Study/Document   </t>
  </si>
  <si>
    <t>Guatemala : la incidencia del sistema tributaria en el ano 2001 </t>
  </si>
  <si>
    <t>Girls' and women's education project : quarterly report, July 1, 2001 to September 30, 2001 </t>
  </si>
  <si>
    <t> 2001, Periodic Report   </t>
  </si>
  <si>
    <t>Environmental information systems and networking [EISN] project (contract no. EE-C-00-98-00001-00) : third quarter 2001 progress report </t>
  </si>
  <si>
    <t> 2001, Final Evaluation Report   </t>
  </si>
  <si>
    <t>Proyecto de educacion inicial de ninas menores de 7 anos a traves de sus familias - EDIFAM : informe de mision </t>
  </si>
  <si>
    <t>Honduras vocational/technical education quarterly activity report : April 1-June 30, 2001 </t>
  </si>
  <si>
    <t>Environmental information systems and networking [EISN] project (contract no. EE-C-00-98-00001-00) : fourth quarter 2000 progress report </t>
  </si>
  <si>
    <t>2000 Latin America and the Caribbean selected economic and social data </t>
  </si>
  <si>
    <t> 2001, Reference Document   </t>
  </si>
  <si>
    <t>Girls' and women's education [GWE] project : workplan 2001, January 1, 2001 through December 31, 2001 </t>
  </si>
  <si>
    <t> 2001, Design/Implementation Workplan   </t>
  </si>
  <si>
    <t>Girls' and women's education project : quarterly report, April 1, 2001 through June 30, 2001 </t>
  </si>
  <si>
    <t> 2000, Other USAID Supported Study/Document   </t>
  </si>
  <si>
    <t>Environmental information systems and networking [EISN] project (contract no. EE-C-00-98-00001-00) : third quarter 2000 progress report </t>
  </si>
  <si>
    <t> 2000, Periodic Report   </t>
  </si>
  <si>
    <t>Honduras vocational/technical education : quarterly activity report -- July 1-September 30, 2000 </t>
  </si>
  <si>
    <t>Tres informes : 1. impuesto sobre bienes inmuebles en Guatemala -- 2. impuesto sobre bienes inmuebles en Costa Rica : 3. analisis de impacto de reforma tributaria municipal en 14 municipios de El Salvador </t>
  </si>
  <si>
    <t>Casos especificos con referencia a la reforma tributaria municipal en Colon de la Libertad y Tecoluca de San Vicente </t>
  </si>
  <si>
    <t> 2000, Assessment   </t>
  </si>
  <si>
    <t>Environmental information systems and networking [EISN] project (contract no. EE-C-00-98-00001-00) : second quarter 2000 progress report </t>
  </si>
  <si>
    <t> 2000, Conference Proceedings/Paper   </t>
  </si>
  <si>
    <t>Honduras vocational/technical education quarterly activity report : April 1-June 30, 2000 </t>
  </si>
  <si>
    <t>Informe de los estudios de impacto en recaudacion municipal con implementacion de alternativas tributarias </t>
  </si>
  <si>
    <t>Evaluation of the GTN hardware platform and trade lead system </t>
  </si>
  <si>
    <t>Construction and oversight of vocational/technical centers in Honduras : analysis, recommendaitons, and proposed work plan </t>
  </si>
  <si>
    <t> 2000, Design/Implementation Workplan   </t>
  </si>
  <si>
    <t>Developing and empowering vocational and technical education centers in Honduras : draft grant agreements </t>
  </si>
  <si>
    <t>Monitoring the vocational/technical education centers project in Honduras : recommendations and proposed monitoring plan </t>
  </si>
  <si>
    <t> 2000, Program/Project Evaluation Guide   </t>
  </si>
  <si>
    <t> 2000, Final Contractor/Grantee Report   </t>
  </si>
  <si>
    <t>GED (Global education database) 2000 [CD-ROM] </t>
  </si>
  <si>
    <t> 2000, Reference Document   </t>
  </si>
  <si>
    <t>Global education database (GED) 2000 : user's guide </t>
  </si>
  <si>
    <t> 2000, Handbook/Manual   </t>
  </si>
  <si>
    <t>Economic and social data service annual performance report, October 1999-September 2000 : AEP-C-00-95-00033-00 </t>
  </si>
  <si>
    <t> 2000, Annual Report   </t>
  </si>
  <si>
    <t>EISN (environmental information systems and networking) annual review </t>
  </si>
  <si>
    <t>EISN [environmental information systems and networking] : first quarterly report for 2000 </t>
  </si>
  <si>
    <t> 1999, Reference Document   </t>
  </si>
  <si>
    <t> 1999, Other USAID Supported Study/Document   </t>
  </si>
  <si>
    <t>Global education database [GED] [CD-ROM] : 1999 edition </t>
  </si>
  <si>
    <t>Global education database (GED) : [1999 edition] -- user's guide </t>
  </si>
  <si>
    <t> 1999, Handbook/Manual   </t>
  </si>
  <si>
    <t>Agricultural technology : a resource guide </t>
  </si>
  <si>
    <t>EISN [environmental information systems and networking] : first quarter report, 1999 </t>
  </si>
  <si>
    <t> 1999, Periodic Report   </t>
  </si>
  <si>
    <t> 1999, Annual Report   </t>
  </si>
  <si>
    <t>1998 Latin America and the Caribbean selected economic and social data </t>
  </si>
  <si>
    <t> 1998, Reference Document   </t>
  </si>
  <si>
    <t>Environment : a resource guide </t>
  </si>
  <si>
    <t>Environmental information systems and networking [EISN] : six-month report </t>
  </si>
  <si>
    <t> 1998, Periodic Report   </t>
  </si>
  <si>
    <t>New Independent States : a resource guide </t>
  </si>
  <si>
    <t>Central and Eastern Europe : a resource guide </t>
  </si>
  <si>
    <t>Financing guide : Latin America &amp; the Caribbean </t>
  </si>
  <si>
    <t>Financing guide : Asia </t>
  </si>
  <si>
    <t>Latin America &amp; the Caribbean : a resource guide </t>
  </si>
  <si>
    <t> 1998, Other USAID Supported Study/Document   </t>
  </si>
  <si>
    <t>Asia and the Near East : a resource guide </t>
  </si>
  <si>
    <t>Briefing book on corruption : with a focus on the NIS [New Independent States] region </t>
  </si>
  <si>
    <t> 1998, Handbook/Manual   </t>
  </si>
  <si>
    <t>Gender analysis of USAID/Haiti's strategic objectives </t>
  </si>
  <si>
    <t>Private sector participation in the delivery of municipal services and the use of domestic bond financing instruments for urban infrastructure in El Salvador </t>
  </si>
  <si>
    <t>1998 United States merchandise trade with developing countries [computer file] </t>
  </si>
  <si>
    <t>1997 United States merchandise trade with developing countries </t>
  </si>
  <si>
    <t> 1997, Reference Document   </t>
  </si>
  <si>
    <t> 1997, Conference Proceedings/Paper   </t>
  </si>
  <si>
    <t>1997 Latin America and the Caribbean selected economic and social data </t>
  </si>
  <si>
    <t>UNDP's (United Nations Development Program) human development index : a user's guide </t>
  </si>
  <si>
    <t> 1997, Handbook/Manual   </t>
  </si>
  <si>
    <t>Measurement of poverty, welfare, and distribution : basic issues </t>
  </si>
  <si>
    <t> 1997, Other USAID Supported Study/Document   </t>
  </si>
  <si>
    <t>Asia/Near East : gender highlighted summary of strategic objectives, indicators, intermediate results </t>
  </si>
  <si>
    <t>Center for Trade and Investment Services : guide for doing business in sub-Saharan Africa </t>
  </si>
  <si>
    <t>US merchandise trade with Asia and the Near East : spotlight on USAID-presence countries with comparisons to countries in other regions </t>
  </si>
  <si>
    <t> 1996, Other USAID Supported Study/Document   </t>
  </si>
  <si>
    <t> 1996, Special Evaluation   </t>
  </si>
  <si>
    <t>Impact des pistes rurales : rapport definitif </t>
  </si>
  <si>
    <t> 1996, Reference Document   </t>
  </si>
  <si>
    <t>Latin America and the Caribbean : selected economic and social data [-- 1996] </t>
  </si>
  <si>
    <t>United States merchandise trade with developing countries </t>
  </si>
  <si>
    <t>Final report -- support for Ugandan primary education reform : a formative evaluation </t>
  </si>
  <si>
    <t> 1995, Special Evaluation   </t>
  </si>
  <si>
    <t>United States merchandise trade with the developing world : sub-Saharan Africa, Asia, Eastern Europe, Latin America and the Caribbean, New Independent States, Near East </t>
  </si>
  <si>
    <t> 1995, Reference Document   </t>
  </si>
  <si>
    <t> 1994, Other USAID Supported Study/Document   </t>
  </si>
  <si>
    <t>Assessment of gender reporting in the Africa Bureau's FY93 assessment of program impact (API) documents </t>
  </si>
  <si>
    <t> 1994, Assessment   </t>
  </si>
  <si>
    <t>Final report : evaluation of the EDUCA [action for basic education] private initiatives in primary education project (PIPE) </t>
  </si>
  <si>
    <t> 1994, Special Evaluation   </t>
  </si>
  <si>
    <t>Donnees de base pour l'etude d'impact des pistes rurales : Btgr de Boke </t>
  </si>
  <si>
    <t>Final report [: technical assistance to Environmental Division of the Office of Project Development, ANE Bureau, contract no. ANE-0178-C-00-0041-00] </t>
  </si>
  <si>
    <t> 1992, Final Contractor/Grantee Report   </t>
  </si>
  <si>
    <t>Technical assistance to Environmental Division of the Office of Project Development, ANE Bureau contract no. ANE-0178-C-00-0041-00 </t>
  </si>
  <si>
    <t> 1992, Periodic Report   </t>
  </si>
  <si>
    <t>Diseno del programa economico dentro del sector agropecuario de Panama y necesidades de asistencia tecnica </t>
  </si>
  <si>
    <t> 1992, Other USAID Supported Study/Document   </t>
  </si>
  <si>
    <t>Panama's tariff reduction program : an evaluation </t>
  </si>
  <si>
    <t> 1992, Assessment   </t>
  </si>
  <si>
    <t> 1991, Final Contractor/Grantee Report   </t>
  </si>
  <si>
    <t> 1990, Other USAID Supported Study/Document   </t>
  </si>
  <si>
    <t> 1989, Other USAID Supported Study/Document   </t>
  </si>
  <si>
    <t>USAID Nicaragua Community Action for Reading and Security Activity (CARS) FY2014 Work Plan </t>
  </si>
  <si>
    <t> Design/Implementation Workplan   </t>
  </si>
  <si>
    <t>Final report : training for productivity and competitiveness -- a study of FEPADE's role </t>
  </si>
  <si>
    <t> 1988, Other USAID Supported Study/Document   </t>
  </si>
  <si>
    <t>Comparative method to evaluate the developmental impacts of AID-assisted training </t>
  </si>
  <si>
    <t> 1985, Other USAID Supported Study/Document   </t>
  </si>
  <si>
    <t>Small enterprise development program for Ecuador : economic background paper </t>
  </si>
  <si>
    <t>Gender Assessments STTA &amp; TTO: Evaluation of the OTI Afghanistan Program, 2001-2005 (TDY 52)</t>
  </si>
  <si>
    <t>This evaluation of OTI’s program in Afghanistan and its impact upon Afghan women and gender
relations was conducted from April – July 2005. It was undertaken in response to a request
from the USAID Office of Women in Development and the Office of Transition Initiatives. This
report complements an evaluation of OTI’s overall program in Afghanistan undertaken by Social
Impact. Information sources for this evaluation included interviews, site visits, IOM and OTI
project databases, and other program-related documents. Interviews were conducted in
Washington, D.C. and Afghanistan with USAID and OTI current and former staff; implementing partners including IOM, Ronco, and NGOs; Afghan government officials, and Afghan community
leaders and community members. Written documents from OTI, IOM, Ronco and NGO
implementing partners were also reviewed. Three weeks of site visits in Afghanistan included
travel to and interviews in Kabul, Helmand, Kandahar, Mazar-i-Sharif, Paktia, Parwan and
Samangan.</t>
  </si>
  <si>
    <t xml:space="preserve">Gender Assessments STTA &amp; TTO: Gender Assessment for USAID/Caucasus (Azerbaijan) (TDY 18) </t>
  </si>
  <si>
    <t>A team of five consultants provided recommendations to the Mission on how best to introduce gender-sensitive programming in the areas of economic growth, and social and democratic transition.</t>
  </si>
  <si>
    <t>Gender Assessments STTA &amp; TTO: Gender Assessment: DCHA/DG Strategy (TDY 39)</t>
  </si>
  <si>
    <t>A team of two gender experts completed a gender analysis working with the Office of Democracy and Governance.</t>
  </si>
  <si>
    <t>Gender Assessments STTA &amp; TTO: Gender Integration in Sectoral Activities: Mali (TDY 17)</t>
  </si>
  <si>
    <t>This gender integration activity analyzed the habits and preferences of women regarding receiving information from the radio, based on responses to more than 1000 surveys.</t>
  </si>
  <si>
    <t>Gender Assessments STTA &amp; TTO: Gender Integration in Sectoral Activities: Namibia Gender Mainstreaming and Disability
Sensitization In Civic and Voter Education (TDY 22)</t>
  </si>
  <si>
    <t>The focus of this consultancy was to examine the Civic and Voter Education Program for the mainstreaming and sensitization to gender, disability and other marginalized groups (to be determined during the consultancy). The main tasks were to: 1) meet with all implementing and funding partners of the ESC (and others identified as relevant) to ascertain expectations and assess current mainstreaming of gender, disability and minority related issues and activities; 2) conduct a “how to” training workshop with all ESC partners (and others identified as relevant); 3) conduct follow-up meetings with NGOs (including the ESC partners and others identified as relevant) to plan next steps/future activities; and 4) compile a report containing an assessment of gender mainstreaming, disability and minority sensitization in current ESC activities, and recommendations on the development of general strategies and partner-specific guidelines for the integration of gender, disability and minority issues into future programming.</t>
  </si>
  <si>
    <t>Gender Assessments STTA &amp; TTO: Gender Integration in Sectoral Activities: Peri-Urban Electrification (TDY 14)</t>
  </si>
  <si>
    <t>A team of five consultants provided insight about integrating gender into program design through a desk study, interviews, and discussions with various stakeholders. Report was published by EGAT.</t>
  </si>
  <si>
    <t>Gender Assessments STTA &amp; TTO: Gender Integration in Sectoral Activities: Sustainable Tourism Initiative (TDY 38)</t>
  </si>
  <si>
    <t>The task order provided technical assistance on integrating gender into sustainable tourism activities, including comments on gender training and the framework for the activity.</t>
  </si>
  <si>
    <t>Gender Assessments STTA &amp; TTO: Gender training for CO conference (TDY 27)</t>
  </si>
  <si>
    <t>The task order provided a module during an existing workshop for Contracting Officers.</t>
  </si>
  <si>
    <t xml:space="preserve">Gender Assessments STTA &amp; TTO: Gender Training: EGAT/AG (TDY 32) </t>
  </si>
  <si>
    <t>In 2004, the Office of Agriculture requested a series of trainings on gender integration to be developed for its office staff in Washington, agriculture officers in Missions, and its partners. Under this TDY, the training was developed. Thereafter, four trainings were conducted (under TDY 51).</t>
  </si>
  <si>
    <t>Gender Assessments STTA &amp; TTO: Global Health with Conservation International--Gender Integration in Health (TDY 36)</t>
  </si>
  <si>
    <t>A workshop was sponsored to increase the awareness and knowledge of Conservation International</t>
  </si>
  <si>
    <t>Gender Assessments STTA &amp; TTO: Regional Gender Training for the Africa Bureau (TDY 16)</t>
  </si>
  <si>
    <t>AFR</t>
  </si>
  <si>
    <t xml:space="preserve"> Africa</t>
  </si>
  <si>
    <t>The task order supported a gender training program emphasizing economic growth, agriculture and trade was developed using the case study methodology. Content also included a focus on the ADS, activity design, and development of indicators, with exercises designed to help participants learn how to integrate and apply gender in their programming. Three regional four-day workshops were held in Accra, Pretoria, and Addis Ababa.</t>
  </si>
  <si>
    <t>Gender Assessments STTA &amp; TTO: USAID/ Mexico Gender Integration in Sectoral Activities: Environment (TDY 35)</t>
  </si>
  <si>
    <t>The purpose of the assignment was to help the USAID/Mexico Environment Program and its partners build stronger linkages between environmental issues, economic growth, and gender equity. A team of three consultants carried out the assessment through interviews, field visits, and workshops with partners.</t>
  </si>
  <si>
    <t>Gender Assessments STTA &amp; TTO: USAID/El Salvador (Gender Assessment) (TDY 19)</t>
  </si>
  <si>
    <t>Two team members conducted an analysis to assess gender relations and issues in the Mission</t>
  </si>
  <si>
    <t>Gender Assessments STTA &amp; TTO: USAID/Macedonia Gender Assessment (TDY 21)</t>
  </si>
  <si>
    <t>A team of two gender consultants provided recommendations to USAID/Macedonia for improved gender integration models.</t>
  </si>
  <si>
    <t>Gender Assessments STTA &amp; TTO: USAID/Nicaragua Gender Mainstreaming (TDY 30)</t>
  </si>
  <si>
    <t>http://pdf.usaid.gov/pdf_docs/PDABP030.pdf</t>
  </si>
  <si>
    <t>Through document review and discussions with the USAID/Nicaragua Strategic Objective team, the consultant identified specific actions and provided recommendations to the Mission for integrating gender considerations.</t>
  </si>
  <si>
    <t>Gender Assessments STTA &amp; TTO: USAID/Panama Gender Assessment (TDY 26)</t>
  </si>
  <si>
    <t>A team of three consultants provided an overview of factors affecting the status of women in Panama, key gender issues, and government, civil society, and donor resources directed to these issues. The report also focuses on the USAID/Panama strategic program areas to identify gender issues specific to these programs and the implementing partners, and makes recommendations for gender mainstreaming in the country plan.</t>
  </si>
  <si>
    <t xml:space="preserve">Gender Assessments STTA &amp; TTO: USAID/Russia Gender Assessment (TDY 34) </t>
  </si>
  <si>
    <t>The purpose of the gender consultancy was to provide technical assistance to further implement the Mission</t>
  </si>
  <si>
    <t>Gender Assessments STTA &amp; TTO: USAID/South Africa Gender Assessment (TDY 37)</t>
  </si>
  <si>
    <t>A team of three gender experts conducted document review, field site visits as well as interviews with USAID implementing partners, civil society, and Government of South Africa officials. The report concluded that the Mission had been supporting several activities that were aimed at transforming gender relations in the country, although the activities were not necessarily recognized as such due to the tendency at the time to view gender as meaning</t>
  </si>
  <si>
    <t>Gender Assessments STTA &amp; TTO: USAID/Sri Lanka Gender Assessment (TDY25)</t>
  </si>
  <si>
    <t>This gender assessment report reflects the findings, conclusions and recommendations made to help the Mission better understand how gender issues relate to the new draft strategy and Performance Monitoring Plan (PMP).</t>
  </si>
  <si>
    <t>Gender Assessments STTA &amp; TTO: USAID/Timor-Leste Gender Assessment (TDY 31)</t>
  </si>
  <si>
    <t>TLS</t>
  </si>
  <si>
    <t>Timor-Leste</t>
  </si>
  <si>
    <t>This gender assessment provided an overview of the gender context for the country and gender issues specific to the EG, DG, and Health sectors. The recommendations include specific ideas for both gender-mainstreamed and gender-focused activities, indicators, and monitoring.</t>
  </si>
  <si>
    <t>Gender Assessments STTA &amp; TTO: Gender Training: South Africa (TDY 57)</t>
  </si>
  <si>
    <t>For this assignment, three deliverables were requested: (1) Targeted training for each Strategic Objective (SO) team, (2) Facilitated working sessions leading to sector-specific Action Plans, and (3) An overview report on key sector issues. Over the three-week assignment, the Gender Training &amp; TA Team provided several types of training to more than 100 staff members (39 men and 64 women).</t>
  </si>
  <si>
    <t>Gender Assessments STTA &amp; TTO: Regional Gender Training: Southern Africa, Pretoria, South Africa (TDY104)</t>
  </si>
  <si>
    <t>This was the final installment of a series of regional trainings. The materials developed in this workshop highlighted the importance of integrating gender into the program cycle. The training workshop was funded by the GenDev office but each Mission sending a representative had to fund the training facility-costs. Despite this cost the subscription to the workshop was greater than the ideal number for this type of training.</t>
  </si>
  <si>
    <t>Gender Assessments STTA &amp; TTO: USAID/Mozambique Gender Integration in Sectoral Activities: Tourism Sector (TDY 33)</t>
  </si>
  <si>
    <t>MOZ</t>
  </si>
  <si>
    <t>Mozambique</t>
  </si>
  <si>
    <t>A team of two international gender experts and one national advisor developed an internal document for integrating gender concerns in the Northern Mozambique Tourism ARC Implementation Plan.</t>
  </si>
  <si>
    <t xml:space="preserve">Gender Assessments STTA &amp; TTO: Women’s access to radio information in general, and to radio receivers in particular in Mali 
</t>
  </si>
  <si>
    <t>This report presents the data collected to analyze women’s access to radio information in general, and to radio receivers in particular in Mali. The study examines the timing and content of existing radio programming (for the general population and women’s programming) to assess its pertinence and applicability to women’s lives and livelihoods. The final report is available in French only.</t>
  </si>
  <si>
    <t xml:space="preserve">Gender Assessments STTA &amp; TTO:Gender Integration in Sectoral Activities: Timor-Leste (TDY 47) </t>
  </si>
  <si>
    <t>The report identifies gender dynamics for a proposed candlenut oil processing project to be developed as a public/private partnership in Timor-Leste. It looks at the conditions in the country, sector and industry and the gender implications of the proposed project.</t>
  </si>
  <si>
    <t>Gender Assessments STTA &amp; TTO:Gender Integration in Sectoral Activities: Western Africa Water Initiative (WAWI) (TDY 40)</t>
  </si>
  <si>
    <t>This was a one-year activity. Three-day gender mainstreaming workshops were held in each country. An international gender consultant led the workshops, and three national gender consultants provided background papers on gender in their countries and co-facilitated the workshops. The workshops had a set of common objectives: to develop a common understanding of gender mainstreaming in WAWI, to establish a commitment to modify current practices to assure gender mainstreaming, and to prepare recommendations for next steps. Recommendations from the workshop led to a new gender mainstreaming activity (funded through the USAID EGAT/WID Office), which developed a year long program to create national level gender working groups, provide technical assistance on gender to WAWI partners, and hold a gender mainstreaming implementation workshop.</t>
  </si>
  <si>
    <t>Gender Assessments STTA &amp; TTO: 
Gender Analysis: Tanzania (TDY 61)</t>
  </si>
  <si>
    <t>TZA</t>
  </si>
  <si>
    <t>Tanzania</t>
  </si>
  <si>
    <t>The gender audit process addressed gender in programming issues and the practices and policies of the Mission as a whole (such as human resource issues, budgeting, and management), to provide a holistic picture of gender relations in several aspects of the organization. The report and its recommendations are based on meetings with Mission staff members and interviews with USAID implementing partners and the Ministry of Community Development, Gender, and Children in Dar es Salaam, as well as on the results of the survey and the focus group discussions.</t>
  </si>
  <si>
    <t>Gender Assessments STTA &amp; TTO: 
Gender Integration in Sectoral Activities: Gender-based Violence &amp;TA (TDY60)</t>
  </si>
  <si>
    <t>PER</t>
  </si>
  <si>
    <t>Peru</t>
  </si>
  <si>
    <t>A two day workshop on how to mainstream gender into gender-based violence prevention programs provided additional TA support to the Health Policy Initiative (HPI) Project in Peru, for MINSA, the General Office of Health Statistics, the Ministry of Women and Social Development (MIMDES), and the National Institute of Mental Health. In the workshop, case studies were presented and participants received CD-ROMs containing technical guides for research, programming, and monitoring and evaluation to address GBV. The team also organized a round table with representatives of the Ministries of Health, Interior, Justice, and of Women and Social Development for presentations on advancements and ongoing challenges in addressing GBV in their sectors.</t>
  </si>
  <si>
    <t>Gender Assessments STTA &amp; TTO: Gender Analysis: Development of Intra-Household Poverty Analysis Tools, Gender Integration in Sectoral Activities (TDY 49)</t>
  </si>
  <si>
    <t>The activity helped identify and raise awareness about a) methodological issues that need to be considered by future tools to correctly approximate the distribution of resources within households, b) how existing methodological approaches are addressing these issues and provided an evaluation of their usefulness, and c) conceptual approaches that can address these issues with accurate and user-friendly poverty assessment tools. The activity also ensured that the broad lessons learned about gender-sensitive implementation of household surveys were reflected in the manuals that accompanied the poverty assessment tools developed for certification by USAID.</t>
  </si>
  <si>
    <t>USAID, DOJ, FTC</t>
  </si>
  <si>
    <t>Input to the EAP Task Force Progress Report for the Environment for Europe Ministerial Conference</t>
  </si>
  <si>
    <t>Argentina, Brazil</t>
  </si>
  <si>
    <t>ARG, BRA</t>
  </si>
  <si>
    <t>Strengthening Citizen Participation</t>
  </si>
  <si>
    <t>DevTech led a weekly radio broadcast addressing economic reform and citizen participation issues in former communist countries and how those transitions in governments relate to Cuba's future.</t>
  </si>
  <si>
    <t>U of Florida, FIU</t>
  </si>
  <si>
    <t>Measuring Cuban Public Opinion: Project Report</t>
  </si>
  <si>
    <t xml:space="preserve">This study uses as a surrogate for Cubans on the island Cuban emigres who have been in the
United States for only a short period of time. In an attempt to match the characteristics of the
Cuban population, the data were weighted according to age, gender, race, and place of residency
in Cuba. In addition, the questionnaire included a series of issues which tapped not only what
the respondent thought in relation to the issue, but also what the views of other Cubans would be,
including supporters of the regime. By making explicit a separate request for the points of views
of others, as distinct from their own, interviewers were able to obtain both the opinions of Cuban
emigres and the perceived opinions of other segments of the society. Over a period of several
months, December 1998 to April 1999, interviews were obtained from 1023 persons. </t>
  </si>
  <si>
    <t>U.S.-Egyptian Partnership for Economic Growth and Development: Human Resource
 Development Project</t>
  </si>
  <si>
    <t>Women in Development strategies and resources</t>
  </si>
  <si>
    <t>Economic and Social data Service Annual Performance Report (Oct 1999-Sept 2000)</t>
  </si>
  <si>
    <t xml:space="preserve">ESEA Title VII Educational Services Provided for Secondary School Limited English Proficient Students </t>
  </si>
  <si>
    <t xml:space="preserve">Quarterly Progress Report: Technical Assistance to Environmental Division of the Office of Project Development, ANE Bureau </t>
  </si>
  <si>
    <t xml:space="preserve">DevTech was contracted to provide technical support to the ANE Bureau Environmental Division in developing bureau environmental strategies and reviewing assessments. Tasks included data collection activities related to natural resources, reviewing agency procedures for tracking Initial Environmental Examinations, and </t>
  </si>
  <si>
    <t>The Role of Municipalities in the Reconstruction of Honduras</t>
  </si>
  <si>
    <t>PCE-C-00-95-00001-00</t>
  </si>
  <si>
    <t>Evaluation IQC: Evaluation Studies of USAID Development Programs</t>
  </si>
  <si>
    <t>522-0325-C-00-1088-00</t>
  </si>
  <si>
    <t>HNE-5832-I-02-3069-00</t>
  </si>
  <si>
    <t>Final Report: evaluation of the EDUCA private initiatives in primary education project (PIPE)</t>
  </si>
  <si>
    <t>Mid-term Evaluation of the USAID NARP II (National Agricultural Research Project)</t>
  </si>
  <si>
    <t>AEP-0005-I-01-5034-00</t>
  </si>
  <si>
    <t>HNE-5832-I-06-3069-00</t>
  </si>
  <si>
    <t>Center for Trade and Investment Services: A Guide for Doing Business in Sub-Saharan Africa</t>
  </si>
  <si>
    <t>Development Information Services (DIS)</t>
  </si>
  <si>
    <t>Evaluation IQC</t>
  </si>
  <si>
    <t>Support the Global Technology Network and maintain trade leads for small and medium sized exporters. These exporters come from a variety of fields such as technological products in environment health, agriculture, and other fields.</t>
  </si>
  <si>
    <t>PCE-I-00-98-00015-00</t>
  </si>
  <si>
    <t>PCE-I-00-00-00015-00</t>
  </si>
  <si>
    <t>A multinational team of DevTech researchers from Benin, Canada, Guinea, Senegal, and the United States conducted an evaluation, met regularly with key members of USAID’s education team, and key respondents, and data collection in support evaluating the quality of basic education provided to a larger percentage of Guinean children with an emphasis on girls and rural children, including improved sectoral strategic planning, management, and decision-making in basic education, Improved instruction in basic education, Improved community participation in basic education, Improved gender and rural/urban equity in basic education.</t>
  </si>
  <si>
    <t>In 2003, the U.S. Department of Labor (USDOL) signed a cooperative agreement with DevTech to implement the Combating Child Labor through Education in the Dominican Republic project. The program works worked with the International Labor 
Organization, the Dominican Secretariats of Education and Labor, and other stakeholders to: Raise awareness of the importance of education for all children and to mobilize a wide array of actors to improve and expand education infrastructures; Strengthen national institutions and policies on education and child labor; and Ensure the long-term sustainability of these efforts.</t>
  </si>
  <si>
    <t>GHA, MWI</t>
  </si>
  <si>
    <t>Ghana, Malawi</t>
  </si>
  <si>
    <t>DevTech and its associates signed a cooperative agreement with the U.S. Department of Labor to lead the Combating Exploitative Child Labor through Education in the Dominican Republic project. In association with two Dominican organizations and a number of local subcontractors, DevTech built upon the successes of the last project and introduced new innovations to offer Dominican youth an alternative to exploitative child labor.</t>
  </si>
  <si>
    <t>DevTech led an impact evaluation to access the impact of USAID/Zambia's Fast Track Initiative (FTI) funding on the 
development of community schools. The evaluation reviewed the activities and achievements of USAID's one-time FTI funding, which was made available to accelerate the achievement of universal primary education through three existing programs. The study assessed the degree to which USAID supplementary support strengthened the ability of the Ministry of Education to support community schools at the various institutional levels (national, provincial/district, community, school, and classroom) of the education delivery system. The evaluation also examined specific teacher training interventions at the target community schools. Based on the findings of the evaluation, DevTech identified potential directions for future education programming in Zambia, strategic targets for FTI funding, and proposed options to address the challenge of teacher attrition in the country.</t>
  </si>
  <si>
    <t>Public Opinion Poll on USAID Visibility in Senegal</t>
  </si>
  <si>
    <t>The Foreign Service Institute (FSI) is the U.S. Department of State's training bureau and the U.S. Government's primary training institution for the U.S. foreign affairs community. DevTech is worked with FSI to provide assistance and recommendations for enhancing and streamlining FSI's adoption and integration of state-of-the-art educational technologies in order to maximize the Institute's training effectiveness on a global scale.</t>
  </si>
  <si>
    <t>Monitoring and Evaluation of the Bureau of International Narcotics and Law Enforcement Affairs (INL) Caribbean Basin Security Initiative Program (CBSI)</t>
  </si>
  <si>
    <t>Indonesia, Jordan, Niger</t>
  </si>
  <si>
    <t>SAQMMA15F3341</t>
  </si>
  <si>
    <t>SAQMMA-12-D-0084/ SAQMMA 16F5009</t>
  </si>
  <si>
    <t>Nigeria Monitoring, Evaluation and Learning Activity</t>
  </si>
  <si>
    <t>Puerto Rico Macro Fiscal Policy Program</t>
  </si>
  <si>
    <t>Ukraine, Belarus, Moldova</t>
  </si>
  <si>
    <t xml:space="preserve">  Hungary, Bulgaria, Croatia, Macedonia, Bosnia, Albania</t>
  </si>
  <si>
    <t>Asia, Europe and Eurasia</t>
  </si>
  <si>
    <t xml:space="preserve">Latin America and the
Caribbean </t>
  </si>
  <si>
    <t>U.S. Department of the Treasury</t>
  </si>
  <si>
    <t>International Trade Administration</t>
  </si>
  <si>
    <t>Services provided by DevTech’s under this contract are necessary to assess achievement of PAS core public diplomacy objectives and to gather information for the design of future programs. The core PAS public diplomacy objectives, and examples of supporting programs and initiatives,  included: 
1. Empower civil society;
2. Counter Violent Extremism;
3. Strengthen People-To-People Ties;
4. Expand Media Outreach/Build Afghan Communication Capacity;
In order to assess the PAS core public diplomacy objectives(above), the DevTech M&amp;E Team provided a package of M&amp;E services to meet the ongoing needs of PAS, which included: 
• Monitoring and evaluating programs implemented by PAS;
• Monitoring and evaluating programs implemented by partners who receive funding through a robust grants program;
• Monitoring public opinion and test messages and information products with a variety of Afghan audiences;
• Monitor media in Afghanistan on television, print, electronic, radio and social media.</t>
  </si>
  <si>
    <t>IDN, JOR, NER</t>
  </si>
  <si>
    <t xml:space="preserve">Since early October of 2015 DevTech Systems, Inc. (DevTech) has been working closely with the Bureau of Counterterrorism (CT) and the Bureau of Diplomatic Security (DS) on the Comprehensive Evaluation of the Bureau of Counterterrorism (CT) Antiterrorism Assistance (ATA) Program (SAQMMA15F3863).The purpose of the contract was to conduct  a three-phase evaluation of the ATA program:
Phase 1) Theory of Change:  A review of the ATA program’s role in serving policy priorities and the underlying assumptions, theory of change and overarching strategic objectives that guide ATA’s planning of program’s activities and focus areas; 
Phase 2) Results and Impact:  A performance evaluation seeking to identify the results of ATA programming;
Phase 3) Cost-Effectiveness:  A review of the cost effectiveness and administration of the ATA program. 
The ATA country programs in Jordan, Niger, and Indonesia were selected as case studies. 
</t>
  </si>
  <si>
    <t>SAQMMA15F3863</t>
  </si>
  <si>
    <t>Evaluation of the Education Support Program (ESP) and the Cairo Scholarship Initiative Program (CISP)</t>
  </si>
  <si>
    <t xml:space="preserve">Evaluation of ESP:
The USAID/Egypt Education Support Program (ESP) was a three-year nationwide activity of support to the Ministry of Education (MOE) to restore stability and build the quality of the public education system in the period immediately following the January 2011 revolution. At the conclusion of the ESP (January 31, 2015), USAID/Egypt contracted DevTech Systems Inc. (DevTech) and its subcontractor The QED Group, LLC (QED) to conduct the final performance evaluation of the program.  The evaluation objectives were: (1) to review analyze, and evaluate the effectiveness of USAID-funded ESP activities in achieving program objectives and completing deliverables; and, (2) to provide specific recommendations and lessons learned to ensure that future funding for capacity-building in the areas for Boards of Trustees (BOTs), teacher training, and remedial reading are directed to activities that have the highest potential to achieve improved and sustainable results
Evaluation of CISP:
To effectively implement the CIS evaluation, DevTech has partnered with QED to form the DevTech Team – an integrated team with combined knowledge of the local context of Egypt and successfully conducting evaluations in the education sector. To conduct this evaluation, the DevTech Team has nominated a combination of home office staff, and both American and Egyptian consultants with experience in evaluating higher education projects to effectively and efficiently carry out the evaluation.
The purposes of this evaluation were to: (1) identify the Cairo Initiative’s strengths and weaknesses and make any corrections needed, (2) review, analyze, and evaluate the USAID-funded Cairo Initiative in terms of achieving program objectives, and (3) provide findings and recommendations to be used by the Government of Egypt and USAID to help in future designs of human capacity-building projects.
For this performance evaluation, a mixed-methods approach was used to collect and analyze primary and secondary source data. The methods consisted of: a literature review, key informant interviews, group discussions, and an opinion survey. Data were triangulated and the team ensured that primary data took account of a set of variables (e.g., type of organization). The evaluation team interviewed 97 from a range of CISP target organizations and stakeholder organizations. The team visited four targeted organizations including two universities and two ministries.  In addition, the team invited all alumni and current CISP scholars to respond to an online survey. A total of twelve Conclusions were generated to answer the Evaluation Questions. These twelve conclusions are supported by twenty (20) Findings distributed across the Evaluation Questions, and recommendations were provided.
</t>
  </si>
  <si>
    <t>Egypt Services to Improve Performance Management, Enhance Learning and Evaluation (SIMPLE) IDIQ Contract</t>
  </si>
  <si>
    <t>USAID/Egypt</t>
  </si>
  <si>
    <t>Performance Evaluation of the USAID/Egpyt Trade Facilitation Project (TFP)</t>
  </si>
  <si>
    <t xml:space="preserve">The purpose of this performance evaluation was to assist USAID/Egypt and USAID/Washington in informing decisions regarding: 
(a) the effectiveness of TFP’s approach to improving the export capacity of Egyptian Small and Medium Enterprises (SMEs) and the sustainability of these improvements; 
(b) the effectiveness of policy-related technical assistance to the Government of Egypt (GOE); and 
(c) the nature and scope of possible future export promotion projects based on lessons learned from TFP.  
A five-person DevTech Systems, Inc., (DevTech) evaluation team conducted the performance evaluation in Egypt between October 2, 2015, and November 12, 2015. All team members were native Arabic speakers other than the team leader, who has extensive experience in project evaluation, including four previous studies in Egypt. The team used tailored questionnaires for targeted beneficiary SMEs, assisted energy efficiency firms, stakeholders, export consortium groups and project trainers. Overall, the team interviewed 31 (out of 140) SMEs, 10 (out of 28) energy efficiency firms, 15 (out of 18) stakeholders, 2 (out of 2) export consortium groups, and 6 (out of 11) project trainers.  </t>
  </si>
  <si>
    <t xml:space="preserve">The primary purpose of this evaluation was to assess to what extent the U.S. Department of State of Bureau Population, Refugees, and Migration (PRM)-supported capacity building programs, implemented over the FY12 to FY15 period by Global Communities, International Relief and Development, and Mercy Corps, have contributed to improving the response of municipal authorities to assist internally displaced persons (IDPs). The evaluation combined quantitative and qualitative data collection and analysis from documents reviewed as well as interview and focus group data collected during fieldwork. Fieldwork was conducted between January and February 2016 in Bogotá, Popayán, Mocoa, Puerto Asis, and Cúcuta. The DevTech evaluation team conducted a total of 62 semi-structured key informant interviews and focus groups with 170 individuals; 54 of these interviews were PRM-program related. The other eight meetings that were held included international donors and a Constitutional Court official focused on IDPs as well as international organizations and donors working in Colombia. Prior to the commencing fieldwork, the evaluation team conducted eight meetings, mostly by phone, with PRM staff  in Washington, DC and Bogotá, PRM’s NGO implementing partner staff, and seven meetings with practitioners and academics.  </t>
  </si>
  <si>
    <t>Kenya, Tanzania</t>
  </si>
  <si>
    <t>KEN, TZA</t>
  </si>
  <si>
    <t>Public Diplomacy Research, Monitoring, and Evaluation - Public Affairs Section (PAS) of the US Embassy Kabul</t>
  </si>
  <si>
    <t>El Salvador, Guatemala, Honduras, Panama</t>
  </si>
  <si>
    <t>SLV, GTM, HND, PAN</t>
  </si>
  <si>
    <t xml:space="preserve">For the INL’s Central America Regional Security Initiative (CARSI) task order, DevTech supported the Office of Western Hemisphere to develop a systematic data collection mechanism and procedure to facilitate the regular monitoring of CARSI programs and conducted evidence-based evaluations of program progress to determine the effectiveness in meeting goals and objectives, identify lessons learned, and provide timely analysis for effective management decisions. The evaluations focused on El Salvador, Guatemala, Honduras, and Panama. DevTech also developed the monitoring system using InfoPath so that it remains compliant with INL’s security and information technology system requirements. CARSI has implemented program activities aimed at three core outcomes: 
1. Disrupting criminal infrastructure, routes, and networks; 
2. Building the capacity of law enforcement and justice sector actors and institutions to serve citizens and address regional threats
3. Advancing community policing, gang prevention, and economic and social programming for at-risk youth in communities disproportionately impacted by crime. 
</t>
  </si>
  <si>
    <t>SAQMMA12Q0185</t>
  </si>
  <si>
    <t>Public Health Institute</t>
  </si>
  <si>
    <t>The Office of Global Women’s Issues (S/GWI) works to increase women’s and girls’ access to education and healthcare, to combat violence against girls in all its forms, and to ensure that women’s rights are fully integrated in the development of U.S. foreign policy. To ensure that these goals are being met, S/GWI contracted DevTech Systems, Inc. to conduct performance evaluations of two programs: the What to Expect Foundations’ Women’s Health Innovation Program (in Bangladesh and Liberia) and the Secretary’s Innovation Award program – which includes three different programs located in Kenya, Tanzania, and India. DevTech is also assisting S/GWI to conduct retrospective evaluations of various grantees.</t>
  </si>
  <si>
    <t>KEN, TZA, IND</t>
  </si>
  <si>
    <t>Kenya, Tanzania, India</t>
  </si>
  <si>
    <t xml:space="preserve">The purpose of the PSP evaluation was to help the Bureau of Energy Resources determine the effectiveness of PSP activities and to identify lessons learned for PSP management decisions going forward. DevTech Systems was tasked with addressing: the effectiveness of ENR coordination with PSP stakeholders; the usefulness of PSP activities to benefitting governments and lessons learned for recommending changes to future PSP programming. The evaluation focused on the time period from early 2013, when ENR launched the PSP, to the end of calendar year 2015, roughly the third year of implementation. Based on the statement of work, the DevTech Evaluation Team developed a PSP Evaluation Management Plan. The evaluation was conducted over a four-month period from November 2015 to March 2016 by a four-member team of evaluation specialists and energy experts. Activities evaluated largely focused on promoting increased integration of power sectors across different countries, as well as fostering the generation of electricity from alternative (renewable) energy sources. </t>
  </si>
  <si>
    <t>TUN</t>
  </si>
  <si>
    <t>In September 2016, DevTech was awarded the 6-months Civilian Sector Train the Trainer Performance Evaluation (Tunisia TOT Evaluation) contract. Under this contract, DevTech is undertaking a performance evaluation that will focus on CT and INL assistance to Tunisian civilian law enforcement entities, including but not limited to the Brigade Antiterrorisme (BAT), the National Unit for the Investigation of Terrorist Crimes (UNECT), the Brigade d’Ordre Public (BOP) and BIMOP, the Brigade Nationale d’Intervention Rapide (BNIR), the Commandos, and the Counterterrorism Fusion Center. DevTech evaluation experts will evaluate the results of CT and INL interventions, measuring for the success and effectiveness of TOT and other methodologies advanced by CT and INL. DevTech is employing a mixed methods approach, deriving valuable data from a variety of data collection techniques, which will derive data from KIIs with a wide range of stakeholders and beneficiaries, to arranging FGDs and survey distribution.</t>
  </si>
  <si>
    <t>RAN-I-00-09-00008 / AID-517-TO-11-00001</t>
  </si>
  <si>
    <t>The DR Tri-Project aimed at providing an integrated evaluation of the three USAID/Dominican Republic funded projects: (1) the DR Caribbean Free Trade Agreement Implementation Project (DR-CAFTA IP); (2} the Rural Economic Diversification Project (USAID/RED); and (3) the Dominican Sustainable Tourism Alliance Project (USAID/DSTA). These evaluations provided an overall assessment of the accomplishments and impact of the Mission's Economic Growth program. In addition, each individual evaluation has served as a mid-term assessment of project implementation, measuring against targets and deliverables. This activity included an impact evaluation component that allowed USAID/DR and its implementing partners to make mid-course corrections and aided USAID/DR to assess how support to the Dominican economy has increased sustainable economic opportunities for the poor and has achieved improved conditions for a more competitive economy.
In partnership with AMEX International, DevTech conducted a formative evaluation of three USAID economic growth projects in the Dominican Republic (DR). The DR Tri Project Evaluation evaluated the: (i)Dominican Republic Caribbean Free Trade Agreement Implementation Program (DR-CAFTA IP); (ii) Rural Economic Diversification (USAID/RED); (iii) Dominican Sustainable Tourism Alliance Program (DSTA) 
The project also produced an integrated evaluation of the collective effects of all three programs.</t>
  </si>
  <si>
    <t xml:space="preserve">Dominican Republic Tri-Project Evaluation
</t>
  </si>
  <si>
    <t>RAN-M-00-07-0004-00</t>
  </si>
  <si>
    <t>641-A-00-10-00036-00</t>
  </si>
  <si>
    <t xml:space="preserve">In January 2013, DevTech was awarded a $14.7 million 5-year contract to provide set up and manage USAID/Guatemala’s 
Monitoring and Evaluation Program. This contract will provide activity-level monitoring and evaluation services designed to provide qualitative and/or quantitative analyses and reviews of specific Mission activities and programs. 
DevTech is the prime holder of a mission-wide Monitoring and Evaluation support contract for USAID that provides ongoing technical assistance and monitoring and evaluation support to the USAID Economic Growth Office (EGO). The program contributes to shaping longer-term strategic direction and decision making, particularly regarding the implementation of the Feed the Future and Global Climate Change initiatives. The program’s ultimate goal is to develop a monitoring and evaluation (M&amp;E) mechanism that provides continued performance monitoring, verification and impact evaluation of program results, including environmental compliance. DevTech has provided USAID with the M&amp;E services that increased the U.S. Government’s effectiveness in implementing its new strategy, while strengthening and institutionalizing local capacity in M&amp;E. The program components consisted of: (1) designing statistical tools for baseline, mid- and final-term data collection; (2) developing local capacity of Guatemalan institutions for M&amp;E; (3) establishing a clearinghouse for M&amp;E; (4) conducting evaluations and ensuring the reporting of the results; and (5) providing M&amp;E services to other USAID/Guatemala offices. </t>
  </si>
  <si>
    <t>Managing Natural Resource Wealth Topical Trust Fund</t>
  </si>
  <si>
    <t>IMF01-2605</t>
  </si>
  <si>
    <t>International Monetary Fund</t>
  </si>
  <si>
    <t xml:space="preserve">DevTech undertook an evaluation, designed to focus on efficiency, effectiveness and continued relevance of the Managing Natural Resource Wealth Topical Trust Fund (MNRW TTF) launched by the International Monetary Fund (IMF), with the aim of improving operations through the end of the cycle. The evaluation cover launched, underway and completed activities covering a three-year period, 34 country programs, five research projects and four workshops. Because the evaluation covered activities that had been implemented three year prior, the emphases included learning aspects and accountability considerations, emerging impacts, and factors affecting expected impacts. 
The evaluation methodology was designed as a bottom-up approach where each project was assessed using questions grouped according to the DAC criteria. The questions were customized to reflect the features of the TTF and the characteristics of the countries receiving TTF TA. The team developed an evaluation matrix to demonstrate linkages between key evaluation questions and data sources and then processed and analyzed information collected from a variety of sources including project proposals and project assessments, including baseline information and quantitative and qualitative indicators; mid-year and annual reports produced by MNRW TTF, the logical framework and relevant financial data; feedback from IMF staff and experts, SC members and staff of relevant institutions in selected beneficiary countries; findings of the Fiscal Analysis of Resource Industries (FARI); macroeconomic and statistical data and analysis produced by the IMF Statistics and area departments as relevant; and country visits to Kenya, Mongolia and Tanzania. Findings were then triangulated to ensure consistency and validity.
</t>
  </si>
  <si>
    <t>Civilian Security Sector Train-the-Trainer Performance Evaluation - Tunisia</t>
  </si>
  <si>
    <t>S/GWI Iraq Portfolio Evaluation Services</t>
  </si>
  <si>
    <t>SAQMMA16F4698</t>
  </si>
  <si>
    <t>EB Fiscal Transparency Innovation Fund</t>
  </si>
  <si>
    <t>Madagascar, Malawi</t>
  </si>
  <si>
    <t>MDG, MWI</t>
  </si>
  <si>
    <t xml:space="preserve">The FTIF program was created in FY 2012 to build technical capacity in governments that are willing to improve their FT as well as the ability of civil society to press for, analyze, and monitor government finances. The FTIF is co-managed by the Department of State’s Office of Monetary Affairs (OMA) and USAID's Bureau for Economic Growth, Education, and Environment (EB). Implementation activities, such as the recruitment and backstopping of Resident Advisors, are the responsibility of the U.S. Treasury (OTA). Annual reviews of the performance of governments receiving U.S. assistance are provided through yearly Fiscal Transparency Reports (FTR), to ensure that U.S. taxpayer money is used appropriately. 
The purpose of this Evaluation Report is to inform the development of mechanisms to support the State Department’s EB OMA FTIF program. The information provided in this report is intended to help improve the processes for selecting, monitoring, and measuring technical assistance (TA) efforts designed and implemented by U.S. diplomatic missions abroad, to build public and institutional support for strong FT regimes and to reinforce United States Government (USG) foreign assistance policy priorities. 
</t>
  </si>
  <si>
    <t>Jordan Fiscal Reform and Public Financial Management (FRPFM)</t>
  </si>
  <si>
    <t>MCC-15-RFQ-0212</t>
  </si>
  <si>
    <t>Millennium Challenge Corporation</t>
  </si>
  <si>
    <t>In September 2015, DevTech Systems, Inc. (DevTech) was contracted by the Millennium Challenge Corporation (MCC) to conduct a series of power trainings with the objective to improve understanding and knowledge of MCC personnel about the power sector and contribute to sustainable skill transfer through appropriate and effective training and recommendations for continuous skill reinforcement. The aim of the trainings was to ensure that MCC staff achieve a basic understanding about the power sector, in particular the types of energy, policy, regulation and reform as well as monitoring and evaluation strategies that are unique to the sector. DevTech assembled an outstanding team of technical experts (energy, power, economics, policy, monitoring, and evaluation), communications and program management personnel to provide MCC with the necessary consulting support to produce training courses for the target audiences that are technically sound, comprehendible, interactive, and outcome and performance-based.</t>
  </si>
  <si>
    <t xml:space="preserve">GS-10F-0048L, 520-M-00-05-00037 </t>
  </si>
  <si>
    <t>Feasibility Study to Examine Kenya Revenue Authority's Information and Communications Technology Strategy</t>
  </si>
  <si>
    <t>5153-000-04S-002</t>
  </si>
  <si>
    <t>Asia Pacific Economic Cooperation Women in Transportation Program Technical Assistance</t>
  </si>
  <si>
    <t>DTOS59-12-P-00105</t>
  </si>
  <si>
    <t>U.S. Department of Transportation</t>
  </si>
  <si>
    <t>Vietnam, Indonesia, Japan, Hong Kong</t>
  </si>
  <si>
    <t>VNM, IDN, JPN, HKG</t>
  </si>
  <si>
    <t>DevTech provided support to the U.S. Department of Transportation’s Women in Transportation Initiative as it relates to the department’s work to support the Asia Pacific Economic Cooperation (APEC) Transportation working group. The goal was to develop and implement a plan of action that addresses gender-related concerns in the transportation sector in the APEC region. APEC is the premier Asia-Pacific economic forum with the goal of supporting sustainable economic growth and prosperity in the Asia-Pacific region. As part of the initiative, DevTech examined the barriers to women’s sustained participation in transportation activities at all levels in both the public and private sectors.</t>
  </si>
  <si>
    <t>DevTech provided technical and administrative support services to the USAID Bureau of Economic Growth, Agriculture, and Trade, Office of Women in Development (EGAT/WID) in support of Girls' and Women's Education (GWE) Activity Objectives. DevTech assisted EGAT/WID in monitoring the Girls' and Women's Education Initiative; developing effective communications among relevant stakeholders; and documenting programs and products developed concerning the initiative. To accomplish these goals, DevTech:
Planned, coordinated, and participated in meetings, workshops, and related events;
Provided technical and administrative assistance to Missions (Ghana, Guatemala, Peru, and Morocco), including participating in the assessment, design, and evaluation of current and proposed GWE programs;
Wrote or assisted with the development of reports, studies, and concept papers; and
Developed and maintained reference materials on the GWE initiative.
Throughout the length of this contract, DevTech conducted gender training focused on strategic planning, performance measurement, data collection and analysis tools, and monitoring and evaluation. DevTech responded to more than 100 USAID mission requests for technical assistance covering all sectors including education evaluation, gender analysis, gender integration, training, and dissemination. More than thirty gender assessments and gender integration activities were performed in four regions including Africa, Eastern Europe, Middle East, and Latin America and The Caribbean.</t>
  </si>
  <si>
    <t xml:space="preserve">The activity goal is to transform USAID/Nigeria into a premier practitioner of program monitoring and evaluation (M&amp;E) rooted in a learning and adaptive culture. Through the Learning Program (TLP) DevTech provides continuous, on-the-ground, on-demand and systematic support to all USAID/Nigeria teams, sectors, and implementing partners (IPs) on performance monitoring, data verification, impact and performance evaluations, project and activity level monitoring, evaluation and learning plans, organizational learning, capacity building and knowledge management.  These contract services are further supported by the performance management roles played by Mission management, our technical offices, IPs, and the M&amp;E points of contact. The two components that support this activity are:
• Component 1. Strengthening Monitoring, Reporting and Evaluation Function, and 
• Component 2. Build a Collaborating, Learning and Adapting Institutional Practice. 
TLP is also designed to support enhanced accountability and engagement with non-USAID stakeholders so that USAID can benefit from their perspectives through shared learning and problem solving that improves Mission results and achievement. 
</t>
  </si>
  <si>
    <t>DevTech conducted a comprehensive evaluation of the Enterprise Funds and Legacy Foundations to provide USAID, other Fund and Foundation stakeholders, and the American public with an account of the experiences, successes and accomplishments, and shortcomings of the Funds and Foundations. The evaluation team used a combination of approaches and tools that varied by country. Primary sources included field visits in Albania, Bulgaria, Hungary, Moldova, Romania, and Ukraine and meetings with USG representatives, current and former Fund and Foundation staff, and site visits with samples of Enterprise Funds’ investees and Legacy Foundations’ grantees as a verification method from initial findings gathered from the document review, key informant interviews (KIIs), and focus group discussions (FGDs). The team used KIIs with stakeholders employing a semi-structured interview approach to gather qualitative information to address evaluation questions. The evaluation team conducted separate FGDs with the staff of Legacy Foundations and anonymous electronic surveys through the Google Forms online platform to collect information from a broader group of stakeholders in Romania and Hungary. The evaluation team successfully condensed challenges, successes, and recommendations for 10 Funds and 9 Foundations into a single, cohesive report, and has worked closely with the Bureau for Europe and Eurasia to finalize a product for several USAID Missions and Fund and Foundation stakeholders.</t>
  </si>
  <si>
    <t>USDA Foreign Agricultural Service</t>
  </si>
  <si>
    <t>Evaluation of the Bureau of South and Central Asian Affairs’ Women’s Economic Symposium (WES) Initiative</t>
  </si>
  <si>
    <t>SAQMMA13R0045 / SAQMM13F0460</t>
  </si>
  <si>
    <t>Afghanistan, Kazakhstan, Kyrgyzstan, Uzbekistan</t>
  </si>
  <si>
    <t>AFG, KAZ, KGZ, UZB</t>
  </si>
  <si>
    <t> DevTech conducted a mid-term evaluation of the WES to determine what the initiative has achieved thus far, and how the design and implementation of this initiative have impacted early results.</t>
  </si>
  <si>
    <t>Brazilian Amazon Monitoring and Evaluation (BAME) Program</t>
  </si>
  <si>
    <t>AID-OAA-I-15-00018 / AID-512-TO-17-00002</t>
  </si>
  <si>
    <t>BRA</t>
  </si>
  <si>
    <t>Brazil</t>
  </si>
  <si>
    <t xml:space="preserve">In 2013, USAID/Brazil undertook extensive consultations with the Government of Brazil (GOB) entities as well as local civil society organizations, other donors, and other US Government (USG) agencies, to define the priority technical programs and intervention areas of the USAID/Brazil Environment portfolio. Following these consultations, USAID and the GOB agreed to a new partnership – the Partnership for the Conservation of Amazon Biodiversity (PCAB) – to strengthen conservation efforts in priority protected areas, support environmental management in indigenous land, and apply innovative conservation practices that take into account intersecting sociocultural and governance contexts.
PCAB is implemented by government agencies, NGOs, and private sector companies from Brazil and the U.S.  The purpose of PCAB is to strengthen conservation efforts in priority protected areas, support environmental management in indigenous lands, and apply innovative conservation practices that take into account intersecting sociocultural and governance contexts. BAME supports PCAB by strengthening the Mission and Implementing Partner (IPs) M&amp;E capacities through the provision of M&amp;E training and other capacity building services. In addition, BAME has significant reporting and information dissemination responsibilities organized and presented in formats that are accessible to IPs, United States Government (USG) and GOB decision-makers, and other key stakeholders.
</t>
  </si>
  <si>
    <t>In September 2011, USAID/PPL awarded DevTech a 5-year prime contract to establish the Program Cycle Service Center. The Service Center provided PPL and USAID Missions with short-term specialized technical assistance in all aspects of the Program Cycle. These included:
Strategic Planning
Project Design
Evaluations and Performance Monitoring
Collaborating, Learning and Adapting
The technical assistance will ensure that all aspects of the program cycle are not considered as discrete, disconnected activities but as essential components of an integrated programming cycle that allows the Agency to build an evidence-based learning organization. All activities that the Service Center implements will include a mentoring and coaching  component that includes the new concepts, policies, and guidance that are incorporated into the USAID FORWARD reforms.
DevTech led a team of individuals and organizations to provide the following services:
The core staff of five  supported USAID/PPL in its efforts to integrate all components of the Program Cycle into a streamlined, efficient, and effective process. 
Organizational partners include International Resources Group, Management Systems International, and the Public Health Institute.</t>
  </si>
  <si>
    <t xml:space="preserve">The purpose of the evaluation of the Bureau of International Narcotics and Law Enforcement Affairs (INL) Rule of Law Programs in Colombia is to assess the effectiveness of the Justice Sector Reform Program (JSRP) relative to the goals and objectives in the planning documents. It is a retrospective evaluation, limited to program activities between 2008 and 2011. The primary audience for the evaluation is the INL Office of Western Hemisphere Programs in Washington and the INL section of the US Embassy in Colombi. The evaluation SOW calls for evidence-based findings and conclusions to assess the impact of the INL Justice Sector Reform Program in Colombia between 2008 and 2011. Given the diversity among the six evaluation questions and the range of project goals, the Evaluation Team used a mixed methods approach to elicit both qualitative and quantitative data drawn from multiple sources. To the extent that data were available, the evaluation used 2008 as the base year for identifying change across the four-year period. Analytically, to the extent possible, the evaluation used the technique of triangulation to validate findings by drawing on comparative data from two or more sources as evidence. </t>
  </si>
  <si>
    <t>SAQMMA-12-F-4748</t>
  </si>
  <si>
    <t>Lebanon Security Assistance Program - Evaluation and Monitoring Services</t>
  </si>
  <si>
    <t>SAQMMA14F1681</t>
  </si>
  <si>
    <t>Institutional Support Services Contract</t>
  </si>
  <si>
    <t>USAID/PPL</t>
  </si>
  <si>
    <t>GS-00F-133DA</t>
  </si>
  <si>
    <t>Highlight Technologies</t>
  </si>
  <si>
    <t>IL-16574-07-75-K</t>
  </si>
  <si>
    <t>Nigeria Support for Strategic Information and Project Management Services (S4SIPMS)</t>
  </si>
  <si>
    <t>AID-OAA-I-15-00018 / AID-620-TO-17-00001</t>
  </si>
  <si>
    <t>USAID/Nigeria</t>
  </si>
  <si>
    <t xml:space="preserve">7. Scope of work or complexity/diversity of tasks:
In October 2016, USAID/Nigeria awarded DevTech Systems Inc. the Support for Strategic Information and Program Management Services (S4SIPMS) project in support of the HIV/AIDS, TB and PEPFAR’s team’s efforts to make strategic investments on quality programming that yield greater impact on saving lives and improving health status of people living with HIV.  This award is a response to requirements set out by the Office of the Global AIDS Coordinator (OGAC).  In order for USAID/Nigeria’s Office of HIV/AIDS and Tuberculosis (TB) to accomplish its charge in the fight against HIV/AIDS, the Mission team was tasked with supporting the strengthening of the Nigerian national health system through the use of Site Improvement through Monitoring Systems (SIMS) to continuously monitor and assess sites receiving PEPFAR funding to ensure effective quality program implementation, and the adherence to national and international standards and accountability.  This impact would come through achieving the objectives below:
1. Planning and Conducting SIMS Assessments
• Support for all data collection, analysis, reporting and quality improvement (QI) needs through the use of the SIMS tools;
• Support the management and application of SIMS assessment per Office of Global AIDS Coordinator (OGAC) requirements
• Promote quality management/quality improvement (QM/QI) approach to service delivery and process
2. Capacity Building for Data Use
• Increase the capacity of implementing partners (IPs), strengthen Mission’s capacity to utilize SIMS data for continuous quality improvement and program monitoring
3. Synthesize Evaluation Lessons and Analyze to determine Policy Implications
• Increase proper documentation, recording, data demand and use; and 
• Foster country ownership and sustainability for program improvement and services delivery through data us.
The S4SIPMS Project has a set target of 782 Site Improvement through Monitoring Systems (SIMS) assessments given to the USAID Mission to be conducted in FY17.  This number includes 586 initial SIMS assessments by DEVTECH Systems.
</t>
  </si>
  <si>
    <t>Ghana, Guatemala, Peru, Morocco</t>
  </si>
  <si>
    <t>GHA, GTM, MAR, PER</t>
  </si>
  <si>
    <t>HAE, BGR, HRV, MKD, BIH, ALB</t>
  </si>
  <si>
    <t>Assessment of Impact of Title II Food Aid on Food Security on Ethiopia</t>
  </si>
  <si>
    <t xml:space="preserve">Environmental Impacts of Land Privatization in Selected Countries of Eastern Europe and Eurasia: An Assessment of Priority Issues </t>
  </si>
  <si>
    <t>Checchi and 
Company 
Consulting, and Louis Berger</t>
  </si>
  <si>
    <t>Evaluation and Close-Out of the USAID/Zimbabwe Private Sector Investment Program</t>
  </si>
  <si>
    <t>Zimbabwe</t>
  </si>
  <si>
    <t>ZWE</t>
  </si>
  <si>
    <t>Accounting Certification and Education Program (ACEP)</t>
  </si>
  <si>
    <t>Under the management of the U.S.-Asia Environmental Partnership (US-AEP), the Environmental Technology Network for Asia (ETNA) linked nine US-AEP technical representatives in Asia with the U.S. environmental business community.
DevTech's ETNA staff:
Disseminated useful and timely information to small and medium-size U.S. environmental organizations and businesses, and assisted U.S. firms interested in pursuing business opportunities in Asia and the Pacific. 
Managed and operated the Technology Transfer Opportunity (TTO) Dissemination Program and provided value-added services to participating U.S. environmental organizations. 
Created tailored information packages to meet clients' needs for TTO and environmental business information. The topics covered included Asian markets, hazardous and nonhazardous waste management, waste treatment technologies, pollution prevention, environmental regulations, finance and economics, contracting, and government and nongovernment business assistance programs.</t>
  </si>
  <si>
    <t>Philippines, Indonesia, and Thailand</t>
  </si>
  <si>
    <t>PHL, IDN, THA</t>
  </si>
  <si>
    <t>This project was a performance evaluation of the Incident Command System (ICS) program in Indonesia, the Philippines, and Thailand managed by the United States Office of Foreign Disaster Assistance (USAID/OFDA). The evaluation examined the program’s effectiveness and sustainability in building the capacity of local government agencies in the three countries to respond to natural disaster using ICS. The evaluation applied a mixed methods design, collecting data from document reviews, key informant interviews, focus group discussions, and an online survey for ICS master trainers in the Philippines. Results show that the programs have identified the appropriate local government agencies to work with and ICS capacities are being built to varying degrees. Demand for training is high but USAID/OFDA and the United States Forest Service (USFS) trainers must consider contextualizing ICS principles and training content to make the system relevant to local agencies and communities. USAID/OFDA and USFS trainers also should consider conditions unique to each country, such as governance structures, to solicit the support of the local first responders’ community. The effectiveness and sustainability will also be better understood if local government agencies develop performance management plans to track the program’s effectiveness and sustainability.</t>
  </si>
  <si>
    <t>SAQMMA17L1290 - BPA Call No. JTIP-0002</t>
  </si>
  <si>
    <t>Public Opinion Survey Evaluation of Zimbabwe Public Awareness Project and Midline Evaluation of U.S.-Ghana Child Protection Compact Partnership</t>
  </si>
  <si>
    <t>Ghana, Zimbabwe</t>
  </si>
  <si>
    <t>GHA, ZWE</t>
  </si>
  <si>
    <t xml:space="preserve">The purpose of the evaluation activity in Zimbabwe – as it is not an evaluation per se, but sets the methodological framework for one – is thus to design an impact evaluation methodology that enables DoS to answer the evaluation questions stated in the Statement of Work (SoW) on the effectiveness of various types of public awareness campaigns on TIP issues and risk factors among targeted communities in Zimbabwe, with a focus on the enhanced capacity of these communities to prevent TIP. This will be completed through a public opinion survey of approximately 1,000 Zimbabweans.
The midline performance evaluation of the project in Ghana will determine the extent to which the CPC Partnership model has improved the Ghanaian Government’s response to child trafficking in Ghana, considering the three fundamental anti-trafficking strategies – prosecuting traffickers, protecting victims, and preventing trafficking – as well as coordination. This midline evaluation builds on the two comprehensive, J/TIP -funded baseline assessments conducted on child trafficking in Ghana – the assessment of the state of child trafficking in Ghana, conducted by Westat, and the Nordic Consulting Group Denmark A/S and JMK Consulting of Ghana baseline report on FTS’ Growing Up Free program in Volta and Central regions in Ghana. </t>
  </si>
  <si>
    <t>2018-000014</t>
  </si>
  <si>
    <t>PRFA</t>
  </si>
  <si>
    <t>DevTech has been engaged to provide advisory and technical assistance services to the Commonwealth of Puerto Rico in macroeconomic support and update and review the Fiscal Plan for the Commonwealth throughout the ongoing Puerto Rican debt crisisand restructuring efforts under the Puerto Rico Oversight, Management, and Economic Stability ACT (PROMESA).</t>
  </si>
  <si>
    <t>The Future of Education in the Dominican Republic: Opportunities and Challenges</t>
  </si>
  <si>
    <r>
      <rPr>
        <sz val="11"/>
        <rFont val="Calibri"/>
        <family val="2"/>
        <scheme val="minor"/>
      </rPr>
      <t xml:space="preserve">DevTech has been awarded the Comprehensive Desk Review, Evaluability Assessment, and Results Framework Development of the U.S. Department of State’s Democracy, Human Rights, and Women’s Empowerment Programs in Iraq Task Order. Working with the, Bureau of Democracy, Human Rights and Labor (DRL) and the Secretary’s Office of Global Women’s Issues (S/GWI), this evaluation serves five purposes: (1) to understand the breadth and depth of DRL and S/GWI’s Iraq program portfolio to date; (2) to assess the achievements and weaknesses of the DRL and S/GWI Iraq programs active between 2008 and 2015; (3) to identify good practices and lessons learned for programming in Iraq and insecure environments; (4) to determine which Iraq projects can be evaluated in the future through field work and beyond an in-depth desk review; and (5) to develop a results framework for the DRL Iraq programming portfolio, which will be informed in part from the evaluation findings. 
Activities will be implemented under four key evaluation components including an In-depth Desk Review and Portfolio Analysis; Results Framework and Performance Metric Development; Evaluability Assessment for Field Work and Data Collection Candidate Selection; and Good Practices, and Lessons Learned Aggregation. </t>
    </r>
    <r>
      <rPr>
        <b/>
        <sz val="11"/>
        <rFont val="Calibri"/>
        <family val="2"/>
        <scheme val="minor"/>
      </rPr>
      <t xml:space="preserve">
</t>
    </r>
  </si>
  <si>
    <t>Egypt Trade Development Center's ExpoLink</t>
  </si>
  <si>
    <t>1435-04-02-RC-72264</t>
  </si>
  <si>
    <t>522-C-02-01-00294-00</t>
  </si>
  <si>
    <t>USAID/Honduras, UTEN</t>
  </si>
  <si>
    <t>Instead of an evaluation of the PDE, the work was conducted as an analysis of the evolution
of the PDE to identify its achievements and strengths as well as its shortfalls and weaknesses
and apply this experience in the design and implementation of future actions. The focus on
the PDE is a methodological recourse that allows a great deal of specificity in the analysis of
the contributing factors and obstacles encountered in the implementation of the PDE and the
formulation of implications and recommendations, thus avoiding generalities of little or no
value for future policy choices. In the end, however, we believe our contribution should not
be limited to an evaluation of the PDE as process. Thus, while we use an analysis of the PDE
as a methodological recourse, and we do make certain “process” suggestions, we also make
some recommendations regarding the substantive nature of the reforms that are needed.
In order to carry out a profound analysis of the roots of the educational problems that have
been affecting the Dominican Republic for many years, we applied an eclectic methodological
approach that combines traditional empirical analysis with personal accounts of the most
important events and conditions. Without the latter element of investigation, albeit informal,
we would fall into the trap of a superficial and perfunctory analysis, leaving some critically
relevant issues out of the picture simply because they could be controversial, a practice not
acceptable in DevTech’s consulting ethics. Unfortunately, the history of public education in
Dominican Republic is plagued by decisions and activities that are not entirely transparent to
the general public and are conveniently omitted from the analysis of the pusillanimous
investigator.</t>
  </si>
  <si>
    <t>ICR for OECS Telecom Reform Project</t>
  </si>
  <si>
    <t>641-C-00-07-00001</t>
  </si>
  <si>
    <t>Strenthening HIV/AIDS Partnerships in Educatino (SHAPE) I and II Evaluation</t>
  </si>
  <si>
    <t>4153-00S-001, Task Order No. 1</t>
  </si>
  <si>
    <t>4153-00S-001, Task Order No. 2</t>
  </si>
  <si>
    <t>4153-00S-001, Task Order No. 4</t>
  </si>
  <si>
    <t>4153-00S-001, Task Order No. 3</t>
  </si>
  <si>
    <t>4153-00S-001, Task Order No. 5</t>
  </si>
  <si>
    <t>Evaluation of the Initiative for Social Action and Renewal (ISAR) Central Asia Activities</t>
  </si>
  <si>
    <t>Kazakhstan,  Turkmenistan, Uzbekistan</t>
  </si>
  <si>
    <t>KAZ, TKM, UZB</t>
  </si>
  <si>
    <t>TAR: KGZ 34107</t>
  </si>
  <si>
    <t>Education, Training, and Human Resource Development (IDIQ)</t>
  </si>
  <si>
    <t>DevTech provided short-term advisory and technical assistance in education, training, and human resource development.
Task Orders included:
-Mid-Term Evaluation of Primary Education Project (PIPE) in the Dominican Republic
-Support for Ugandan Primary Education Reform (SUPER): A Formative Evaluation
-South African Basic Education Reconstruction (SABER) Project
-Mid-Term Evaluation of the Support to Tertiary Education Project in South Africa
-Basic Education Project Evaluation: Honduras
-Technical Assistance to USAID/Cairo and the Egyptian Ministry of Education
-Mid-Term Evaluation of Basic Education Project (BASE) in Nicaragua</t>
  </si>
  <si>
    <t>Ghana Partnership for Education and M&amp;E Support Services in the Education Sector (IDIQ)</t>
  </si>
  <si>
    <t>The purpose of this task order is to procure services to support USAID/Ghana's Partnership for Education: Early Grade Reading Performance Management and Learning activity. The purpose of the activity is to create the conditions to enable the USAID/Ghana Education Office to design and implement a comprehensive performance management, monitoring and evaluation, knowledge management and reporting system.</t>
  </si>
  <si>
    <t>E-9-K-3-0054 / 02-K110-R1AA-4143-CB501</t>
  </si>
  <si>
    <t>Economic Analysis and Data Services (EADS II)</t>
  </si>
  <si>
    <t>Economic Analysis and Data Services (EADS I)</t>
  </si>
  <si>
    <t>E-9-K-3-0054 / 07-K110-RWBR-4143-WW501-000</t>
  </si>
  <si>
    <t>EDUCA, INTEC</t>
  </si>
  <si>
    <t>FISDL/SP/000/2003</t>
  </si>
  <si>
    <t>FISDL/BID/O/16899.0-2004</t>
  </si>
  <si>
    <t>Governance Study and Capacity Building for Administrative Reform</t>
  </si>
  <si>
    <t>Kazakhstan</t>
  </si>
  <si>
    <t>KAZ</t>
  </si>
  <si>
    <t>TA No. 3747</t>
  </si>
  <si>
    <t>http://www.devtechsys.com/images/eame/moldova_2007_faa-119-biodiversity-analysis.pdf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</si>
  <si>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</si>
  <si>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</si>
  <si>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</si>
  <si>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</si>
  <si>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</si>
  <si>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</si>
  <si>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</si>
  <si>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</si>
  <si>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</si>
  <si>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</si>
  <si>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</si>
  <si>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t>
  </si>
  <si>
    <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</si>
  <si>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</si>
  <si>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t>
  </si>
  <si>
    <t>http://pdf.usaid.gov/pdf_docs/Pnacj014.pdf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</si>
  <si>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</si>
  <si>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</si>
  <si>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</si>
  <si>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</si>
  <si>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</si>
  <si>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</si>
  <si>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</si>
  <si>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</si>
  <si>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t>
  </si>
  <si>
    <t>http://pdf.usaid.gov/pdf_docs/PDACG495.pdf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</si>
  <si>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t>
  </si>
  <si>
    <t>http://www.devtechsys.com/images/projects/el-salvador-reactivation-of-micro-small-and-medium-businesses.pdf</t>
  </si>
  <si>
    <t>http://www.devtechsys.com/images/eyd/senegal-middle-basic-education-program-mid-term-assessment.pdf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</si>
  <si>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</si>
  <si>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t>
  </si>
  <si>
    <t>https://www.usaid.gov/sites/default/files/documents/1860/USAID-Senegal BPA for Local Capacity Development %28RFP SOL-685-15-000036%29.pdf</t>
  </si>
  <si>
    <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</si>
</sst>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Calibri"/>
      <family val="2"/>
      <scheme val="minor"/>
    </font>
    <font>
      <u/>
      <sz val="11"/>
      <color theme="10"/>
      <name val="Calibri"/>
      <family val="2"/>
      <scheme val="minor"/>
    </font>
    <font>
      <b/>
      <sz val="11"/>
      <color rgb="FFFF0000"/>
      <name val="Calibri"/>
      <family val="2"/>
      <scheme val="minor"/>
    </font>
    <font>
      <sz val="10"/>
      <name val="Arial"/>
      <family val="2"/>
    </font>
    <font>
      <sz val="9"/>
      <color rgb="FF000000"/>
      <name val="Arial"/>
      <family val="2"/>
    </font>
    <font>
      <sz val="8"/>
      <color theme="1"/>
      <name val="Arial"/>
      <family val="2"/>
    </font>
    <font>
      <b/>
      <sz val="9"/>
      <color rgb="FFFF0000"/>
      <name val="Arial"/>
      <family val="2"/>
    </font>
    <font>
      <sz val="11"/>
      <color theme="1"/>
      <name val="Arial"/>
      <family val="2"/>
    </font>
    <font>
      <b/>
      <sz val="11"/>
      <color theme="1"/>
      <name val="Calibri"/>
      <family val="2"/>
      <scheme val="minor"/>
    </font>
    <font>
      <b/>
      <sz val="11"/>
      <name val="Calibri"/>
      <family val="2"/>
      <scheme val="minor"/>
    </font>
    <font>
      <sz val="11"/>
      <color theme="1"/>
      <name val="Calibri"/>
      <family val="2"/>
      <scheme val="minor"/>
    </font>
    <font>
      <sz val="11"/>
      <name val="Calibri"/>
      <family val="2"/>
      <scheme val="minor"/>
    </font>
    <font>
      <sz val="11"/>
      <color rgb="FFFF0000"/>
      <name val="Calibri"/>
      <family val="2"/>
      <scheme val="minor"/>
    </font>
    <font>
      <sz val="10"/>
      <color rgb="FF646358"/>
      <name val="Verdana"/>
      <family val="2"/>
    </font>
    <font>
      <sz val="11"/>
      <color rgb="FF000000"/>
      <name val="Calibri"/>
      <family val="2"/>
      <scheme val="minor"/>
    </font>
    <font>
      <sz val="10"/>
      <name val="Calibri"/>
      <family val="2"/>
      <scheme val="minor"/>
    </font>
  </fonts>
  <fills count="15">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DCE6F1"/>
        <bgColor indexed="64"/>
      </patternFill>
    </fill>
    <fill>
      <patternFill patternType="solid">
        <fgColor theme="3" tint="0.39997558519241921"/>
        <bgColor indexed="64"/>
      </patternFill>
    </fill>
    <fill>
      <patternFill patternType="solid">
        <fgColor theme="6" tint="0.39997558519241921"/>
        <bgColor indexed="64"/>
      </patternFill>
    </fill>
    <fill>
      <patternFill patternType="solid">
        <fgColor rgb="FFDBE5F1"/>
        <bgColor indexed="64"/>
      </patternFill>
    </fill>
    <fill>
      <patternFill patternType="solid">
        <fgColor rgb="FFD99694"/>
        <bgColor indexed="64"/>
      </patternFill>
    </fill>
    <fill>
      <patternFill patternType="solid">
        <fgColor rgb="FFC4BD97"/>
        <bgColor indexed="64"/>
      </patternFill>
    </fill>
    <fill>
      <patternFill patternType="solid">
        <fgColor rgb="FF92CDDC"/>
        <bgColor indexed="64"/>
      </patternFill>
    </fill>
    <fill>
      <patternFill patternType="solid">
        <fgColor theme="8"/>
        <bgColor indexed="64"/>
      </patternFill>
    </fill>
    <fill>
      <patternFill patternType="solid">
        <fgColor theme="5" tint="0.39997558519241921"/>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s>
  <cellStyleXfs count="3">
    <xf numFmtId="0" fontId="0" fillId="0" borderId="0"/>
    <xf numFmtId="0" fontId="1" fillId="0" borderId="0" applyNumberFormat="0" applyFill="0" applyBorder="0" applyAlignment="0" applyProtection="0"/>
    <xf numFmtId="0" fontId="3" fillId="0" borderId="0"/>
  </cellStyleXfs>
  <cellXfs count="378">
    <xf numFmtId="0" fontId="0" fillId="0" borderId="0" xfId="0"/>
    <xf numFmtId="0" fontId="5" fillId="0" borderId="0" xfId="0" applyFont="1" applyAlignment="1">
      <alignment horizontal="center" vertical="top" wrapText="1"/>
    </xf>
    <xf numFmtId="0" fontId="1" fillId="0" borderId="0" xfId="1" applyAlignment="1">
      <alignment horizontal="left" vertical="top" wrapText="1"/>
    </xf>
    <xf numFmtId="0" fontId="5" fillId="0" borderId="0" xfId="0" applyFont="1" applyAlignment="1">
      <alignment horizontal="left" vertical="top" wrapText="1"/>
    </xf>
    <xf numFmtId="0" fontId="4" fillId="0" borderId="0" xfId="0" applyFont="1" applyAlignment="1">
      <alignment vertical="center" wrapText="1"/>
    </xf>
    <xf numFmtId="0" fontId="1" fillId="0" borderId="0" xfId="1"/>
    <xf numFmtId="0" fontId="1" fillId="2" borderId="0" xfId="1" applyFill="1" applyAlignment="1">
      <alignment horizontal="left" vertical="top" wrapText="1"/>
    </xf>
    <xf numFmtId="0" fontId="4" fillId="2" borderId="0" xfId="0" applyFont="1" applyFill="1"/>
    <xf numFmtId="0" fontId="1" fillId="2" borderId="0" xfId="1" applyFill="1"/>
    <xf numFmtId="0" fontId="0" fillId="2" borderId="0" xfId="0" applyFill="1"/>
    <xf numFmtId="0" fontId="5" fillId="2" borderId="0" xfId="0" applyFont="1" applyFill="1" applyAlignment="1">
      <alignment horizontal="left" vertical="top" wrapText="1"/>
    </xf>
    <xf numFmtId="0" fontId="4" fillId="2" borderId="0" xfId="0" applyFont="1" applyFill="1" applyAlignment="1">
      <alignment vertical="center" wrapText="1"/>
    </xf>
    <xf numFmtId="0" fontId="5" fillId="2" borderId="0" xfId="0" applyFont="1" applyFill="1" applyAlignment="1">
      <alignment horizontal="center" vertical="top" wrapText="1"/>
    </xf>
    <xf numFmtId="0" fontId="2" fillId="0" borderId="0" xfId="0" applyFont="1"/>
    <xf numFmtId="0" fontId="6" fillId="5" borderId="0" xfId="0" applyFont="1" applyFill="1"/>
    <xf numFmtId="0" fontId="2" fillId="5" borderId="0" xfId="0" applyFont="1" applyFill="1"/>
    <xf numFmtId="0" fontId="7" fillId="2" borderId="0" xfId="0" applyFont="1" applyFill="1" applyAlignment="1">
      <alignment horizontal="left" vertical="top" wrapText="1"/>
    </xf>
    <xf numFmtId="0" fontId="1" fillId="2" borderId="0" xfId="1" applyFont="1" applyFill="1" applyAlignment="1">
      <alignment horizontal="left" vertical="top" wrapText="1"/>
    </xf>
    <xf numFmtId="0" fontId="0" fillId="2" borderId="0" xfId="0" applyFont="1" applyFill="1"/>
    <xf numFmtId="0" fontId="5" fillId="0" borderId="0" xfId="0" applyFont="1" applyFill="1" applyAlignment="1">
      <alignment horizontal="center" vertical="top" wrapText="1"/>
    </xf>
    <xf numFmtId="0" fontId="8" fillId="7" borderId="1" xfId="0" applyFont="1" applyFill="1" applyBorder="1" applyAlignment="1">
      <alignment horizontal="left" vertical="center" wrapText="1"/>
    </xf>
    <xf numFmtId="0" fontId="8" fillId="7"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2" fontId="8" fillId="7"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xf>
    <xf numFmtId="0" fontId="8" fillId="7" borderId="0" xfId="0" applyFont="1" applyFill="1" applyBorder="1" applyAlignment="1">
      <alignment vertical="center"/>
    </xf>
    <xf numFmtId="0" fontId="10" fillId="0" borderId="0" xfId="0" applyFont="1" applyBorder="1" applyAlignment="1">
      <alignment vertical="center"/>
    </xf>
    <xf numFmtId="0" fontId="10" fillId="0" borderId="0" xfId="0" applyFont="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3" borderId="1" xfId="0" applyFont="1" applyFill="1" applyBorder="1" applyAlignment="1">
      <alignment horizontal="center" vertical="center" wrapText="1"/>
    </xf>
    <xf numFmtId="0" fontId="10" fillId="0" borderId="1" xfId="0" applyFont="1" applyBorder="1" applyAlignment="1">
      <alignment horizontal="center" vertical="center" wrapText="1"/>
    </xf>
    <xf numFmtId="2" fontId="10" fillId="0" borderId="1" xfId="0" applyNumberFormat="1" applyFont="1" applyBorder="1" applyAlignment="1">
      <alignment horizontal="center" vertical="center"/>
    </xf>
    <xf numFmtId="0" fontId="10" fillId="0" borderId="2" xfId="0" applyFont="1" applyBorder="1" applyAlignment="1">
      <alignment horizontal="left" vertical="center" wrapText="1"/>
    </xf>
    <xf numFmtId="0" fontId="10" fillId="3" borderId="1" xfId="0" applyFont="1" applyFill="1" applyBorder="1" applyAlignment="1">
      <alignment horizontal="center" vertical="center"/>
    </xf>
    <xf numFmtId="0" fontId="10" fillId="0" borderId="0" xfId="0" applyFont="1" applyBorder="1" applyAlignment="1">
      <alignment horizontal="left" vertical="center" wrapText="1"/>
    </xf>
    <xf numFmtId="0" fontId="10" fillId="0" borderId="0" xfId="0" applyFont="1" applyBorder="1" applyAlignment="1">
      <alignment horizontal="center" vertical="center"/>
    </xf>
    <xf numFmtId="0" fontId="10" fillId="0" borderId="0" xfId="0" applyFont="1" applyBorder="1" applyAlignment="1">
      <alignment horizontal="center" vertical="center" wrapText="1"/>
    </xf>
    <xf numFmtId="0" fontId="10" fillId="0" borderId="3" xfId="0" applyFont="1" applyBorder="1" applyAlignment="1">
      <alignment horizontal="center" vertical="center" wrapText="1"/>
    </xf>
    <xf numFmtId="0" fontId="11" fillId="0" borderId="1" xfId="0" applyFont="1" applyBorder="1" applyAlignment="1">
      <alignment horizontal="center" vertical="center"/>
    </xf>
    <xf numFmtId="0" fontId="11" fillId="0" borderId="1" xfId="0" applyFont="1" applyBorder="1" applyAlignment="1">
      <alignment horizontal="left" vertical="center" wrapText="1"/>
    </xf>
    <xf numFmtId="0" fontId="12" fillId="0" borderId="1" xfId="0" applyFont="1" applyBorder="1" applyAlignment="1">
      <alignment horizontal="center" vertical="center"/>
    </xf>
    <xf numFmtId="0" fontId="10" fillId="0" borderId="1" xfId="0" applyFont="1" applyBorder="1" applyAlignment="1">
      <alignment horizontal="left" vertical="center"/>
    </xf>
    <xf numFmtId="0" fontId="10" fillId="0" borderId="2" xfId="0" applyFont="1" applyBorder="1" applyAlignment="1">
      <alignment horizontal="left" vertical="center"/>
    </xf>
    <xf numFmtId="0" fontId="11" fillId="0" borderId="0" xfId="0" applyFont="1" applyBorder="1" applyAlignment="1">
      <alignment horizontal="center" vertical="center"/>
    </xf>
    <xf numFmtId="0" fontId="11" fillId="0" borderId="0" xfId="0" applyFont="1" applyAlignment="1">
      <alignment vertical="center"/>
    </xf>
    <xf numFmtId="0" fontId="10" fillId="0" borderId="1" xfId="0" applyFont="1" applyFill="1" applyBorder="1" applyAlignment="1">
      <alignment horizontal="left" vertical="center"/>
    </xf>
    <xf numFmtId="0" fontId="10" fillId="0" borderId="1" xfId="0" applyFont="1" applyFill="1" applyBorder="1" applyAlignment="1">
      <alignment horizontal="left" vertical="center" wrapText="1"/>
    </xf>
    <xf numFmtId="0" fontId="10" fillId="0" borderId="3" xfId="0" applyFont="1" applyBorder="1" applyAlignment="1">
      <alignment horizontal="left" vertical="center" wrapText="1"/>
    </xf>
    <xf numFmtId="0" fontId="12" fillId="3" borderId="1" xfId="0" applyFont="1" applyFill="1" applyBorder="1" applyAlignment="1">
      <alignment horizontal="center" vertical="center" wrapText="1"/>
    </xf>
    <xf numFmtId="0" fontId="12" fillId="0" borderId="0" xfId="0" applyFont="1" applyAlignment="1">
      <alignment vertical="center"/>
    </xf>
    <xf numFmtId="0" fontId="12" fillId="0" borderId="0" xfId="0" applyFont="1" applyBorder="1" applyAlignment="1">
      <alignment vertical="center"/>
    </xf>
    <xf numFmtId="0" fontId="10" fillId="0" borderId="2" xfId="0" applyFont="1" applyBorder="1" applyAlignment="1">
      <alignment horizontal="center" vertical="center"/>
    </xf>
    <xf numFmtId="0" fontId="10" fillId="0" borderId="0" xfId="0" applyFont="1" applyBorder="1" applyAlignment="1">
      <alignment horizontal="left" vertical="center"/>
    </xf>
    <xf numFmtId="2" fontId="11" fillId="0" borderId="1" xfId="0" applyNumberFormat="1" applyFont="1" applyBorder="1" applyAlignment="1">
      <alignment horizontal="center" vertical="center"/>
    </xf>
    <xf numFmtId="0" fontId="11" fillId="0" borderId="1" xfId="1" applyFont="1" applyBorder="1" applyAlignment="1">
      <alignment horizontal="center" vertical="center"/>
    </xf>
    <xf numFmtId="0" fontId="10" fillId="0" borderId="3" xfId="0" applyFont="1" applyBorder="1" applyAlignment="1">
      <alignment horizontal="center" vertical="center"/>
    </xf>
    <xf numFmtId="0" fontId="11" fillId="0" borderId="1" xfId="0" applyFont="1" applyBorder="1" applyAlignment="1">
      <alignment horizontal="center" vertical="center" wrapText="1"/>
    </xf>
    <xf numFmtId="0" fontId="10" fillId="3" borderId="0" xfId="0" applyFont="1" applyFill="1" applyAlignment="1">
      <alignment vertical="center"/>
    </xf>
    <xf numFmtId="0" fontId="10" fillId="0" borderId="1" xfId="0" applyFont="1" applyBorder="1" applyAlignment="1">
      <alignment vertical="center" wrapText="1"/>
    </xf>
    <xf numFmtId="0" fontId="10" fillId="0" borderId="2" xfId="0" applyFont="1" applyBorder="1" applyAlignment="1">
      <alignment horizontal="center" vertical="center" wrapText="1"/>
    </xf>
    <xf numFmtId="0" fontId="10" fillId="0" borderId="0" xfId="0" applyFont="1" applyAlignment="1">
      <alignment horizontal="center" vertical="center"/>
    </xf>
    <xf numFmtId="0" fontId="12" fillId="3" borderId="0" xfId="0" applyFont="1" applyFill="1" applyAlignment="1">
      <alignment vertical="center"/>
    </xf>
    <xf numFmtId="0" fontId="10" fillId="0" borderId="1" xfId="0" applyFont="1" applyBorder="1" applyAlignment="1">
      <alignment horizontal="center" wrapText="1"/>
    </xf>
    <xf numFmtId="0" fontId="10" fillId="0" borderId="0" xfId="0" applyFont="1" applyAlignment="1">
      <alignment vertical="center" wrapText="1"/>
    </xf>
    <xf numFmtId="0" fontId="12" fillId="0" borderId="0" xfId="0" applyFont="1" applyBorder="1" applyAlignment="1">
      <alignment horizontal="center" vertical="center"/>
    </xf>
    <xf numFmtId="0" fontId="10" fillId="4" borderId="1" xfId="0" applyFont="1" applyFill="1" applyBorder="1" applyAlignment="1">
      <alignment horizontal="center" vertical="center" wrapText="1"/>
    </xf>
    <xf numFmtId="0" fontId="10" fillId="0" borderId="0" xfId="0" applyFont="1"/>
    <xf numFmtId="2" fontId="10" fillId="0" borderId="0" xfId="0" applyNumberFormat="1" applyFont="1" applyBorder="1" applyAlignment="1">
      <alignment horizontal="center" vertical="center"/>
    </xf>
    <xf numFmtId="0" fontId="10" fillId="0" borderId="0" xfId="0" applyFont="1" applyBorder="1" applyAlignment="1">
      <alignment vertical="center" wrapText="1"/>
    </xf>
    <xf numFmtId="0" fontId="12" fillId="0" borderId="0" xfId="0" applyFont="1" applyBorder="1" applyAlignment="1">
      <alignment horizontal="center" vertical="center" wrapText="1"/>
    </xf>
    <xf numFmtId="0" fontId="11" fillId="0" borderId="0" xfId="0" applyFont="1" applyBorder="1" applyAlignment="1">
      <alignment horizontal="center" vertical="center" wrapText="1"/>
    </xf>
    <xf numFmtId="2" fontId="11" fillId="0" borderId="0" xfId="0" applyNumberFormat="1" applyFont="1" applyBorder="1" applyAlignment="1">
      <alignment horizontal="center" vertical="center"/>
    </xf>
    <xf numFmtId="2" fontId="10" fillId="0" borderId="0" xfId="0" applyNumberFormat="1" applyFont="1"/>
    <xf numFmtId="0" fontId="10" fillId="0" borderId="0" xfId="0" applyFont="1" applyAlignment="1">
      <alignment horizontal="left" vertical="center"/>
    </xf>
    <xf numFmtId="2" fontId="10" fillId="0" borderId="0" xfId="0" applyNumberFormat="1" applyFont="1" applyAlignment="1">
      <alignment horizontal="center" vertical="center"/>
    </xf>
    <xf numFmtId="0" fontId="10" fillId="0" borderId="4" xfId="0" applyFont="1" applyBorder="1" applyAlignment="1">
      <alignment horizontal="left" vertical="center" wrapText="1"/>
    </xf>
    <xf numFmtId="3" fontId="10" fillId="0" borderId="0" xfId="0" applyNumberFormat="1" applyFont="1" applyBorder="1" applyAlignment="1">
      <alignment horizontal="center" vertical="center"/>
    </xf>
    <xf numFmtId="0" fontId="12" fillId="0" borderId="1" xfId="0" applyFont="1" applyBorder="1" applyAlignment="1">
      <alignment horizontal="center" vertical="center" wrapText="1"/>
    </xf>
    <xf numFmtId="0" fontId="10" fillId="0" borderId="0" xfId="0" applyFont="1" applyAlignment="1">
      <alignment wrapText="1"/>
    </xf>
    <xf numFmtId="0" fontId="0" fillId="0" borderId="1" xfId="0" applyFont="1" applyBorder="1" applyAlignment="1">
      <alignment horizontal="center" vertical="center"/>
    </xf>
    <xf numFmtId="0" fontId="8" fillId="8" borderId="1" xfId="0" applyFont="1" applyFill="1" applyBorder="1" applyAlignment="1">
      <alignment horizontal="center" vertical="center" wrapText="1"/>
    </xf>
    <xf numFmtId="0" fontId="10" fillId="4" borderId="1" xfId="0" applyFont="1" applyFill="1" applyBorder="1" applyAlignment="1">
      <alignment horizontal="center" vertical="center"/>
    </xf>
    <xf numFmtId="2" fontId="10" fillId="4" borderId="1" xfId="0" applyNumberFormat="1" applyFont="1" applyFill="1" applyBorder="1" applyAlignment="1">
      <alignment horizontal="center" vertical="center"/>
    </xf>
    <xf numFmtId="0" fontId="10" fillId="0" borderId="0" xfId="0" applyFont="1" applyAlignment="1">
      <alignment horizontal="center" vertical="center" wrapText="1"/>
    </xf>
    <xf numFmtId="0" fontId="10" fillId="0" borderId="0" xfId="0" applyFont="1" applyAlignment="1">
      <alignment horizont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2" fontId="10" fillId="0" borderId="1" xfId="0" applyNumberFormat="1" applyFont="1" applyFill="1" applyBorder="1" applyAlignment="1">
      <alignment horizontal="center" vertical="center"/>
    </xf>
    <xf numFmtId="0" fontId="10" fillId="10" borderId="0" xfId="0" applyFont="1" applyFill="1" applyAlignment="1">
      <alignment vertical="center"/>
    </xf>
    <xf numFmtId="0" fontId="10" fillId="9" borderId="0" xfId="0" applyFont="1" applyFill="1" applyAlignment="1">
      <alignment vertical="center"/>
    </xf>
    <xf numFmtId="0" fontId="14" fillId="0" borderId="1" xfId="0" applyFont="1" applyBorder="1" applyAlignment="1">
      <alignment horizontal="center" vertical="center"/>
    </xf>
    <xf numFmtId="0" fontId="1" fillId="0" borderId="1" xfId="1" applyFont="1" applyBorder="1" applyAlignment="1">
      <alignment horizontal="center" vertical="center" wrapText="1"/>
    </xf>
    <xf numFmtId="0" fontId="1" fillId="0" borderId="1" xfId="1" applyFont="1" applyBorder="1" applyAlignment="1">
      <alignment horizontal="center" vertical="center"/>
    </xf>
    <xf numFmtId="0" fontId="1" fillId="0" borderId="1" xfId="1" applyFont="1" applyBorder="1" applyAlignment="1">
      <alignment vertical="center" wrapText="1"/>
    </xf>
    <xf numFmtId="0" fontId="1" fillId="0" borderId="0" xfId="1" applyFont="1" applyBorder="1" applyAlignment="1">
      <alignment horizontal="center" vertical="center" wrapText="1"/>
    </xf>
    <xf numFmtId="0" fontId="1" fillId="6" borderId="1" xfId="1" applyFont="1" applyFill="1" applyBorder="1" applyAlignment="1">
      <alignment vertical="center" wrapText="1"/>
    </xf>
    <xf numFmtId="0" fontId="1" fillId="0" borderId="0" xfId="1" applyFont="1" applyBorder="1" applyAlignment="1">
      <alignment horizontal="center" vertical="center"/>
    </xf>
    <xf numFmtId="0" fontId="1" fillId="0" borderId="0" xfId="1" applyFont="1" applyBorder="1" applyAlignment="1">
      <alignment wrapText="1"/>
    </xf>
    <xf numFmtId="0" fontId="10" fillId="0" borderId="1" xfId="0" applyFont="1" applyFill="1" applyBorder="1" applyAlignment="1">
      <alignment horizontal="center" vertical="center" wrapText="1"/>
    </xf>
    <xf numFmtId="0" fontId="0" fillId="0" borderId="0" xfId="0" applyFont="1" applyFill="1" applyBorder="1" applyAlignment="1">
      <alignment horizontal="left" vertical="top" wrapText="1"/>
    </xf>
    <xf numFmtId="0" fontId="10" fillId="0" borderId="0" xfId="0" applyFont="1" applyFill="1" applyAlignment="1">
      <alignment vertical="center"/>
    </xf>
    <xf numFmtId="0" fontId="0" fillId="0" borderId="1" xfId="0" applyFont="1" applyFill="1" applyBorder="1" applyAlignment="1">
      <alignment horizontal="left" vertical="top" wrapText="1"/>
    </xf>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2" fillId="0" borderId="1" xfId="0" applyFont="1" applyFill="1" applyBorder="1" applyAlignment="1">
      <alignment horizontal="center" vertical="center"/>
    </xf>
    <xf numFmtId="0" fontId="12" fillId="0" borderId="0" xfId="0" applyFont="1" applyFill="1" applyAlignment="1">
      <alignment vertical="center"/>
    </xf>
    <xf numFmtId="0" fontId="11" fillId="0" borderId="1" xfId="0" applyFont="1" applyFill="1" applyBorder="1" applyAlignment="1">
      <alignment horizontal="left" vertical="center" wrapText="1"/>
    </xf>
    <xf numFmtId="0" fontId="11" fillId="0" borderId="1" xfId="0" applyFont="1" applyFill="1" applyBorder="1" applyAlignment="1">
      <alignment horizontal="center" vertical="center"/>
    </xf>
    <xf numFmtId="0" fontId="11" fillId="0" borderId="1" xfId="0" applyFont="1" applyFill="1" applyBorder="1" applyAlignment="1">
      <alignment horizontal="center" vertical="center" wrapText="1"/>
    </xf>
    <xf numFmtId="0" fontId="10" fillId="0" borderId="1" xfId="0" applyFont="1" applyFill="1" applyBorder="1" applyAlignment="1">
      <alignment vertical="center" wrapText="1"/>
    </xf>
    <xf numFmtId="0" fontId="10" fillId="11" borderId="1" xfId="0" applyFont="1" applyFill="1" applyBorder="1" applyAlignment="1">
      <alignment horizontal="left" vertical="center" wrapText="1"/>
    </xf>
    <xf numFmtId="0" fontId="10" fillId="11" borderId="1" xfId="0" applyFont="1" applyFill="1" applyBorder="1" applyAlignment="1">
      <alignment horizontal="center" vertical="center"/>
    </xf>
    <xf numFmtId="0" fontId="10" fillId="11" borderId="1" xfId="0" applyFont="1" applyFill="1" applyBorder="1" applyAlignment="1">
      <alignment horizontal="center" vertical="center" wrapText="1"/>
    </xf>
    <xf numFmtId="2" fontId="10" fillId="11" borderId="1" xfId="0" applyNumberFormat="1" applyFont="1" applyFill="1" applyBorder="1" applyAlignment="1">
      <alignment horizontal="center" vertical="center"/>
    </xf>
    <xf numFmtId="0" fontId="0" fillId="11" borderId="1" xfId="0" applyFont="1" applyFill="1" applyBorder="1" applyAlignment="1">
      <alignment horizontal="left" vertical="top" wrapText="1"/>
    </xf>
    <xf numFmtId="0" fontId="1" fillId="11" borderId="1" xfId="1" applyFont="1" applyFill="1" applyBorder="1" applyAlignment="1">
      <alignment horizontal="center" vertical="center"/>
    </xf>
    <xf numFmtId="0" fontId="10" fillId="11" borderId="0" xfId="0" applyFont="1" applyFill="1" applyAlignment="1">
      <alignment vertical="center" wrapText="1"/>
    </xf>
    <xf numFmtId="0" fontId="10" fillId="11" borderId="0" xfId="0" applyFont="1" applyFill="1" applyAlignment="1">
      <alignment vertical="center"/>
    </xf>
    <xf numFmtId="0" fontId="10" fillId="11" borderId="0" xfId="0" applyFont="1" applyFill="1" applyBorder="1" applyAlignment="1">
      <alignment vertical="center" wrapText="1"/>
    </xf>
    <xf numFmtId="0" fontId="10" fillId="11" borderId="0" xfId="0" applyFont="1" applyFill="1" applyBorder="1" applyAlignment="1">
      <alignment vertical="center"/>
    </xf>
    <xf numFmtId="0" fontId="10" fillId="11" borderId="0" xfId="0" applyFont="1" applyFill="1" applyBorder="1" applyAlignment="1">
      <alignment horizontal="center" vertical="center"/>
    </xf>
    <xf numFmtId="0" fontId="10" fillId="11" borderId="1" xfId="0" applyFont="1" applyFill="1" applyBorder="1" applyAlignment="1">
      <alignment vertical="center" wrapText="1"/>
    </xf>
    <xf numFmtId="0" fontId="1" fillId="11" borderId="0" xfId="1" applyFont="1" applyFill="1" applyBorder="1" applyAlignment="1">
      <alignment horizontal="center" vertical="center"/>
    </xf>
    <xf numFmtId="0" fontId="0" fillId="11" borderId="0" xfId="0" applyFont="1" applyFill="1" applyBorder="1" applyAlignment="1">
      <alignment horizontal="left" vertical="top" wrapText="1"/>
    </xf>
    <xf numFmtId="0" fontId="1" fillId="11" borderId="1" xfId="1" applyFont="1" applyFill="1" applyBorder="1" applyAlignment="1">
      <alignment horizontal="center" vertical="center" wrapText="1"/>
    </xf>
    <xf numFmtId="0" fontId="10" fillId="11" borderId="0" xfId="0" applyFont="1" applyFill="1" applyBorder="1" applyAlignment="1">
      <alignment horizontal="left" vertical="center" wrapText="1"/>
    </xf>
    <xf numFmtId="0" fontId="10" fillId="11" borderId="0" xfId="0" applyFont="1" applyFill="1" applyBorder="1" applyAlignment="1">
      <alignment horizontal="center" vertical="center" wrapText="1"/>
    </xf>
    <xf numFmtId="2" fontId="10" fillId="11" borderId="0" xfId="0" applyNumberFormat="1" applyFont="1" applyFill="1" applyBorder="1" applyAlignment="1">
      <alignment horizontal="center" vertical="center"/>
    </xf>
    <xf numFmtId="0" fontId="10" fillId="11" borderId="0" xfId="0" applyFont="1" applyFill="1" applyAlignment="1">
      <alignment horizontal="center" vertical="center"/>
    </xf>
    <xf numFmtId="0" fontId="1" fillId="11" borderId="0" xfId="1" applyFont="1" applyFill="1" applyBorder="1" applyAlignment="1">
      <alignment wrapText="1"/>
    </xf>
    <xf numFmtId="0" fontId="10" fillId="12" borderId="0" xfId="0" applyFont="1" applyFill="1" applyBorder="1" applyAlignment="1">
      <alignment horizontal="left" vertical="center" wrapText="1"/>
    </xf>
    <xf numFmtId="0" fontId="10" fillId="12" borderId="0" xfId="0" applyFont="1" applyFill="1" applyBorder="1" applyAlignment="1">
      <alignment horizontal="center" vertical="center"/>
    </xf>
    <xf numFmtId="0" fontId="10" fillId="12" borderId="0" xfId="0" applyFont="1" applyFill="1" applyBorder="1" applyAlignment="1">
      <alignment horizontal="center" vertical="center" wrapText="1"/>
    </xf>
    <xf numFmtId="2" fontId="10" fillId="12" borderId="0" xfId="0" applyNumberFormat="1" applyFont="1" applyFill="1" applyBorder="1" applyAlignment="1">
      <alignment horizontal="center" vertical="center"/>
    </xf>
    <xf numFmtId="0" fontId="1" fillId="12" borderId="0" xfId="1" applyFont="1" applyFill="1" applyBorder="1" applyAlignment="1">
      <alignment horizontal="center" vertical="center"/>
    </xf>
    <xf numFmtId="0" fontId="10" fillId="12" borderId="0" xfId="0" applyFont="1" applyFill="1" applyAlignment="1">
      <alignment vertical="center"/>
    </xf>
    <xf numFmtId="0" fontId="10" fillId="12" borderId="0" xfId="0" applyFont="1" applyFill="1" applyBorder="1" applyAlignment="1">
      <alignment vertical="center"/>
    </xf>
    <xf numFmtId="0" fontId="1" fillId="0" borderId="1" xfId="1" applyFont="1" applyFill="1" applyBorder="1" applyAlignment="1">
      <alignment horizontal="center" vertical="center"/>
    </xf>
    <xf numFmtId="0" fontId="1" fillId="0" borderId="0" xfId="1" applyFont="1" applyFill="1" applyBorder="1" applyAlignment="1">
      <alignment horizontal="center" vertical="center"/>
    </xf>
    <xf numFmtId="0" fontId="0" fillId="0" borderId="1" xfId="0" applyFont="1" applyFill="1" applyBorder="1" applyAlignment="1">
      <alignment horizontal="center" vertical="top" wrapText="1"/>
    </xf>
    <xf numFmtId="0" fontId="1" fillId="0" borderId="1" xfId="1" applyFont="1" applyFill="1" applyBorder="1" applyAlignment="1">
      <alignment vertical="center" wrapText="1"/>
    </xf>
    <xf numFmtId="0" fontId="0" fillId="0" borderId="1" xfId="0" applyFont="1" applyFill="1" applyBorder="1" applyAlignment="1">
      <alignment vertical="top" wrapText="1"/>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left" vertical="center" wrapText="1"/>
    </xf>
    <xf numFmtId="0" fontId="0" fillId="13" borderId="1" xfId="0" applyFont="1" applyFill="1" applyBorder="1" applyAlignment="1">
      <alignment horizontal="center" vertical="center"/>
    </xf>
    <xf numFmtId="0" fontId="0" fillId="0" borderId="0" xfId="0" applyFont="1" applyAlignment="1">
      <alignment vertical="center"/>
    </xf>
    <xf numFmtId="2" fontId="10" fillId="0" borderId="1" xfId="0" applyNumberFormat="1" applyFont="1" applyBorder="1" applyAlignment="1">
      <alignment horizontal="center" vertical="center" wrapText="1"/>
    </xf>
    <xf numFmtId="0" fontId="8" fillId="8" borderId="1" xfId="0" applyFont="1" applyFill="1" applyBorder="1" applyAlignment="1">
      <alignment horizontal="center" vertical="top" wrapText="1"/>
    </xf>
    <xf numFmtId="0" fontId="0" fillId="0" borderId="1" xfId="0" applyFont="1" applyFill="1" applyBorder="1" applyAlignment="1">
      <alignment horizontal="left" vertical="center" wrapText="1"/>
    </xf>
    <xf numFmtId="0" fontId="11" fillId="13"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1" fillId="13" borderId="1" xfId="0" applyFont="1" applyFill="1" applyBorder="1" applyAlignment="1">
      <alignment horizontal="center" vertical="center" wrapText="1"/>
    </xf>
    <xf numFmtId="2" fontId="11" fillId="13" borderId="1" xfId="0" applyNumberFormat="1" applyFont="1" applyFill="1" applyBorder="1" applyAlignment="1">
      <alignment horizontal="center" vertical="center"/>
    </xf>
    <xf numFmtId="0" fontId="12" fillId="13" borderId="1" xfId="0" applyFont="1" applyFill="1" applyBorder="1" applyAlignment="1">
      <alignment horizontal="center" vertical="center"/>
    </xf>
    <xf numFmtId="0" fontId="12" fillId="13" borderId="1" xfId="0" applyFont="1" applyFill="1" applyBorder="1" applyAlignment="1">
      <alignment horizontal="center" vertical="center" wrapText="1"/>
    </xf>
    <xf numFmtId="0" fontId="0" fillId="13" borderId="0" xfId="0" applyFont="1" applyFill="1" applyBorder="1" applyAlignment="1">
      <alignment vertical="center" wrapText="1"/>
    </xf>
    <xf numFmtId="0" fontId="0" fillId="13" borderId="0" xfId="0" applyFont="1" applyFill="1" applyBorder="1" applyAlignment="1">
      <alignment vertical="top" wrapText="1"/>
    </xf>
    <xf numFmtId="2" fontId="11" fillId="4" borderId="1" xfId="0" applyNumberFormat="1" applyFont="1" applyFill="1" applyBorder="1" applyAlignment="1">
      <alignment horizontal="center" vertical="center"/>
    </xf>
    <xf numFmtId="2" fontId="10" fillId="13" borderId="1" xfId="0" applyNumberFormat="1" applyFont="1" applyFill="1" applyBorder="1" applyAlignment="1">
      <alignment horizontal="center" vertical="center" wrapText="1"/>
    </xf>
    <xf numFmtId="0" fontId="0" fillId="13" borderId="0" xfId="0" applyFont="1" applyFill="1" applyBorder="1" applyAlignment="1">
      <alignment horizontal="left" vertical="top" wrapText="1"/>
    </xf>
    <xf numFmtId="49" fontId="8" fillId="7" borderId="1" xfId="0" applyNumberFormat="1" applyFont="1" applyFill="1" applyBorder="1" applyAlignment="1">
      <alignment horizontal="center" vertical="center" wrapText="1"/>
    </xf>
    <xf numFmtId="49" fontId="10" fillId="0" borderId="1" xfId="0" applyNumberFormat="1" applyFont="1" applyBorder="1" applyAlignment="1">
      <alignment vertical="center" wrapText="1"/>
    </xf>
    <xf numFmtId="49" fontId="10" fillId="0" borderId="0" xfId="0" applyNumberFormat="1" applyFont="1" applyAlignment="1">
      <alignment vertical="center" wrapText="1"/>
    </xf>
    <xf numFmtId="49" fontId="1" fillId="0" borderId="1" xfId="1" applyNumberFormat="1" applyFont="1" applyBorder="1" applyAlignment="1">
      <alignment horizontal="center" vertical="center" wrapText="1"/>
    </xf>
    <xf numFmtId="49" fontId="1" fillId="0" borderId="1" xfId="1" applyNumberFormat="1" applyFont="1" applyBorder="1" applyAlignment="1">
      <alignment horizontal="left" vertical="center" wrapText="1"/>
    </xf>
    <xf numFmtId="49" fontId="10" fillId="0" borderId="0" xfId="0" applyNumberFormat="1" applyFont="1" applyBorder="1" applyAlignment="1">
      <alignment vertical="center" wrapText="1"/>
    </xf>
    <xf numFmtId="49" fontId="12" fillId="0" borderId="0" xfId="0" applyNumberFormat="1" applyFont="1" applyAlignment="1">
      <alignment vertical="center" wrapText="1"/>
    </xf>
    <xf numFmtId="49" fontId="12" fillId="0" borderId="0" xfId="0" applyNumberFormat="1" applyFont="1" applyBorder="1" applyAlignment="1">
      <alignment vertical="center" wrapText="1"/>
    </xf>
    <xf numFmtId="49" fontId="1" fillId="0" borderId="1" xfId="1" applyNumberFormat="1" applyFont="1" applyBorder="1" applyAlignment="1">
      <alignment vertical="center" wrapText="1"/>
    </xf>
    <xf numFmtId="49" fontId="12" fillId="3" borderId="0" xfId="0" applyNumberFormat="1" applyFont="1" applyFill="1" applyAlignment="1">
      <alignment vertical="center" wrapText="1"/>
    </xf>
    <xf numFmtId="49" fontId="1" fillId="0" borderId="0" xfId="1" applyNumberFormat="1" applyFont="1" applyAlignment="1">
      <alignment vertical="center" wrapText="1"/>
    </xf>
    <xf numFmtId="49" fontId="1" fillId="0" borderId="0" xfId="1" applyNumberFormat="1" applyFont="1" applyBorder="1" applyAlignment="1">
      <alignment horizontal="center" vertical="center" wrapText="1"/>
    </xf>
    <xf numFmtId="49" fontId="1" fillId="6" borderId="0" xfId="1" applyNumberFormat="1" applyFont="1" applyFill="1" applyBorder="1" applyAlignment="1">
      <alignment vertical="center" wrapText="1"/>
    </xf>
    <xf numFmtId="49" fontId="1" fillId="0" borderId="0" xfId="1" applyNumberFormat="1" applyFont="1" applyBorder="1" applyAlignment="1">
      <alignment horizontal="left" vertical="center" wrapText="1"/>
    </xf>
    <xf numFmtId="49" fontId="1" fillId="0" borderId="0" xfId="1" applyNumberFormat="1" applyFont="1" applyBorder="1" applyAlignment="1">
      <alignment vertical="center" wrapText="1"/>
    </xf>
    <xf numFmtId="49" fontId="1" fillId="0" borderId="0" xfId="1" applyNumberFormat="1" applyFont="1" applyAlignment="1">
      <alignment horizontal="left" vertical="center" wrapText="1"/>
    </xf>
    <xf numFmtId="49" fontId="1" fillId="13" borderId="0" xfId="1" applyNumberFormat="1" applyFill="1" applyAlignment="1">
      <alignment vertical="center" wrapText="1"/>
    </xf>
    <xf numFmtId="49" fontId="10" fillId="13" borderId="0" xfId="0" applyNumberFormat="1" applyFont="1" applyFill="1" applyBorder="1" applyAlignment="1">
      <alignment vertical="center" wrapText="1"/>
    </xf>
    <xf numFmtId="49" fontId="1" fillId="6" borderId="1" xfId="1"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0" fillId="0" borderId="1" xfId="0" applyNumberFormat="1" applyFont="1" applyFill="1" applyBorder="1" applyAlignment="1">
      <alignment vertical="center" wrapText="1"/>
    </xf>
    <xf numFmtId="49" fontId="10" fillId="0" borderId="2" xfId="0" applyNumberFormat="1" applyFont="1" applyBorder="1" applyAlignment="1">
      <alignment vertical="center" wrapText="1"/>
    </xf>
    <xf numFmtId="49" fontId="1" fillId="0" borderId="0" xfId="1" applyNumberFormat="1" applyFont="1" applyBorder="1" applyAlignment="1">
      <alignment wrapText="1"/>
    </xf>
    <xf numFmtId="49" fontId="10" fillId="12" borderId="0" xfId="0" applyNumberFormat="1" applyFont="1" applyFill="1" applyBorder="1" applyAlignment="1">
      <alignment vertical="center" wrapText="1"/>
    </xf>
    <xf numFmtId="49" fontId="10" fillId="0" borderId="0" xfId="0" applyNumberFormat="1" applyFont="1" applyAlignment="1">
      <alignment wrapText="1"/>
    </xf>
    <xf numFmtId="0" fontId="0" fillId="13" borderId="1" xfId="0" applyFont="1" applyFill="1" applyBorder="1" applyAlignment="1">
      <alignment horizontal="center" vertical="center" wrapText="1"/>
    </xf>
    <xf numFmtId="0" fontId="0" fillId="0" borderId="1" xfId="0" applyFont="1" applyFill="1" applyBorder="1" applyAlignment="1">
      <alignment horizontal="left" vertical="center"/>
    </xf>
    <xf numFmtId="0" fontId="10" fillId="0" borderId="2" xfId="0" applyFont="1" applyFill="1" applyBorder="1" applyAlignment="1">
      <alignment horizontal="left" vertical="center" wrapText="1"/>
    </xf>
    <xf numFmtId="49" fontId="1" fillId="0" borderId="0" xfId="1" applyNumberFormat="1" applyFont="1" applyFill="1" applyBorder="1" applyAlignment="1">
      <alignment horizontal="center" vertical="center" wrapText="1"/>
    </xf>
    <xf numFmtId="0" fontId="0" fillId="0" borderId="0" xfId="0" applyFont="1" applyFill="1" applyAlignment="1">
      <alignment vertical="top" wrapText="1"/>
    </xf>
    <xf numFmtId="49" fontId="1" fillId="0" borderId="1" xfId="1" applyNumberFormat="1" applyBorder="1" applyAlignment="1">
      <alignment vertical="center" wrapText="1"/>
    </xf>
    <xf numFmtId="0" fontId="11" fillId="0" borderId="0" xfId="0" applyFont="1" applyAlignment="1">
      <alignment vertical="center" wrapText="1"/>
    </xf>
    <xf numFmtId="0" fontId="8" fillId="7" borderId="0" xfId="0" applyFont="1" applyFill="1" applyBorder="1" applyAlignment="1">
      <alignment vertical="center" wrapText="1"/>
    </xf>
    <xf numFmtId="0" fontId="10" fillId="0" borderId="2" xfId="0" applyFont="1" applyBorder="1" applyAlignment="1">
      <alignment vertical="center" wrapText="1"/>
    </xf>
    <xf numFmtId="0" fontId="12" fillId="0" borderId="0" xfId="0" applyFont="1" applyAlignment="1">
      <alignment vertical="center" wrapText="1"/>
    </xf>
    <xf numFmtId="0" fontId="12" fillId="3" borderId="0" xfId="0" applyFont="1" applyFill="1" applyAlignment="1">
      <alignment vertical="center" wrapText="1"/>
    </xf>
    <xf numFmtId="0" fontId="10" fillId="0" borderId="0" xfId="0" applyFont="1" applyFill="1" applyAlignment="1">
      <alignment vertical="center" wrapText="1"/>
    </xf>
    <xf numFmtId="0" fontId="10" fillId="13" borderId="0" xfId="0" applyFont="1" applyFill="1" applyAlignment="1">
      <alignment vertical="center" wrapText="1"/>
    </xf>
    <xf numFmtId="0" fontId="12" fillId="0" borderId="0" xfId="0" applyFont="1" applyFill="1" applyAlignment="1">
      <alignment vertical="center" wrapText="1"/>
    </xf>
    <xf numFmtId="0" fontId="10" fillId="0" borderId="0" xfId="0" applyFont="1" applyFill="1" applyBorder="1" applyAlignment="1">
      <alignment vertical="center" wrapText="1"/>
    </xf>
    <xf numFmtId="0" fontId="1" fillId="0" borderId="0" xfId="1" applyFont="1" applyAlignment="1">
      <alignment horizontal="left" vertical="center" wrapText="1"/>
    </xf>
    <xf numFmtId="0" fontId="10" fillId="3" borderId="0" xfId="0" applyFont="1" applyFill="1" applyAlignment="1">
      <alignment vertical="center" wrapText="1"/>
    </xf>
    <xf numFmtId="0" fontId="10" fillId="12" borderId="0" xfId="0" applyFont="1" applyFill="1" applyAlignment="1">
      <alignment vertical="center" wrapText="1"/>
    </xf>
    <xf numFmtId="0" fontId="10" fillId="13" borderId="0" xfId="0" applyFont="1" applyFill="1" applyBorder="1" applyAlignment="1">
      <alignment horizontal="center" vertical="center"/>
    </xf>
    <xf numFmtId="49" fontId="1" fillId="13" borderId="1" xfId="1" applyNumberFormat="1" applyFont="1" applyFill="1" applyBorder="1" applyAlignment="1">
      <alignment vertical="center" wrapText="1"/>
    </xf>
    <xf numFmtId="0" fontId="0" fillId="0"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0" fillId="4" borderId="1" xfId="0" applyFont="1" applyFill="1" applyBorder="1" applyAlignment="1">
      <alignment horizontal="center" vertical="center"/>
    </xf>
    <xf numFmtId="0" fontId="10" fillId="0" borderId="2" xfId="0" applyFont="1" applyFill="1" applyBorder="1" applyAlignment="1">
      <alignment horizontal="left" vertical="center"/>
    </xf>
    <xf numFmtId="0" fontId="11" fillId="0" borderId="0" xfId="1" applyFont="1" applyBorder="1" applyAlignment="1">
      <alignment horizontal="left" vertical="center" wrapText="1"/>
    </xf>
    <xf numFmtId="0" fontId="10" fillId="14" borderId="0" xfId="0" applyFont="1" applyFill="1" applyAlignment="1">
      <alignment vertical="center"/>
    </xf>
    <xf numFmtId="0" fontId="12" fillId="14" borderId="0" xfId="0" applyFont="1" applyFill="1" applyAlignment="1">
      <alignment vertical="center"/>
    </xf>
    <xf numFmtId="0" fontId="11" fillId="0" borderId="0" xfId="0" applyFont="1" applyFill="1" applyAlignment="1">
      <alignment vertical="center" wrapText="1"/>
    </xf>
    <xf numFmtId="0" fontId="10" fillId="0" borderId="0" xfId="0" applyFont="1" applyFill="1" applyBorder="1" applyAlignment="1">
      <alignment horizontal="left" vertical="center"/>
    </xf>
    <xf numFmtId="0" fontId="0" fillId="0" borderId="0" xfId="0" applyFont="1" applyBorder="1" applyAlignment="1">
      <alignment vertical="center"/>
    </xf>
    <xf numFmtId="0" fontId="10" fillId="0" borderId="2" xfId="0" applyFont="1" applyFill="1" applyBorder="1" applyAlignment="1">
      <alignment horizontal="center" vertical="center"/>
    </xf>
    <xf numFmtId="2" fontId="11" fillId="0" borderId="1" xfId="0" applyNumberFormat="1" applyFont="1" applyFill="1" applyBorder="1" applyAlignment="1">
      <alignment horizontal="center" vertical="center"/>
    </xf>
    <xf numFmtId="49" fontId="12" fillId="4" borderId="0" xfId="0" applyNumberFormat="1" applyFont="1" applyFill="1" applyBorder="1" applyAlignment="1">
      <alignment vertical="center" wrapText="1"/>
    </xf>
    <xf numFmtId="0" fontId="10" fillId="0" borderId="0" xfId="0" applyFont="1" applyFill="1" applyBorder="1" applyAlignment="1">
      <alignment horizontal="center" vertical="center" wrapText="1"/>
    </xf>
    <xf numFmtId="2" fontId="10" fillId="4" borderId="0" xfId="0" applyNumberFormat="1" applyFont="1" applyFill="1" applyBorder="1" applyAlignment="1">
      <alignment horizontal="center" vertical="center"/>
    </xf>
    <xf numFmtId="0" fontId="0" fillId="0" borderId="0" xfId="0" applyFont="1" applyBorder="1" applyAlignment="1">
      <alignment horizontal="center" vertical="center"/>
    </xf>
    <xf numFmtId="0" fontId="10" fillId="0" borderId="0" xfId="0" applyFont="1" applyFill="1" applyBorder="1" applyAlignment="1">
      <alignment horizontal="left" vertical="center" wrapText="1"/>
    </xf>
    <xf numFmtId="0" fontId="10" fillId="13" borderId="0" xfId="0" applyFont="1" applyFill="1" applyBorder="1" applyAlignment="1">
      <alignment horizontal="left" vertical="center" wrapText="1"/>
    </xf>
    <xf numFmtId="0" fontId="10" fillId="13" borderId="0" xfId="0" applyFont="1" applyFill="1" applyBorder="1" applyAlignment="1">
      <alignment horizontal="center" vertical="center" wrapText="1"/>
    </xf>
    <xf numFmtId="2" fontId="10" fillId="13" borderId="0" xfId="0" applyNumberFormat="1" applyFont="1" applyFill="1" applyBorder="1" applyAlignment="1">
      <alignment horizontal="center" vertical="center"/>
    </xf>
    <xf numFmtId="0" fontId="1" fillId="13" borderId="0" xfId="1" applyFont="1" applyFill="1" applyBorder="1" applyAlignment="1">
      <alignment horizontal="center" vertical="center"/>
    </xf>
    <xf numFmtId="0" fontId="10" fillId="13" borderId="0" xfId="0" applyFont="1" applyFill="1" applyAlignment="1">
      <alignment wrapText="1"/>
    </xf>
    <xf numFmtId="0" fontId="10" fillId="13" borderId="0" xfId="0" applyFont="1" applyFill="1" applyBorder="1" applyAlignment="1">
      <alignment vertical="center"/>
    </xf>
    <xf numFmtId="49" fontId="10" fillId="4" borderId="0" xfId="0" applyNumberFormat="1" applyFont="1" applyFill="1" applyAlignment="1">
      <alignment vertical="center" wrapText="1"/>
    </xf>
    <xf numFmtId="0" fontId="10" fillId="4" borderId="0" xfId="0" applyFont="1" applyFill="1" applyAlignment="1">
      <alignment vertical="center" wrapText="1"/>
    </xf>
    <xf numFmtId="0" fontId="10" fillId="4" borderId="0" xfId="0" applyFont="1" applyFill="1" applyBorder="1" applyAlignment="1">
      <alignment horizontal="center" vertical="center"/>
    </xf>
    <xf numFmtId="0" fontId="0" fillId="0" borderId="0" xfId="0" applyFont="1" applyFill="1" applyBorder="1" applyAlignment="1">
      <alignment horizontal="center" vertical="center"/>
    </xf>
    <xf numFmtId="0" fontId="0" fillId="0" borderId="0" xfId="0" applyFont="1" applyBorder="1" applyAlignment="1">
      <alignment horizontal="center" vertical="center" wrapText="1"/>
    </xf>
    <xf numFmtId="0" fontId="0" fillId="0" borderId="0" xfId="0" applyFont="1" applyFill="1" applyBorder="1" applyAlignment="1">
      <alignment horizontal="left" vertical="center" wrapText="1"/>
    </xf>
    <xf numFmtId="2" fontId="10" fillId="0" borderId="0" xfId="0" applyNumberFormat="1" applyFont="1" applyFill="1" applyBorder="1" applyAlignment="1">
      <alignment horizontal="center" vertical="center"/>
    </xf>
    <xf numFmtId="49" fontId="12" fillId="4" borderId="0" xfId="0" applyNumberFormat="1" applyFont="1" applyFill="1" applyAlignment="1">
      <alignment vertical="center" wrapText="1"/>
    </xf>
    <xf numFmtId="0" fontId="12" fillId="4" borderId="0" xfId="0" applyFont="1" applyFill="1" applyAlignment="1">
      <alignment vertical="center" wrapText="1"/>
    </xf>
    <xf numFmtId="0" fontId="10" fillId="4" borderId="0" xfId="0" applyFont="1" applyFill="1" applyBorder="1" applyAlignment="1">
      <alignment vertical="center" wrapText="1"/>
    </xf>
    <xf numFmtId="0" fontId="10" fillId="14" borderId="0" xfId="0" applyFont="1" applyFill="1" applyBorder="1" applyAlignment="1">
      <alignment vertical="center"/>
    </xf>
    <xf numFmtId="0" fontId="10" fillId="4" borderId="0" xfId="0" applyFont="1" applyFill="1" applyBorder="1" applyAlignment="1">
      <alignment vertical="center"/>
    </xf>
    <xf numFmtId="0" fontId="10" fillId="4" borderId="0" xfId="0" applyFont="1" applyFill="1" applyAlignment="1">
      <alignment vertical="center"/>
    </xf>
    <xf numFmtId="0" fontId="10" fillId="0" borderId="0" xfId="0" applyFont="1" applyAlignment="1">
      <alignment horizontal="left" vertical="center" wrapText="1"/>
    </xf>
    <xf numFmtId="0" fontId="10" fillId="0" borderId="4" xfId="0" applyFont="1" applyFill="1" applyBorder="1" applyAlignment="1">
      <alignment horizontal="left" vertical="center" wrapText="1"/>
    </xf>
    <xf numFmtId="0" fontId="0" fillId="0" borderId="1" xfId="0" applyFill="1" applyBorder="1" applyAlignment="1">
      <alignment horizontal="center" vertical="center"/>
    </xf>
    <xf numFmtId="49" fontId="1" fillId="0" borderId="0" xfId="1" applyNumberFormat="1" applyBorder="1" applyAlignment="1">
      <alignment vertical="center" wrapText="1"/>
    </xf>
    <xf numFmtId="0" fontId="0" fillId="0" borderId="0" xfId="0" applyFont="1" applyFill="1" applyBorder="1" applyAlignment="1">
      <alignment horizontal="center" vertical="center" wrapText="1"/>
    </xf>
    <xf numFmtId="0" fontId="0" fillId="0" borderId="2" xfId="0" applyFont="1" applyBorder="1" applyAlignment="1">
      <alignment horizontal="center" vertical="center"/>
    </xf>
    <xf numFmtId="2" fontId="10" fillId="4" borderId="2" xfId="0" applyNumberFormat="1" applyFont="1" applyFill="1" applyBorder="1" applyAlignment="1">
      <alignment horizontal="center" vertical="center"/>
    </xf>
    <xf numFmtId="49" fontId="13" fillId="0" borderId="1" xfId="0" applyNumberFormat="1" applyFont="1" applyBorder="1" applyAlignment="1">
      <alignment vertical="center" wrapText="1"/>
    </xf>
    <xf numFmtId="49" fontId="1" fillId="13" borderId="0" xfId="1" applyNumberFormat="1" applyFill="1" applyBorder="1" applyAlignment="1">
      <alignment vertical="top" wrapText="1"/>
    </xf>
    <xf numFmtId="0" fontId="1" fillId="13" borderId="1" xfId="1" applyFont="1" applyFill="1" applyBorder="1" applyAlignment="1">
      <alignment horizontal="center" vertical="center"/>
    </xf>
    <xf numFmtId="0" fontId="0" fillId="0" borderId="1" xfId="0" applyFont="1" applyBorder="1" applyAlignment="1">
      <alignment vertical="center" wrapText="1"/>
    </xf>
    <xf numFmtId="49" fontId="12" fillId="0" borderId="0" xfId="0" applyNumberFormat="1" applyFont="1" applyFill="1" applyBorder="1" applyAlignment="1">
      <alignment vertical="center" wrapText="1"/>
    </xf>
    <xf numFmtId="0" fontId="0" fillId="0" borderId="0" xfId="0" applyFont="1" applyFill="1" applyBorder="1" applyAlignment="1">
      <alignment vertical="top" wrapText="1"/>
    </xf>
    <xf numFmtId="0" fontId="10" fillId="13" borderId="1" xfId="0" applyFont="1" applyFill="1" applyBorder="1" applyAlignment="1">
      <alignment horizontal="left" vertical="center"/>
    </xf>
    <xf numFmtId="0" fontId="0" fillId="13" borderId="0" xfId="0" applyFont="1" applyFill="1" applyBorder="1" applyAlignment="1">
      <alignment vertical="center"/>
    </xf>
    <xf numFmtId="0" fontId="0" fillId="13" borderId="1" xfId="0" applyFont="1" applyFill="1" applyBorder="1" applyAlignment="1">
      <alignment horizontal="left" vertical="center"/>
    </xf>
    <xf numFmtId="0" fontId="11" fillId="13" borderId="1" xfId="0" applyFont="1" applyFill="1" applyBorder="1" applyAlignment="1">
      <alignment horizontal="left" vertical="center"/>
    </xf>
    <xf numFmtId="0" fontId="11" fillId="13" borderId="0" xfId="0" applyFont="1" applyFill="1" applyBorder="1" applyAlignment="1">
      <alignment horizontal="center" vertical="center"/>
    </xf>
    <xf numFmtId="49" fontId="1" fillId="13" borderId="0" xfId="1" applyNumberFormat="1" applyFont="1" applyFill="1" applyAlignment="1">
      <alignment vertical="center" wrapText="1"/>
    </xf>
    <xf numFmtId="0" fontId="10" fillId="13" borderId="0" xfId="0" applyFont="1" applyFill="1" applyBorder="1" applyAlignment="1">
      <alignment vertical="center" wrapText="1"/>
    </xf>
    <xf numFmtId="0" fontId="0" fillId="13" borderId="0" xfId="0" applyFont="1" applyFill="1" applyBorder="1" applyAlignment="1">
      <alignment horizontal="left" vertical="center"/>
    </xf>
    <xf numFmtId="0" fontId="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2" fontId="11" fillId="13" borderId="0" xfId="0" applyNumberFormat="1" applyFont="1" applyFill="1" applyBorder="1" applyAlignment="1">
      <alignment horizontal="center" vertical="center"/>
    </xf>
    <xf numFmtId="0" fontId="11" fillId="0" borderId="0" xfId="0" applyFont="1" applyFill="1" applyBorder="1" applyAlignment="1">
      <alignment horizontal="left" vertical="center" wrapText="1"/>
    </xf>
    <xf numFmtId="0" fontId="11" fillId="0" borderId="0" xfId="0" applyFont="1" applyFill="1" applyBorder="1" applyAlignment="1">
      <alignment horizontal="center" vertical="center"/>
    </xf>
    <xf numFmtId="0" fontId="11" fillId="0" borderId="0" xfId="0" applyFont="1" applyFill="1" applyBorder="1" applyAlignment="1">
      <alignment horizontal="center" vertical="center" wrapText="1"/>
    </xf>
    <xf numFmtId="2" fontId="11" fillId="0" borderId="0" xfId="0" applyNumberFormat="1" applyFont="1" applyFill="1" applyBorder="1" applyAlignment="1">
      <alignment horizontal="center" vertical="center"/>
    </xf>
    <xf numFmtId="0" fontId="12" fillId="0" borderId="0" xfId="0" applyFont="1" applyFill="1" applyBorder="1" applyAlignment="1">
      <alignment horizontal="center" vertical="center"/>
    </xf>
    <xf numFmtId="0" fontId="0" fillId="0" borderId="0" xfId="0" applyFont="1" applyAlignment="1">
      <alignment horizontal="center" vertical="center" wrapText="1"/>
    </xf>
    <xf numFmtId="0" fontId="10" fillId="0" borderId="1" xfId="0" applyFont="1" applyFill="1" applyBorder="1" applyAlignment="1">
      <alignment vertical="center"/>
    </xf>
    <xf numFmtId="0" fontId="0" fillId="0" borderId="0" xfId="0" applyFont="1" applyBorder="1" applyAlignment="1">
      <alignment horizontal="left" vertical="center" wrapText="1"/>
    </xf>
    <xf numFmtId="0" fontId="11" fillId="4" borderId="1" xfId="0" applyFont="1" applyFill="1" applyBorder="1" applyAlignment="1">
      <alignment horizontal="center" vertical="center"/>
    </xf>
    <xf numFmtId="2" fontId="0" fillId="4" borderId="1" xfId="0" applyNumberFormat="1" applyFont="1" applyFill="1" applyBorder="1" applyAlignment="1">
      <alignment horizontal="center" vertical="center" wrapText="1"/>
    </xf>
    <xf numFmtId="0" fontId="0" fillId="0" borderId="4" xfId="0" applyFont="1" applyBorder="1" applyAlignment="1">
      <alignment horizontal="left" vertical="center" wrapText="1"/>
    </xf>
    <xf numFmtId="0" fontId="1" fillId="13" borderId="3" xfId="1" applyFont="1" applyFill="1" applyBorder="1" applyAlignment="1">
      <alignment vertical="center" wrapText="1"/>
    </xf>
    <xf numFmtId="0" fontId="1" fillId="6" borderId="1" xfId="1" applyFont="1" applyFill="1" applyBorder="1" applyAlignment="1">
      <alignment horizontal="center" vertical="center"/>
    </xf>
    <xf numFmtId="4" fontId="10" fillId="0" borderId="0" xfId="0" applyNumberFormat="1" applyFont="1" applyFill="1" applyBorder="1" applyAlignment="1">
      <alignment horizontal="center" vertical="center"/>
    </xf>
    <xf numFmtId="0" fontId="10" fillId="0" borderId="0" xfId="0" applyFont="1" applyFill="1" applyAlignment="1">
      <alignment horizontal="left" vertical="center" wrapText="1"/>
    </xf>
    <xf numFmtId="0" fontId="0" fillId="0" borderId="0" xfId="0" applyFont="1" applyFill="1" applyAlignment="1">
      <alignment horizontal="center" vertical="center" wrapText="1"/>
    </xf>
    <xf numFmtId="0" fontId="10" fillId="0" borderId="0" xfId="0" applyFont="1" applyFill="1" applyAlignment="1">
      <alignment horizontal="center" vertical="center"/>
    </xf>
    <xf numFmtId="0" fontId="0" fillId="0" borderId="0" xfId="0" applyFont="1" applyFill="1" applyAlignment="1">
      <alignment horizontal="center" vertical="center"/>
    </xf>
    <xf numFmtId="2" fontId="10" fillId="0" borderId="0" xfId="0" applyNumberFormat="1" applyFont="1" applyFill="1" applyAlignment="1">
      <alignment horizontal="center" vertical="center"/>
    </xf>
    <xf numFmtId="0" fontId="0" fillId="0" borderId="0" xfId="0" applyFill="1"/>
    <xf numFmtId="0" fontId="10" fillId="0" borderId="0" xfId="0" applyFont="1" applyBorder="1" applyAlignment="1">
      <alignment vertical="center"/>
    </xf>
    <xf numFmtId="0" fontId="10" fillId="0" borderId="1" xfId="0" applyFont="1" applyBorder="1" applyAlignment="1">
      <alignment horizontal="left" vertical="center" wrapText="1"/>
    </xf>
    <xf numFmtId="0" fontId="10" fillId="0" borderId="1" xfId="0" applyFont="1" applyBorder="1" applyAlignment="1">
      <alignment horizontal="center" vertical="center"/>
    </xf>
    <xf numFmtId="0" fontId="10" fillId="0" borderId="0" xfId="0" applyFont="1" applyBorder="1" applyAlignment="1">
      <alignment horizontal="center" vertical="center"/>
    </xf>
    <xf numFmtId="0" fontId="10" fillId="0" borderId="1" xfId="0" applyFont="1" applyFill="1" applyBorder="1" applyAlignment="1">
      <alignment horizontal="left" vertical="center" wrapText="1"/>
    </xf>
    <xf numFmtId="0" fontId="11" fillId="3" borderId="1" xfId="0" applyFont="1" applyFill="1" applyBorder="1" applyAlignment="1">
      <alignment horizontal="left" vertical="top" wrapText="1"/>
    </xf>
    <xf numFmtId="0" fontId="12" fillId="0" borderId="0" xfId="0" applyFont="1" applyAlignment="1">
      <alignment vertical="center"/>
    </xf>
    <xf numFmtId="0" fontId="10" fillId="0" borderId="0" xfId="0" applyFont="1" applyAlignment="1">
      <alignment vertical="center" wrapText="1"/>
    </xf>
    <xf numFmtId="0" fontId="0" fillId="0" borderId="1" xfId="0" applyFont="1" applyBorder="1" applyAlignment="1">
      <alignment horizontal="center" vertical="center"/>
    </xf>
    <xf numFmtId="2" fontId="10" fillId="4" borderId="1" xfId="0" applyNumberFormat="1" applyFont="1" applyFill="1" applyBorder="1" applyAlignment="1">
      <alignment horizontal="center" vertical="center"/>
    </xf>
    <xf numFmtId="0" fontId="0" fillId="0" borderId="1" xfId="0" applyFont="1" applyFill="1" applyBorder="1" applyAlignment="1">
      <alignment horizontal="center" vertical="center"/>
    </xf>
    <xf numFmtId="0" fontId="10" fillId="0" borderId="1" xfId="0" applyFont="1" applyFill="1" applyBorder="1" applyAlignment="1">
      <alignment horizontal="center" vertical="center"/>
    </xf>
    <xf numFmtId="0" fontId="11" fillId="0" borderId="1" xfId="0" applyFont="1" applyBorder="1" applyAlignment="1">
      <alignment horizontal="left" vertical="top" wrapText="1"/>
    </xf>
    <xf numFmtId="0" fontId="11" fillId="0" borderId="0" xfId="0" applyFont="1" applyBorder="1" applyAlignment="1">
      <alignment horizontal="left" vertical="top" wrapText="1"/>
    </xf>
    <xf numFmtId="2" fontId="10" fillId="0" borderId="1" xfId="0" applyNumberFormat="1" applyFont="1" applyFill="1" applyBorder="1" applyAlignment="1">
      <alignment horizontal="center" vertical="center"/>
    </xf>
    <xf numFmtId="0" fontId="1" fillId="0" borderId="1" xfId="1" applyFont="1" applyBorder="1" applyAlignment="1">
      <alignment horizontal="center" vertical="center"/>
    </xf>
    <xf numFmtId="0" fontId="10" fillId="0" borderId="1" xfId="0" applyFont="1" applyFill="1" applyBorder="1" applyAlignment="1">
      <alignment horizontal="center" vertical="center" wrapText="1"/>
    </xf>
    <xf numFmtId="0" fontId="10" fillId="0" borderId="0" xfId="0" applyFont="1" applyFill="1" applyAlignment="1">
      <alignment vertical="center"/>
    </xf>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 fillId="0" borderId="0" xfId="1" applyFont="1" applyFill="1" applyBorder="1" applyAlignment="1">
      <alignment horizontal="center" vertical="center"/>
    </xf>
    <xf numFmtId="0" fontId="10" fillId="13" borderId="1" xfId="0" applyFont="1" applyFill="1" applyBorder="1" applyAlignment="1">
      <alignment horizontal="left" vertical="center" wrapText="1"/>
    </xf>
    <xf numFmtId="0" fontId="10" fillId="13" borderId="1" xfId="0" applyFont="1" applyFill="1" applyBorder="1" applyAlignment="1">
      <alignment horizontal="center" vertical="center" wrapText="1"/>
    </xf>
    <xf numFmtId="0" fontId="10" fillId="13" borderId="1" xfId="0" applyFont="1" applyFill="1" applyBorder="1" applyAlignment="1">
      <alignment horizontal="center" vertical="center"/>
    </xf>
    <xf numFmtId="2" fontId="10" fillId="13" borderId="1" xfId="0" applyNumberFormat="1" applyFont="1" applyFill="1" applyBorder="1" applyAlignment="1">
      <alignment horizontal="center" vertical="center"/>
    </xf>
    <xf numFmtId="0" fontId="10" fillId="13" borderId="0" xfId="0" applyFont="1" applyFill="1" applyAlignment="1">
      <alignment vertical="center"/>
    </xf>
    <xf numFmtId="0" fontId="0" fillId="0" borderId="1" xfId="0" applyFont="1" applyBorder="1" applyAlignment="1">
      <alignment horizontal="left" vertical="center" wrapText="1"/>
    </xf>
    <xf numFmtId="0" fontId="0" fillId="13" borderId="1" xfId="0" applyFont="1" applyFill="1" applyBorder="1" applyAlignment="1">
      <alignment horizontal="center" vertical="center"/>
    </xf>
    <xf numFmtId="0" fontId="0" fillId="0" borderId="1" xfId="0" applyFont="1" applyFill="1" applyBorder="1" applyAlignment="1">
      <alignment horizontal="left" vertical="center" wrapText="1"/>
    </xf>
    <xf numFmtId="0" fontId="11" fillId="13" borderId="1" xfId="0" applyFont="1" applyFill="1" applyBorder="1" applyAlignment="1">
      <alignment horizontal="center" vertical="center"/>
    </xf>
    <xf numFmtId="0" fontId="12" fillId="13" borderId="1" xfId="0" applyFont="1" applyFill="1" applyBorder="1" applyAlignment="1">
      <alignment horizontal="center" vertical="center"/>
    </xf>
    <xf numFmtId="0" fontId="11" fillId="13" borderId="0" xfId="0" applyFont="1" applyFill="1" applyBorder="1" applyAlignment="1">
      <alignment horizontal="left" vertical="top" wrapText="1"/>
    </xf>
    <xf numFmtId="49" fontId="10" fillId="0" borderId="0" xfId="0" applyNumberFormat="1" applyFont="1" applyBorder="1" applyAlignment="1">
      <alignment vertical="center" wrapText="1"/>
    </xf>
    <xf numFmtId="49" fontId="10" fillId="13" borderId="0" xfId="0" applyNumberFormat="1" applyFont="1" applyFill="1" applyBorder="1" applyAlignment="1">
      <alignment vertical="center" wrapText="1"/>
    </xf>
    <xf numFmtId="49" fontId="10" fillId="0" borderId="0" xfId="0" applyNumberFormat="1" applyFont="1" applyFill="1" applyBorder="1" applyAlignment="1">
      <alignment vertical="center" wrapText="1"/>
    </xf>
    <xf numFmtId="49" fontId="1" fillId="0" borderId="0" xfId="1" applyNumberFormat="1" applyFont="1" applyFill="1" applyBorder="1" applyAlignment="1">
      <alignment vertical="center" wrapText="1"/>
    </xf>
    <xf numFmtId="49" fontId="1" fillId="0" borderId="0" xfId="1" applyNumberFormat="1" applyFont="1" applyFill="1" applyBorder="1" applyAlignment="1">
      <alignment horizontal="center" vertical="center" wrapText="1"/>
    </xf>
    <xf numFmtId="0" fontId="10" fillId="13" borderId="0" xfId="0" applyFont="1" applyFill="1" applyAlignment="1">
      <alignment vertical="center" wrapText="1"/>
    </xf>
    <xf numFmtId="0" fontId="10" fillId="0" borderId="0" xfId="0" applyFont="1" applyFill="1" applyBorder="1" applyAlignment="1">
      <alignment vertical="center" wrapText="1"/>
    </xf>
    <xf numFmtId="0" fontId="10" fillId="13" borderId="0" xfId="0" applyFont="1" applyFill="1" applyBorder="1" applyAlignment="1">
      <alignment horizontal="center" vertical="center"/>
    </xf>
    <xf numFmtId="0" fontId="0" fillId="0" borderId="1" xfId="0" applyFont="1" applyBorder="1" applyAlignment="1">
      <alignment horizontal="center" vertical="center" wrapText="1"/>
    </xf>
    <xf numFmtId="0" fontId="11" fillId="4" borderId="2" xfId="0" applyFont="1" applyFill="1" applyBorder="1" applyAlignment="1">
      <alignment horizontal="left" vertical="top" wrapText="1"/>
    </xf>
    <xf numFmtId="2" fontId="11" fillId="0" borderId="1" xfId="0" applyNumberFormat="1" applyFont="1" applyFill="1" applyBorder="1" applyAlignment="1">
      <alignment horizontal="center" vertical="center"/>
    </xf>
    <xf numFmtId="0" fontId="10" fillId="0" borderId="0" xfId="0" applyFont="1" applyFill="1" applyBorder="1" applyAlignment="1">
      <alignment horizontal="center" vertical="center" wrapText="1"/>
    </xf>
    <xf numFmtId="0" fontId="10" fillId="0" borderId="0" xfId="0" applyFont="1" applyFill="1" applyBorder="1" applyAlignment="1">
      <alignment horizontal="left"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left" vertical="center" wrapText="1"/>
    </xf>
    <xf numFmtId="2" fontId="10" fillId="0" borderId="0" xfId="0" applyNumberFormat="1" applyFont="1" applyFill="1" applyBorder="1" applyAlignment="1">
      <alignment horizontal="center" vertical="center"/>
    </xf>
    <xf numFmtId="0" fontId="0" fillId="0" borderId="0" xfId="0" applyFont="1" applyFill="1" applyBorder="1" applyAlignment="1">
      <alignment horizontal="center" vertical="center" wrapText="1"/>
    </xf>
    <xf numFmtId="49" fontId="10" fillId="0" borderId="0" xfId="0" applyNumberFormat="1" applyFont="1" applyFill="1" applyAlignment="1">
      <alignment vertical="center" wrapText="1"/>
    </xf>
    <xf numFmtId="0" fontId="10" fillId="13" borderId="0" xfId="0" applyFont="1" applyFill="1" applyBorder="1" applyAlignment="1">
      <alignment vertical="center" wrapText="1"/>
    </xf>
    <xf numFmtId="0" fontId="11" fillId="0" borderId="0" xfId="0" applyFont="1" applyFill="1" applyBorder="1" applyAlignment="1">
      <alignment horizontal="left" vertical="top" wrapText="1"/>
    </xf>
    <xf numFmtId="0" fontId="0" fillId="3" borderId="1" xfId="0" applyFont="1" applyFill="1" applyBorder="1" applyAlignment="1">
      <alignment horizontal="center" vertical="center"/>
    </xf>
    <xf numFmtId="0" fontId="11" fillId="3" borderId="2" xfId="0" applyFont="1" applyFill="1" applyBorder="1" applyAlignment="1">
      <alignment horizontal="left" vertical="top" wrapText="1"/>
    </xf>
    <xf numFmtId="0" fontId="10" fillId="13" borderId="1" xfId="0" applyFont="1" applyFill="1" applyBorder="1" applyAlignment="1">
      <alignment vertical="center" wrapText="1"/>
    </xf>
    <xf numFmtId="0" fontId="11" fillId="0" borderId="1" xfId="0" applyFont="1" applyBorder="1" applyAlignment="1">
      <alignment vertical="top" wrapText="1"/>
    </xf>
    <xf numFmtId="0" fontId="11" fillId="13" borderId="1" xfId="0" applyFont="1" applyFill="1" applyBorder="1" applyAlignment="1">
      <alignment horizontal="left" vertical="top" wrapText="1"/>
    </xf>
    <xf numFmtId="0" fontId="11" fillId="4" borderId="1" xfId="0" applyFont="1" applyFill="1" applyBorder="1" applyAlignment="1">
      <alignment vertical="top" wrapText="1"/>
    </xf>
    <xf numFmtId="0" fontId="9" fillId="7" borderId="1" xfId="0" applyFont="1" applyFill="1" applyBorder="1" applyAlignment="1">
      <alignment horizontal="left" vertical="center" wrapText="1"/>
    </xf>
    <xf numFmtId="0" fontId="11" fillId="0" borderId="2" xfId="0" applyFont="1" applyBorder="1" applyAlignment="1">
      <alignment horizontal="left" vertical="top" wrapText="1"/>
    </xf>
    <xf numFmtId="0" fontId="11" fillId="0" borderId="1" xfId="0" applyFont="1" applyFill="1" applyBorder="1" applyAlignment="1">
      <alignment horizontal="left" vertical="top" wrapText="1"/>
    </xf>
    <xf numFmtId="0" fontId="15" fillId="0" borderId="1" xfId="0" applyFont="1" applyFill="1" applyBorder="1" applyAlignment="1">
      <alignment vertical="top" wrapText="1"/>
    </xf>
    <xf numFmtId="0" fontId="11" fillId="4" borderId="1" xfId="0" applyFont="1" applyFill="1" applyBorder="1" applyAlignment="1">
      <alignment horizontal="left" vertical="top" wrapText="1"/>
    </xf>
    <xf numFmtId="0" fontId="11" fillId="0" borderId="2" xfId="0" applyFont="1" applyFill="1" applyBorder="1" applyAlignment="1">
      <alignment horizontal="left" vertical="top" wrapText="1"/>
    </xf>
    <xf numFmtId="0" fontId="11" fillId="4" borderId="0" xfId="0" applyFont="1" applyFill="1" applyBorder="1" applyAlignment="1">
      <alignment horizontal="left" vertical="top" wrapText="1"/>
    </xf>
    <xf numFmtId="0" fontId="11" fillId="0" borderId="0" xfId="0" applyFont="1" applyBorder="1" applyAlignment="1">
      <alignment vertical="top" wrapText="1"/>
    </xf>
    <xf numFmtId="0" fontId="9" fillId="0" borderId="1" xfId="0" applyFont="1" applyBorder="1" applyAlignment="1">
      <alignment horizontal="left" vertical="top" wrapText="1"/>
    </xf>
    <xf numFmtId="0" fontId="11" fillId="12" borderId="0" xfId="0" applyFont="1" applyFill="1" applyBorder="1" applyAlignment="1">
      <alignment horizontal="left" vertical="top" wrapText="1"/>
    </xf>
    <xf numFmtId="0" fontId="9" fillId="0" borderId="0" xfId="0" applyFont="1" applyFill="1" applyBorder="1" applyAlignment="1">
      <alignment horizontal="justify" vertical="top" wrapText="1"/>
    </xf>
    <xf numFmtId="0" fontId="11" fillId="0" borderId="0" xfId="0" applyFont="1" applyFill="1" applyAlignment="1">
      <alignment horizontal="left" vertical="top" wrapText="1"/>
    </xf>
    <xf numFmtId="0" fontId="11" fillId="0" borderId="0" xfId="0" applyFont="1" applyAlignment="1">
      <alignment vertical="top" wrapText="1"/>
    </xf>
    <xf numFmtId="0" fontId="11" fillId="0" borderId="0" xfId="0" applyFont="1" applyAlignment="1">
      <alignment horizontal="left" vertical="top" wrapText="1"/>
    </xf>
    <xf numFmtId="0" fontId="10" fillId="13" borderId="2" xfId="0" applyFont="1" applyFill="1" applyBorder="1" applyAlignment="1">
      <alignment horizontal="left" vertical="center" wrapText="1"/>
    </xf>
    <xf numFmtId="0" fontId="10" fillId="13" borderId="2" xfId="0" applyFont="1" applyFill="1" applyBorder="1" applyAlignment="1">
      <alignment horizontal="center" vertical="center"/>
    </xf>
    <xf numFmtId="0" fontId="10" fillId="13" borderId="2" xfId="0" applyFont="1" applyFill="1" applyBorder="1" applyAlignment="1">
      <alignment horizontal="center" vertical="center" wrapText="1"/>
    </xf>
    <xf numFmtId="0" fontId="11" fillId="13" borderId="2" xfId="0" applyFont="1" applyFill="1" applyBorder="1" applyAlignment="1">
      <alignment horizontal="left" vertical="top" wrapText="1"/>
    </xf>
    <xf numFmtId="49" fontId="1" fillId="13" borderId="0" xfId="1" applyNumberFormat="1" applyFont="1" applyFill="1" applyBorder="1" applyAlignment="1">
      <alignment vertical="center" wrapText="1"/>
    </xf>
    <xf numFmtId="0" fontId="11" fillId="13" borderId="1" xfId="0" applyFont="1" applyFill="1" applyBorder="1" applyAlignment="1">
      <alignment vertical="top" wrapText="1"/>
    </xf>
    <xf numFmtId="0" fontId="10" fillId="13" borderId="3" xfId="0" applyFont="1" applyFill="1" applyBorder="1" applyAlignment="1">
      <alignment horizontal="center" vertical="center"/>
    </xf>
    <xf numFmtId="49" fontId="1" fillId="0" borderId="0" xfId="1" applyNumberFormat="1" applyFont="1" applyFill="1" applyBorder="1" applyAlignment="1">
      <alignment horizontal="left" vertical="center" wrapText="1"/>
    </xf>
    <xf numFmtId="49" fontId="1" fillId="0" borderId="1" xfId="1" applyNumberFormat="1" applyFont="1" applyFill="1" applyBorder="1" applyAlignment="1">
      <alignment vertical="center" wrapText="1"/>
    </xf>
    <xf numFmtId="0" fontId="12" fillId="0" borderId="0" xfId="0" applyFont="1" applyFill="1" applyAlignment="1">
      <alignment horizontal="center" vertical="center"/>
    </xf>
    <xf numFmtId="2" fontId="0" fillId="0" borderId="1" xfId="0" applyNumberFormat="1" applyFont="1" applyFill="1" applyBorder="1" applyAlignment="1">
      <alignment horizontal="center" vertical="center"/>
    </xf>
    <xf numFmtId="0" fontId="0" fillId="0" borderId="1" xfId="0" applyFont="1" applyFill="1" applyBorder="1" applyAlignment="1">
      <alignment vertical="center" wrapText="1"/>
    </xf>
    <xf numFmtId="0" fontId="10" fillId="4" borderId="0" xfId="0" applyFont="1" applyFill="1" applyAlignment="1">
      <alignment horizontal="center" vertical="center"/>
    </xf>
    <xf numFmtId="0" fontId="0" fillId="12" borderId="0" xfId="0" applyFont="1" applyFill="1" applyBorder="1" applyAlignment="1">
      <alignment horizontal="center" vertical="center"/>
    </xf>
  </cellXfs>
  <cellStyles count="3">
    <cellStyle name="Hyperlink" xfId="1" builtinId="8"/>
    <cellStyle name="Normal" xfId="0" builtinId="0"/>
    <cellStyle name="Normal 2 2" xfId="2"/>
  </cellStyles>
  <dxfs count="28">
    <dxf>
      <alignment horizontal="general" vertical="center" textRotation="0" wrapText="0" indent="0" justifyLastLine="0" shrinkToFit="0" readingOrder="0"/>
    </dxf>
    <dxf>
      <alignment horizontal="general" vertical="center" textRotation="0" wrapText="1" indent="0" justifyLastLine="0" shrinkToFit="0" readingOrder="0"/>
    </dxf>
    <dxf>
      <numFmt numFmtId="30" formatCode="@"/>
      <alignment horizontal="general"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minor"/>
      </font>
      <alignment horizontal="left" vertical="top"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4" Type="http://schemas.openxmlformats.org/officeDocument/2006/relationships/image" Target="../media/image4.emf"/><Relationship Id="rId1" Type="http://schemas.openxmlformats.org/officeDocument/2006/relationships/image" Target="../media/image1.jpeg"/><Relationship Id="rId2"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152400</xdr:rowOff>
    </xdr:from>
    <xdr:to>
      <xdr:col>3</xdr:col>
      <xdr:colOff>165100</xdr:colOff>
      <xdr:row>8</xdr:row>
      <xdr:rowOff>114300</xdr:rowOff>
    </xdr:to>
    <xdr:sp macro="" textlink="">
      <xdr:nvSpPr>
        <xdr:cNvPr id="7169" name="Control 1" hidden="1">
          <a:extLst>
            <a:ext uri="{63B3BB69-23CF-44E3-9099-C40C66FF867C}">
              <a14:compatExt xmlns:a14="http://schemas.microsoft.com/office/drawing/2010/main" spid="_x0000_s7169"/>
            </a:ext>
            <a:ext uri="{FF2B5EF4-FFF2-40B4-BE49-F238E27FC236}">
              <a16:creationId xmlns:a16="http://schemas.microsoft.com/office/drawing/2014/main" xmlns="" id="{00000000-0008-0000-0600-0000011C0000}"/>
            </a:ext>
          </a:extLst>
        </xdr:cNvPr>
        <xdr:cNvSpPr/>
      </xdr:nvSpPr>
      <xdr:spPr>
        <a:xfrm>
          <a:off x="0" y="0"/>
          <a:ext cx="0" cy="0"/>
        </a:xfrm>
        <a:prstGeom prst="rect">
          <a:avLst/>
        </a:prstGeom>
      </xdr:spPr>
    </xdr:sp>
    <xdr:clientData/>
  </xdr:twoCellAnchor>
  <xdr:twoCellAnchor editAs="oneCell">
    <xdr:from>
      <xdr:col>4</xdr:col>
      <xdr:colOff>0</xdr:colOff>
      <xdr:row>4</xdr:row>
      <xdr:rowOff>0</xdr:rowOff>
    </xdr:from>
    <xdr:to>
      <xdr:col>4</xdr:col>
      <xdr:colOff>152400</xdr:colOff>
      <xdr:row>4</xdr:row>
      <xdr:rowOff>152400</xdr:rowOff>
    </xdr:to>
    <xdr:pic>
      <xdr:nvPicPr>
        <xdr:cNvPr id="3" name="Picture 2" descr="Documents icon">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127000</xdr:rowOff>
    </xdr:from>
    <xdr:to>
      <xdr:col>3</xdr:col>
      <xdr:colOff>165100</xdr:colOff>
      <xdr:row>15</xdr:row>
      <xdr:rowOff>101600</xdr:rowOff>
    </xdr:to>
    <xdr:sp macro="" textlink="">
      <xdr:nvSpPr>
        <xdr:cNvPr id="7171" name="Control 3" hidden="1">
          <a:extLst>
            <a:ext uri="{63B3BB69-23CF-44E3-9099-C40C66FF867C}">
              <a14:compatExt xmlns:a14="http://schemas.microsoft.com/office/drawing/2010/main" spid="_x0000_s7171"/>
            </a:ext>
            <a:ext uri="{FF2B5EF4-FFF2-40B4-BE49-F238E27FC236}">
              <a16:creationId xmlns:a16="http://schemas.microsoft.com/office/drawing/2014/main" xmlns="" id="{00000000-0008-0000-0600-0000031C0000}"/>
            </a:ext>
          </a:extLst>
        </xdr:cNvPr>
        <xdr:cNvSpPr/>
      </xdr:nvSpPr>
      <xdr:spPr>
        <a:xfrm>
          <a:off x="0" y="0"/>
          <a:ext cx="0" cy="0"/>
        </a:xfrm>
        <a:prstGeom prst="rect">
          <a:avLst/>
        </a:prstGeom>
      </xdr:spPr>
    </xdr:sp>
    <xdr:clientData/>
  </xdr:twoCellAnchor>
  <xdr:twoCellAnchor editAs="oneCell">
    <xdr:from>
      <xdr:col>4</xdr:col>
      <xdr:colOff>0</xdr:colOff>
      <xdr:row>7</xdr:row>
      <xdr:rowOff>0</xdr:rowOff>
    </xdr:from>
    <xdr:to>
      <xdr:col>4</xdr:col>
      <xdr:colOff>152400</xdr:colOff>
      <xdr:row>7</xdr:row>
      <xdr:rowOff>152400</xdr:rowOff>
    </xdr:to>
    <xdr:pic>
      <xdr:nvPicPr>
        <xdr:cNvPr id="5" name="Picture 4" descr="Documents icon">
          <a:extLst>
            <a:ext uri="{FF2B5EF4-FFF2-40B4-BE49-F238E27FC236}">
              <a16:creationId xmlns:a16="http://schemas.microsoft.com/office/drawing/2014/main" xmlns=""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48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76200</xdr:rowOff>
    </xdr:from>
    <xdr:to>
      <xdr:col>3</xdr:col>
      <xdr:colOff>165100</xdr:colOff>
      <xdr:row>22</xdr:row>
      <xdr:rowOff>50800</xdr:rowOff>
    </xdr:to>
    <xdr:sp macro="" textlink="">
      <xdr:nvSpPr>
        <xdr:cNvPr id="7173" name="Control 5" hidden="1">
          <a:extLst>
            <a:ext uri="{63B3BB69-23CF-44E3-9099-C40C66FF867C}">
              <a14:compatExt xmlns:a14="http://schemas.microsoft.com/office/drawing/2010/main" spid="_x0000_s7173"/>
            </a:ext>
            <a:ext uri="{FF2B5EF4-FFF2-40B4-BE49-F238E27FC236}">
              <a16:creationId xmlns:a16="http://schemas.microsoft.com/office/drawing/2014/main" xmlns="" id="{00000000-0008-0000-0600-0000051C0000}"/>
            </a:ext>
          </a:extLst>
        </xdr:cNvPr>
        <xdr:cNvSpPr/>
      </xdr:nvSpPr>
      <xdr:spPr>
        <a:xfrm>
          <a:off x="0" y="0"/>
          <a:ext cx="0" cy="0"/>
        </a:xfrm>
        <a:prstGeom prst="rect">
          <a:avLst/>
        </a:prstGeom>
      </xdr:spPr>
    </xdr:sp>
    <xdr:clientData/>
  </xdr:twoCellAnchor>
  <xdr:twoCellAnchor editAs="oneCell">
    <xdr:from>
      <xdr:col>4</xdr:col>
      <xdr:colOff>0</xdr:colOff>
      <xdr:row>10</xdr:row>
      <xdr:rowOff>0</xdr:rowOff>
    </xdr:from>
    <xdr:to>
      <xdr:col>4</xdr:col>
      <xdr:colOff>152400</xdr:colOff>
      <xdr:row>10</xdr:row>
      <xdr:rowOff>152400</xdr:rowOff>
    </xdr:to>
    <xdr:pic>
      <xdr:nvPicPr>
        <xdr:cNvPr id="7" name="Picture 6" descr="Documents icon">
          <a:extLst>
            <a:ext uri="{FF2B5EF4-FFF2-40B4-BE49-F238E27FC236}">
              <a16:creationId xmlns:a16="http://schemas.microsoft.com/office/drawing/2014/main" xmlns="" id="{00000000-0008-0000-0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43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38100</xdr:rowOff>
    </xdr:from>
    <xdr:to>
      <xdr:col>3</xdr:col>
      <xdr:colOff>165100</xdr:colOff>
      <xdr:row>29</xdr:row>
      <xdr:rowOff>0</xdr:rowOff>
    </xdr:to>
    <xdr:sp macro="" textlink="">
      <xdr:nvSpPr>
        <xdr:cNvPr id="7175" name="Control 7" hidden="1">
          <a:extLst>
            <a:ext uri="{63B3BB69-23CF-44E3-9099-C40C66FF867C}">
              <a14:compatExt xmlns:a14="http://schemas.microsoft.com/office/drawing/2010/main" spid="_x0000_s7175"/>
            </a:ext>
            <a:ext uri="{FF2B5EF4-FFF2-40B4-BE49-F238E27FC236}">
              <a16:creationId xmlns:a16="http://schemas.microsoft.com/office/drawing/2014/main" xmlns="" id="{00000000-0008-0000-0600-0000071C0000}"/>
            </a:ext>
          </a:extLst>
        </xdr:cNvPr>
        <xdr:cNvSpPr/>
      </xdr:nvSpPr>
      <xdr:spPr>
        <a:xfrm>
          <a:off x="0" y="0"/>
          <a:ext cx="0" cy="0"/>
        </a:xfrm>
        <a:prstGeom prst="rect">
          <a:avLst/>
        </a:prstGeom>
      </xdr:spPr>
    </xdr:sp>
    <xdr:clientData/>
  </xdr:twoCellAnchor>
  <xdr:twoCellAnchor editAs="oneCell">
    <xdr:from>
      <xdr:col>4</xdr:col>
      <xdr:colOff>0</xdr:colOff>
      <xdr:row>13</xdr:row>
      <xdr:rowOff>0</xdr:rowOff>
    </xdr:from>
    <xdr:to>
      <xdr:col>4</xdr:col>
      <xdr:colOff>152400</xdr:colOff>
      <xdr:row>13</xdr:row>
      <xdr:rowOff>152400</xdr:rowOff>
    </xdr:to>
    <xdr:pic>
      <xdr:nvPicPr>
        <xdr:cNvPr id="9" name="Picture 8" descr="Documents icon">
          <a:extLst>
            <a:ext uri="{FF2B5EF4-FFF2-40B4-BE49-F238E27FC236}">
              <a16:creationId xmlns:a16="http://schemas.microsoft.com/office/drawing/2014/main" xmlns="" id="{00000000-0008-0000-0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139700</xdr:rowOff>
    </xdr:from>
    <xdr:to>
      <xdr:col>3</xdr:col>
      <xdr:colOff>165100</xdr:colOff>
      <xdr:row>35</xdr:row>
      <xdr:rowOff>101600</xdr:rowOff>
    </xdr:to>
    <xdr:sp macro="" textlink="">
      <xdr:nvSpPr>
        <xdr:cNvPr id="7177" name="Control 9" hidden="1">
          <a:extLst>
            <a:ext uri="{63B3BB69-23CF-44E3-9099-C40C66FF867C}">
              <a14:compatExt xmlns:a14="http://schemas.microsoft.com/office/drawing/2010/main" spid="_x0000_s7177"/>
            </a:ext>
            <a:ext uri="{FF2B5EF4-FFF2-40B4-BE49-F238E27FC236}">
              <a16:creationId xmlns:a16="http://schemas.microsoft.com/office/drawing/2014/main" xmlns="" id="{00000000-0008-0000-0600-0000091C0000}"/>
            </a:ext>
          </a:extLst>
        </xdr:cNvPr>
        <xdr:cNvSpPr/>
      </xdr:nvSpPr>
      <xdr:spPr>
        <a:xfrm>
          <a:off x="0" y="0"/>
          <a:ext cx="0" cy="0"/>
        </a:xfrm>
        <a:prstGeom prst="rect">
          <a:avLst/>
        </a:prstGeom>
      </xdr:spPr>
    </xdr:sp>
    <xdr:clientData/>
  </xdr:twoCellAnchor>
  <xdr:twoCellAnchor editAs="oneCell">
    <xdr:from>
      <xdr:col>4</xdr:col>
      <xdr:colOff>0</xdr:colOff>
      <xdr:row>16</xdr:row>
      <xdr:rowOff>0</xdr:rowOff>
    </xdr:from>
    <xdr:to>
      <xdr:col>4</xdr:col>
      <xdr:colOff>152400</xdr:colOff>
      <xdr:row>16</xdr:row>
      <xdr:rowOff>152400</xdr:rowOff>
    </xdr:to>
    <xdr:pic>
      <xdr:nvPicPr>
        <xdr:cNvPr id="11" name="Picture 10" descr="Documents icon">
          <a:extLst>
            <a:ext uri="{FF2B5EF4-FFF2-40B4-BE49-F238E27FC236}">
              <a16:creationId xmlns:a16="http://schemas.microsoft.com/office/drawing/2014/main" xmlns="" id="{00000000-0008-0000-0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76200</xdr:rowOff>
    </xdr:from>
    <xdr:to>
      <xdr:col>3</xdr:col>
      <xdr:colOff>165100</xdr:colOff>
      <xdr:row>42</xdr:row>
      <xdr:rowOff>38100</xdr:rowOff>
    </xdr:to>
    <xdr:sp macro="" textlink="">
      <xdr:nvSpPr>
        <xdr:cNvPr id="7179" name="Control 11" hidden="1">
          <a:extLst>
            <a:ext uri="{63B3BB69-23CF-44E3-9099-C40C66FF867C}">
              <a14:compatExt xmlns:a14="http://schemas.microsoft.com/office/drawing/2010/main" spid="_x0000_s7179"/>
            </a:ext>
            <a:ext uri="{FF2B5EF4-FFF2-40B4-BE49-F238E27FC236}">
              <a16:creationId xmlns:a16="http://schemas.microsoft.com/office/drawing/2014/main" xmlns="" id="{00000000-0008-0000-0600-00000B1C0000}"/>
            </a:ext>
          </a:extLst>
        </xdr:cNvPr>
        <xdr:cNvSpPr/>
      </xdr:nvSpPr>
      <xdr:spPr>
        <a:xfrm>
          <a:off x="0" y="0"/>
          <a:ext cx="0" cy="0"/>
        </a:xfrm>
        <a:prstGeom prst="rect">
          <a:avLst/>
        </a:prstGeom>
      </xdr:spPr>
    </xdr:sp>
    <xdr:clientData/>
  </xdr:twoCellAnchor>
  <xdr:twoCellAnchor editAs="oneCell">
    <xdr:from>
      <xdr:col>4</xdr:col>
      <xdr:colOff>0</xdr:colOff>
      <xdr:row>19</xdr:row>
      <xdr:rowOff>0</xdr:rowOff>
    </xdr:from>
    <xdr:to>
      <xdr:col>4</xdr:col>
      <xdr:colOff>152400</xdr:colOff>
      <xdr:row>19</xdr:row>
      <xdr:rowOff>152400</xdr:rowOff>
    </xdr:to>
    <xdr:pic>
      <xdr:nvPicPr>
        <xdr:cNvPr id="13" name="Picture 12" descr="Documents icon">
          <a:extLst>
            <a:ext uri="{FF2B5EF4-FFF2-40B4-BE49-F238E27FC236}">
              <a16:creationId xmlns:a16="http://schemas.microsoft.com/office/drawing/2014/main" xmlns="" id="{00000000-0008-0000-0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54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50800</xdr:rowOff>
    </xdr:from>
    <xdr:to>
      <xdr:col>3</xdr:col>
      <xdr:colOff>165100</xdr:colOff>
      <xdr:row>49</xdr:row>
      <xdr:rowOff>25400</xdr:rowOff>
    </xdr:to>
    <xdr:sp macro="" textlink="">
      <xdr:nvSpPr>
        <xdr:cNvPr id="7181" name="Control 13" hidden="1">
          <a:extLst>
            <a:ext uri="{63B3BB69-23CF-44E3-9099-C40C66FF867C}">
              <a14:compatExt xmlns:a14="http://schemas.microsoft.com/office/drawing/2010/main" spid="_x0000_s7181"/>
            </a:ext>
            <a:ext uri="{FF2B5EF4-FFF2-40B4-BE49-F238E27FC236}">
              <a16:creationId xmlns:a16="http://schemas.microsoft.com/office/drawing/2014/main" xmlns="" id="{00000000-0008-0000-0600-00000D1C0000}"/>
            </a:ext>
          </a:extLst>
        </xdr:cNvPr>
        <xdr:cNvSpPr/>
      </xdr:nvSpPr>
      <xdr:spPr>
        <a:xfrm>
          <a:off x="0" y="0"/>
          <a:ext cx="0" cy="0"/>
        </a:xfrm>
        <a:prstGeom prst="rect">
          <a:avLst/>
        </a:prstGeom>
      </xdr:spPr>
    </xdr:sp>
    <xdr:clientData/>
  </xdr:twoCellAnchor>
  <xdr:twoCellAnchor editAs="oneCell">
    <xdr:from>
      <xdr:col>4</xdr:col>
      <xdr:colOff>0</xdr:colOff>
      <xdr:row>22</xdr:row>
      <xdr:rowOff>0</xdr:rowOff>
    </xdr:from>
    <xdr:to>
      <xdr:col>4</xdr:col>
      <xdr:colOff>152400</xdr:colOff>
      <xdr:row>22</xdr:row>
      <xdr:rowOff>152400</xdr:rowOff>
    </xdr:to>
    <xdr:pic>
      <xdr:nvPicPr>
        <xdr:cNvPr id="15" name="Picture 14" descr="Documents icon">
          <a:extLst>
            <a:ext uri="{FF2B5EF4-FFF2-40B4-BE49-F238E27FC236}">
              <a16:creationId xmlns:a16="http://schemas.microsoft.com/office/drawing/2014/main" xmlns="" id="{00000000-0008-0000-0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59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139700</xdr:rowOff>
    </xdr:from>
    <xdr:to>
      <xdr:col>3</xdr:col>
      <xdr:colOff>165100</xdr:colOff>
      <xdr:row>55</xdr:row>
      <xdr:rowOff>101600</xdr:rowOff>
    </xdr:to>
    <xdr:sp macro="" textlink="">
      <xdr:nvSpPr>
        <xdr:cNvPr id="7183" name="Control 15" hidden="1">
          <a:extLst>
            <a:ext uri="{63B3BB69-23CF-44E3-9099-C40C66FF867C}">
              <a14:compatExt xmlns:a14="http://schemas.microsoft.com/office/drawing/2010/main" spid="_x0000_s7183"/>
            </a:ext>
            <a:ext uri="{FF2B5EF4-FFF2-40B4-BE49-F238E27FC236}">
              <a16:creationId xmlns:a16="http://schemas.microsoft.com/office/drawing/2014/main" xmlns="" id="{00000000-0008-0000-0600-00000F1C0000}"/>
            </a:ext>
          </a:extLst>
        </xdr:cNvPr>
        <xdr:cNvSpPr/>
      </xdr:nvSpPr>
      <xdr:spPr>
        <a:xfrm>
          <a:off x="0" y="0"/>
          <a:ext cx="0" cy="0"/>
        </a:xfrm>
        <a:prstGeom prst="rect">
          <a:avLst/>
        </a:prstGeom>
      </xdr:spPr>
    </xdr:sp>
    <xdr:clientData/>
  </xdr:twoCellAnchor>
  <xdr:twoCellAnchor editAs="oneCell">
    <xdr:from>
      <xdr:col>4</xdr:col>
      <xdr:colOff>0</xdr:colOff>
      <xdr:row>25</xdr:row>
      <xdr:rowOff>0</xdr:rowOff>
    </xdr:from>
    <xdr:to>
      <xdr:col>4</xdr:col>
      <xdr:colOff>152400</xdr:colOff>
      <xdr:row>25</xdr:row>
      <xdr:rowOff>152400</xdr:rowOff>
    </xdr:to>
    <xdr:pic>
      <xdr:nvPicPr>
        <xdr:cNvPr id="17" name="Picture 16" descr="Documents icon">
          <a:extLst>
            <a:ext uri="{FF2B5EF4-FFF2-40B4-BE49-F238E27FC236}">
              <a16:creationId xmlns:a16="http://schemas.microsoft.com/office/drawing/2014/main" xmlns="" id="{00000000-0008-0000-0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0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101600</xdr:rowOff>
    </xdr:from>
    <xdr:to>
      <xdr:col>3</xdr:col>
      <xdr:colOff>165100</xdr:colOff>
      <xdr:row>62</xdr:row>
      <xdr:rowOff>63500</xdr:rowOff>
    </xdr:to>
    <xdr:sp macro="" textlink="">
      <xdr:nvSpPr>
        <xdr:cNvPr id="7185" name="Control 17" hidden="1">
          <a:extLst>
            <a:ext uri="{63B3BB69-23CF-44E3-9099-C40C66FF867C}">
              <a14:compatExt xmlns:a14="http://schemas.microsoft.com/office/drawing/2010/main" spid="_x0000_s7185"/>
            </a:ext>
            <a:ext uri="{FF2B5EF4-FFF2-40B4-BE49-F238E27FC236}">
              <a16:creationId xmlns:a16="http://schemas.microsoft.com/office/drawing/2014/main" xmlns="" id="{00000000-0008-0000-0600-0000111C0000}"/>
            </a:ext>
          </a:extLst>
        </xdr:cNvPr>
        <xdr:cNvSpPr/>
      </xdr:nvSpPr>
      <xdr:spPr>
        <a:xfrm>
          <a:off x="0" y="0"/>
          <a:ext cx="0" cy="0"/>
        </a:xfrm>
        <a:prstGeom prst="rect">
          <a:avLst/>
        </a:prstGeom>
      </xdr:spPr>
    </xdr:sp>
    <xdr:clientData/>
  </xdr:twoCellAnchor>
  <xdr:twoCellAnchor editAs="oneCell">
    <xdr:from>
      <xdr:col>4</xdr:col>
      <xdr:colOff>0</xdr:colOff>
      <xdr:row>28</xdr:row>
      <xdr:rowOff>0</xdr:rowOff>
    </xdr:from>
    <xdr:to>
      <xdr:col>4</xdr:col>
      <xdr:colOff>152400</xdr:colOff>
      <xdr:row>28</xdr:row>
      <xdr:rowOff>152400</xdr:rowOff>
    </xdr:to>
    <xdr:pic>
      <xdr:nvPicPr>
        <xdr:cNvPr id="19" name="Picture 18" descr="Documents icon">
          <a:extLst>
            <a:ext uri="{FF2B5EF4-FFF2-40B4-BE49-F238E27FC236}">
              <a16:creationId xmlns:a16="http://schemas.microsoft.com/office/drawing/2014/main" xmlns="" id="{00000000-0008-0000-0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22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63500</xdr:rowOff>
    </xdr:from>
    <xdr:to>
      <xdr:col>3</xdr:col>
      <xdr:colOff>165100</xdr:colOff>
      <xdr:row>69</xdr:row>
      <xdr:rowOff>25400</xdr:rowOff>
    </xdr:to>
    <xdr:sp macro="" textlink="">
      <xdr:nvSpPr>
        <xdr:cNvPr id="7187" name="Control 19" hidden="1">
          <a:extLst>
            <a:ext uri="{63B3BB69-23CF-44E3-9099-C40C66FF867C}">
              <a14:compatExt xmlns:a14="http://schemas.microsoft.com/office/drawing/2010/main" spid="_x0000_s7187"/>
            </a:ext>
            <a:ext uri="{FF2B5EF4-FFF2-40B4-BE49-F238E27FC236}">
              <a16:creationId xmlns:a16="http://schemas.microsoft.com/office/drawing/2014/main" xmlns="" id="{00000000-0008-0000-0600-0000131C0000}"/>
            </a:ext>
          </a:extLst>
        </xdr:cNvPr>
        <xdr:cNvSpPr/>
      </xdr:nvSpPr>
      <xdr:spPr>
        <a:xfrm>
          <a:off x="0" y="0"/>
          <a:ext cx="0" cy="0"/>
        </a:xfrm>
        <a:prstGeom prst="rect">
          <a:avLst/>
        </a:prstGeom>
      </xdr:spPr>
    </xdr:sp>
    <xdr:clientData/>
  </xdr:twoCellAnchor>
  <xdr:twoCellAnchor editAs="oneCell">
    <xdr:from>
      <xdr:col>4</xdr:col>
      <xdr:colOff>0</xdr:colOff>
      <xdr:row>31</xdr:row>
      <xdr:rowOff>0</xdr:rowOff>
    </xdr:from>
    <xdr:to>
      <xdr:col>4</xdr:col>
      <xdr:colOff>152400</xdr:colOff>
      <xdr:row>31</xdr:row>
      <xdr:rowOff>152400</xdr:rowOff>
    </xdr:to>
    <xdr:pic>
      <xdr:nvPicPr>
        <xdr:cNvPr id="21" name="Picture 20" descr="Documents icon">
          <a:extLst>
            <a:ext uri="{FF2B5EF4-FFF2-40B4-BE49-F238E27FC236}">
              <a16:creationId xmlns:a16="http://schemas.microsoft.com/office/drawing/2014/main" xmlns="" id="{00000000-0008-0000-0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7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139700</xdr:rowOff>
    </xdr:from>
    <xdr:to>
      <xdr:col>3</xdr:col>
      <xdr:colOff>165100</xdr:colOff>
      <xdr:row>75</xdr:row>
      <xdr:rowOff>101600</xdr:rowOff>
    </xdr:to>
    <xdr:sp macro="" textlink="">
      <xdr:nvSpPr>
        <xdr:cNvPr id="7189" name="Control 21" hidden="1">
          <a:extLst>
            <a:ext uri="{63B3BB69-23CF-44E3-9099-C40C66FF867C}">
              <a14:compatExt xmlns:a14="http://schemas.microsoft.com/office/drawing/2010/main" spid="_x0000_s7189"/>
            </a:ext>
            <a:ext uri="{FF2B5EF4-FFF2-40B4-BE49-F238E27FC236}">
              <a16:creationId xmlns:a16="http://schemas.microsoft.com/office/drawing/2014/main" xmlns="" id="{00000000-0008-0000-0600-0000151C0000}"/>
            </a:ext>
          </a:extLst>
        </xdr:cNvPr>
        <xdr:cNvSpPr/>
      </xdr:nvSpPr>
      <xdr:spPr>
        <a:xfrm>
          <a:off x="0" y="0"/>
          <a:ext cx="0" cy="0"/>
        </a:xfrm>
        <a:prstGeom prst="rect">
          <a:avLst/>
        </a:prstGeom>
      </xdr:spPr>
    </xdr:sp>
    <xdr:clientData/>
  </xdr:twoCellAnchor>
  <xdr:twoCellAnchor editAs="oneCell">
    <xdr:from>
      <xdr:col>4</xdr:col>
      <xdr:colOff>0</xdr:colOff>
      <xdr:row>34</xdr:row>
      <xdr:rowOff>0</xdr:rowOff>
    </xdr:from>
    <xdr:to>
      <xdr:col>4</xdr:col>
      <xdr:colOff>152400</xdr:colOff>
      <xdr:row>34</xdr:row>
      <xdr:rowOff>152400</xdr:rowOff>
    </xdr:to>
    <xdr:pic>
      <xdr:nvPicPr>
        <xdr:cNvPr id="23" name="Picture 22" descr="Documents icon">
          <a:extLst>
            <a:ext uri="{FF2B5EF4-FFF2-40B4-BE49-F238E27FC236}">
              <a16:creationId xmlns:a16="http://schemas.microsoft.com/office/drawing/2014/main" xmlns="" id="{00000000-0008-0000-0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4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101600</xdr:rowOff>
    </xdr:from>
    <xdr:to>
      <xdr:col>3</xdr:col>
      <xdr:colOff>165100</xdr:colOff>
      <xdr:row>82</xdr:row>
      <xdr:rowOff>63500</xdr:rowOff>
    </xdr:to>
    <xdr:sp macro="" textlink="">
      <xdr:nvSpPr>
        <xdr:cNvPr id="7191" name="Control 23" hidden="1">
          <a:extLst>
            <a:ext uri="{63B3BB69-23CF-44E3-9099-C40C66FF867C}">
              <a14:compatExt xmlns:a14="http://schemas.microsoft.com/office/drawing/2010/main" spid="_x0000_s7191"/>
            </a:ext>
            <a:ext uri="{FF2B5EF4-FFF2-40B4-BE49-F238E27FC236}">
              <a16:creationId xmlns:a16="http://schemas.microsoft.com/office/drawing/2014/main" xmlns="" id="{00000000-0008-0000-0600-0000171C0000}"/>
            </a:ext>
          </a:extLst>
        </xdr:cNvPr>
        <xdr:cNvSpPr/>
      </xdr:nvSpPr>
      <xdr:spPr>
        <a:xfrm>
          <a:off x="0" y="0"/>
          <a:ext cx="0" cy="0"/>
        </a:xfrm>
        <a:prstGeom prst="rect">
          <a:avLst/>
        </a:prstGeom>
      </xdr:spPr>
    </xdr:sp>
    <xdr:clientData/>
  </xdr:twoCellAnchor>
  <xdr:twoCellAnchor editAs="oneCell">
    <xdr:from>
      <xdr:col>4</xdr:col>
      <xdr:colOff>0</xdr:colOff>
      <xdr:row>37</xdr:row>
      <xdr:rowOff>0</xdr:rowOff>
    </xdr:from>
    <xdr:to>
      <xdr:col>4</xdr:col>
      <xdr:colOff>152400</xdr:colOff>
      <xdr:row>37</xdr:row>
      <xdr:rowOff>152400</xdr:rowOff>
    </xdr:to>
    <xdr:pic>
      <xdr:nvPicPr>
        <xdr:cNvPr id="25" name="Picture 24" descr="Documents icon">
          <a:extLst>
            <a:ext uri="{FF2B5EF4-FFF2-40B4-BE49-F238E27FC236}">
              <a16:creationId xmlns:a16="http://schemas.microsoft.com/office/drawing/2014/main" xmlns="" id="{00000000-0008-0000-0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7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165100</xdr:colOff>
      <xdr:row>88</xdr:row>
      <xdr:rowOff>152400</xdr:rowOff>
    </xdr:to>
    <xdr:sp macro="" textlink="">
      <xdr:nvSpPr>
        <xdr:cNvPr id="7193" name="Control 25" hidden="1">
          <a:extLst>
            <a:ext uri="{63B3BB69-23CF-44E3-9099-C40C66FF867C}">
              <a14:compatExt xmlns:a14="http://schemas.microsoft.com/office/drawing/2010/main" spid="_x0000_s7193"/>
            </a:ext>
            <a:ext uri="{FF2B5EF4-FFF2-40B4-BE49-F238E27FC236}">
              <a16:creationId xmlns:a16="http://schemas.microsoft.com/office/drawing/2014/main" xmlns="" id="{00000000-0008-0000-0600-0000191C0000}"/>
            </a:ext>
          </a:extLst>
        </xdr:cNvPr>
        <xdr:cNvSpPr/>
      </xdr:nvSpPr>
      <xdr:spPr>
        <a:xfrm>
          <a:off x="0" y="0"/>
          <a:ext cx="0" cy="0"/>
        </a:xfrm>
        <a:prstGeom prst="rect">
          <a:avLst/>
        </a:prstGeom>
      </xdr:spPr>
    </xdr:sp>
    <xdr:clientData/>
  </xdr:twoCellAnchor>
  <xdr:twoCellAnchor editAs="oneCell">
    <xdr:from>
      <xdr:col>4</xdr:col>
      <xdr:colOff>0</xdr:colOff>
      <xdr:row>40</xdr:row>
      <xdr:rowOff>0</xdr:rowOff>
    </xdr:from>
    <xdr:to>
      <xdr:col>4</xdr:col>
      <xdr:colOff>152400</xdr:colOff>
      <xdr:row>40</xdr:row>
      <xdr:rowOff>152400</xdr:rowOff>
    </xdr:to>
    <xdr:pic>
      <xdr:nvPicPr>
        <xdr:cNvPr id="27" name="Picture 26" descr="Documents icon">
          <a:extLst>
            <a:ext uri="{FF2B5EF4-FFF2-40B4-BE49-F238E27FC236}">
              <a16:creationId xmlns:a16="http://schemas.microsoft.com/office/drawing/2014/main" xmlns="" id="{00000000-0008-0000-0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1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127000</xdr:rowOff>
    </xdr:from>
    <xdr:to>
      <xdr:col>3</xdr:col>
      <xdr:colOff>165100</xdr:colOff>
      <xdr:row>95</xdr:row>
      <xdr:rowOff>101600</xdr:rowOff>
    </xdr:to>
    <xdr:sp macro="" textlink="">
      <xdr:nvSpPr>
        <xdr:cNvPr id="7195" name="Control 27" hidden="1">
          <a:extLst>
            <a:ext uri="{63B3BB69-23CF-44E3-9099-C40C66FF867C}">
              <a14:compatExt xmlns:a14="http://schemas.microsoft.com/office/drawing/2010/main" spid="_x0000_s7195"/>
            </a:ext>
            <a:ext uri="{FF2B5EF4-FFF2-40B4-BE49-F238E27FC236}">
              <a16:creationId xmlns:a16="http://schemas.microsoft.com/office/drawing/2014/main" xmlns="" id="{00000000-0008-0000-0600-00001B1C0000}"/>
            </a:ext>
          </a:extLst>
        </xdr:cNvPr>
        <xdr:cNvSpPr/>
      </xdr:nvSpPr>
      <xdr:spPr>
        <a:xfrm>
          <a:off x="0" y="0"/>
          <a:ext cx="0" cy="0"/>
        </a:xfrm>
        <a:prstGeom prst="rect">
          <a:avLst/>
        </a:prstGeom>
      </xdr:spPr>
    </xdr:sp>
    <xdr:clientData/>
  </xdr:twoCellAnchor>
  <xdr:twoCellAnchor editAs="oneCell">
    <xdr:from>
      <xdr:col>4</xdr:col>
      <xdr:colOff>0</xdr:colOff>
      <xdr:row>43</xdr:row>
      <xdr:rowOff>0</xdr:rowOff>
    </xdr:from>
    <xdr:to>
      <xdr:col>4</xdr:col>
      <xdr:colOff>152400</xdr:colOff>
      <xdr:row>43</xdr:row>
      <xdr:rowOff>152400</xdr:rowOff>
    </xdr:to>
    <xdr:pic>
      <xdr:nvPicPr>
        <xdr:cNvPr id="29" name="Picture 28" descr="Documents icon">
          <a:extLst>
            <a:ext uri="{FF2B5EF4-FFF2-40B4-BE49-F238E27FC236}">
              <a16:creationId xmlns:a16="http://schemas.microsoft.com/office/drawing/2014/main" xmlns="" id="{00000000-0008-0000-0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00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63500</xdr:rowOff>
    </xdr:from>
    <xdr:to>
      <xdr:col>3</xdr:col>
      <xdr:colOff>165100</xdr:colOff>
      <xdr:row>102</xdr:row>
      <xdr:rowOff>25400</xdr:rowOff>
    </xdr:to>
    <xdr:sp macro="" textlink="">
      <xdr:nvSpPr>
        <xdr:cNvPr id="7197" name="Control 29" hidden="1">
          <a:extLst>
            <a:ext uri="{63B3BB69-23CF-44E3-9099-C40C66FF867C}">
              <a14:compatExt xmlns:a14="http://schemas.microsoft.com/office/drawing/2010/main" spid="_x0000_s7197"/>
            </a:ext>
            <a:ext uri="{FF2B5EF4-FFF2-40B4-BE49-F238E27FC236}">
              <a16:creationId xmlns:a16="http://schemas.microsoft.com/office/drawing/2014/main" xmlns="" id="{00000000-0008-0000-0600-00001D1C0000}"/>
            </a:ext>
          </a:extLst>
        </xdr:cNvPr>
        <xdr:cNvSpPr/>
      </xdr:nvSpPr>
      <xdr:spPr>
        <a:xfrm>
          <a:off x="0" y="0"/>
          <a:ext cx="0" cy="0"/>
        </a:xfrm>
        <a:prstGeom prst="rect">
          <a:avLst/>
        </a:prstGeom>
      </xdr:spPr>
    </xdr:sp>
    <xdr:clientData/>
  </xdr:twoCellAnchor>
  <xdr:twoCellAnchor editAs="oneCell">
    <xdr:from>
      <xdr:col>4</xdr:col>
      <xdr:colOff>0</xdr:colOff>
      <xdr:row>46</xdr:row>
      <xdr:rowOff>0</xdr:rowOff>
    </xdr:from>
    <xdr:to>
      <xdr:col>4</xdr:col>
      <xdr:colOff>152400</xdr:colOff>
      <xdr:row>46</xdr:row>
      <xdr:rowOff>152400</xdr:rowOff>
    </xdr:to>
    <xdr:pic>
      <xdr:nvPicPr>
        <xdr:cNvPr id="31" name="Picture 30" descr="Documents icon">
          <a:extLst>
            <a:ext uri="{FF2B5EF4-FFF2-40B4-BE49-F238E27FC236}">
              <a16:creationId xmlns:a16="http://schemas.microsoft.com/office/drawing/2014/main" xmlns="" id="{00000000-0008-0000-0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195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165100</xdr:colOff>
      <xdr:row>108</xdr:row>
      <xdr:rowOff>152400</xdr:rowOff>
    </xdr:to>
    <xdr:sp macro="" textlink="">
      <xdr:nvSpPr>
        <xdr:cNvPr id="7199" name="Control 31" hidden="1">
          <a:extLst>
            <a:ext uri="{63B3BB69-23CF-44E3-9099-C40C66FF867C}">
              <a14:compatExt xmlns:a14="http://schemas.microsoft.com/office/drawing/2010/main" spid="_x0000_s7199"/>
            </a:ext>
            <a:ext uri="{FF2B5EF4-FFF2-40B4-BE49-F238E27FC236}">
              <a16:creationId xmlns:a16="http://schemas.microsoft.com/office/drawing/2014/main" xmlns="" id="{00000000-0008-0000-0600-00001F1C0000}"/>
            </a:ext>
          </a:extLst>
        </xdr:cNvPr>
        <xdr:cNvSpPr/>
      </xdr:nvSpPr>
      <xdr:spPr>
        <a:xfrm>
          <a:off x="0" y="0"/>
          <a:ext cx="0" cy="0"/>
        </a:xfrm>
        <a:prstGeom prst="rect">
          <a:avLst/>
        </a:prstGeom>
      </xdr:spPr>
    </xdr:sp>
    <xdr:clientData/>
  </xdr:twoCellAnchor>
  <xdr:twoCellAnchor editAs="oneCell">
    <xdr:from>
      <xdr:col>4</xdr:col>
      <xdr:colOff>0</xdr:colOff>
      <xdr:row>49</xdr:row>
      <xdr:rowOff>0</xdr:rowOff>
    </xdr:from>
    <xdr:to>
      <xdr:col>4</xdr:col>
      <xdr:colOff>152400</xdr:colOff>
      <xdr:row>49</xdr:row>
      <xdr:rowOff>152400</xdr:rowOff>
    </xdr:to>
    <xdr:pic>
      <xdr:nvPicPr>
        <xdr:cNvPr id="33" name="Picture 32" descr="Documents icon">
          <a:extLst>
            <a:ext uri="{FF2B5EF4-FFF2-40B4-BE49-F238E27FC236}">
              <a16:creationId xmlns:a16="http://schemas.microsoft.com/office/drawing/2014/main" xmlns="" id="{00000000-0008-0000-0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815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114300</xdr:rowOff>
    </xdr:from>
    <xdr:to>
      <xdr:col>3</xdr:col>
      <xdr:colOff>165100</xdr:colOff>
      <xdr:row>115</xdr:row>
      <xdr:rowOff>76200</xdr:rowOff>
    </xdr:to>
    <xdr:sp macro="" textlink="">
      <xdr:nvSpPr>
        <xdr:cNvPr id="7201" name="Control 33" hidden="1">
          <a:extLst>
            <a:ext uri="{63B3BB69-23CF-44E3-9099-C40C66FF867C}">
              <a14:compatExt xmlns:a14="http://schemas.microsoft.com/office/drawing/2010/main" spid="_x0000_s7201"/>
            </a:ext>
            <a:ext uri="{FF2B5EF4-FFF2-40B4-BE49-F238E27FC236}">
              <a16:creationId xmlns:a16="http://schemas.microsoft.com/office/drawing/2014/main" xmlns="" id="{00000000-0008-0000-0600-0000211C0000}"/>
            </a:ext>
          </a:extLst>
        </xdr:cNvPr>
        <xdr:cNvSpPr/>
      </xdr:nvSpPr>
      <xdr:spPr>
        <a:xfrm>
          <a:off x="0" y="0"/>
          <a:ext cx="0" cy="0"/>
        </a:xfrm>
        <a:prstGeom prst="rect">
          <a:avLst/>
        </a:prstGeom>
      </xdr:spPr>
    </xdr:sp>
    <xdr:clientData/>
  </xdr:twoCellAnchor>
  <xdr:twoCellAnchor editAs="oneCell">
    <xdr:from>
      <xdr:col>4</xdr:col>
      <xdr:colOff>0</xdr:colOff>
      <xdr:row>52</xdr:row>
      <xdr:rowOff>0</xdr:rowOff>
    </xdr:from>
    <xdr:to>
      <xdr:col>4</xdr:col>
      <xdr:colOff>152400</xdr:colOff>
      <xdr:row>52</xdr:row>
      <xdr:rowOff>152400</xdr:rowOff>
    </xdr:to>
    <xdr:pic>
      <xdr:nvPicPr>
        <xdr:cNvPr id="35" name="Picture 34" descr="Documents icon">
          <a:extLst>
            <a:ext uri="{FF2B5EF4-FFF2-40B4-BE49-F238E27FC236}">
              <a16:creationId xmlns:a16="http://schemas.microsoft.com/office/drawing/2014/main" xmlns="" id="{00000000-0008-0000-0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6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63500</xdr:rowOff>
    </xdr:from>
    <xdr:to>
      <xdr:col>3</xdr:col>
      <xdr:colOff>165100</xdr:colOff>
      <xdr:row>122</xdr:row>
      <xdr:rowOff>25400</xdr:rowOff>
    </xdr:to>
    <xdr:sp macro="" textlink="">
      <xdr:nvSpPr>
        <xdr:cNvPr id="7203" name="Control 35" hidden="1">
          <a:extLst>
            <a:ext uri="{63B3BB69-23CF-44E3-9099-C40C66FF867C}">
              <a14:compatExt xmlns:a14="http://schemas.microsoft.com/office/drawing/2010/main" spid="_x0000_s7203"/>
            </a:ext>
            <a:ext uri="{FF2B5EF4-FFF2-40B4-BE49-F238E27FC236}">
              <a16:creationId xmlns:a16="http://schemas.microsoft.com/office/drawing/2014/main" xmlns="" id="{00000000-0008-0000-0600-0000231C0000}"/>
            </a:ext>
          </a:extLst>
        </xdr:cNvPr>
        <xdr:cNvSpPr/>
      </xdr:nvSpPr>
      <xdr:spPr>
        <a:xfrm>
          <a:off x="0" y="0"/>
          <a:ext cx="0" cy="0"/>
        </a:xfrm>
        <a:prstGeom prst="rect">
          <a:avLst/>
        </a:prstGeom>
      </xdr:spPr>
    </xdr:sp>
    <xdr:clientData/>
  </xdr:twoCellAnchor>
  <xdr:twoCellAnchor editAs="oneCell">
    <xdr:from>
      <xdr:col>4</xdr:col>
      <xdr:colOff>0</xdr:colOff>
      <xdr:row>55</xdr:row>
      <xdr:rowOff>0</xdr:rowOff>
    </xdr:from>
    <xdr:to>
      <xdr:col>4</xdr:col>
      <xdr:colOff>152400</xdr:colOff>
      <xdr:row>55</xdr:row>
      <xdr:rowOff>152400</xdr:rowOff>
    </xdr:to>
    <xdr:pic>
      <xdr:nvPicPr>
        <xdr:cNvPr id="37" name="Picture 36" descr="Documents icon">
          <a:extLst>
            <a:ext uri="{FF2B5EF4-FFF2-40B4-BE49-F238E27FC236}">
              <a16:creationId xmlns:a16="http://schemas.microsoft.com/office/drawing/2014/main" xmlns="" id="{00000000-0008-0000-0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101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12700</xdr:rowOff>
    </xdr:from>
    <xdr:to>
      <xdr:col>3</xdr:col>
      <xdr:colOff>165100</xdr:colOff>
      <xdr:row>128</xdr:row>
      <xdr:rowOff>165100</xdr:rowOff>
    </xdr:to>
    <xdr:sp macro="" textlink="">
      <xdr:nvSpPr>
        <xdr:cNvPr id="7205" name="Control 37" hidden="1">
          <a:extLst>
            <a:ext uri="{63B3BB69-23CF-44E3-9099-C40C66FF867C}">
              <a14:compatExt xmlns:a14="http://schemas.microsoft.com/office/drawing/2010/main" spid="_x0000_s7205"/>
            </a:ext>
            <a:ext uri="{FF2B5EF4-FFF2-40B4-BE49-F238E27FC236}">
              <a16:creationId xmlns:a16="http://schemas.microsoft.com/office/drawing/2014/main" xmlns="" id="{00000000-0008-0000-0600-0000251C0000}"/>
            </a:ext>
          </a:extLst>
        </xdr:cNvPr>
        <xdr:cNvSpPr/>
      </xdr:nvSpPr>
      <xdr:spPr>
        <a:xfrm>
          <a:off x="0" y="0"/>
          <a:ext cx="0" cy="0"/>
        </a:xfrm>
        <a:prstGeom prst="rect">
          <a:avLst/>
        </a:prstGeom>
      </xdr:spPr>
    </xdr:sp>
    <xdr:clientData/>
  </xdr:twoCellAnchor>
  <xdr:twoCellAnchor editAs="oneCell">
    <xdr:from>
      <xdr:col>4</xdr:col>
      <xdr:colOff>0</xdr:colOff>
      <xdr:row>58</xdr:row>
      <xdr:rowOff>0</xdr:rowOff>
    </xdr:from>
    <xdr:to>
      <xdr:col>4</xdr:col>
      <xdr:colOff>152400</xdr:colOff>
      <xdr:row>58</xdr:row>
      <xdr:rowOff>152400</xdr:rowOff>
    </xdr:to>
    <xdr:pic>
      <xdr:nvPicPr>
        <xdr:cNvPr id="39" name="Picture 38" descr="Documents icon">
          <a:extLst>
            <a:ext uri="{FF2B5EF4-FFF2-40B4-BE49-F238E27FC236}">
              <a16:creationId xmlns:a16="http://schemas.microsoft.com/office/drawing/2014/main" xmlns="" id="{00000000-0008-0000-0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139700</xdr:rowOff>
    </xdr:from>
    <xdr:to>
      <xdr:col>3</xdr:col>
      <xdr:colOff>165100</xdr:colOff>
      <xdr:row>135</xdr:row>
      <xdr:rowOff>101600</xdr:rowOff>
    </xdr:to>
    <xdr:sp macro="" textlink="">
      <xdr:nvSpPr>
        <xdr:cNvPr id="7207" name="Control 39" hidden="1">
          <a:extLst>
            <a:ext uri="{63B3BB69-23CF-44E3-9099-C40C66FF867C}">
              <a14:compatExt xmlns:a14="http://schemas.microsoft.com/office/drawing/2010/main" spid="_x0000_s7207"/>
            </a:ext>
            <a:ext uri="{FF2B5EF4-FFF2-40B4-BE49-F238E27FC236}">
              <a16:creationId xmlns:a16="http://schemas.microsoft.com/office/drawing/2014/main" xmlns="" id="{00000000-0008-0000-0600-0000271C0000}"/>
            </a:ext>
          </a:extLst>
        </xdr:cNvPr>
        <xdr:cNvSpPr/>
      </xdr:nvSpPr>
      <xdr:spPr>
        <a:xfrm>
          <a:off x="0" y="0"/>
          <a:ext cx="0" cy="0"/>
        </a:xfrm>
        <a:prstGeom prst="rect">
          <a:avLst/>
        </a:prstGeom>
      </xdr:spPr>
    </xdr:sp>
    <xdr:clientData/>
  </xdr:twoCellAnchor>
  <xdr:twoCellAnchor editAs="oneCell">
    <xdr:from>
      <xdr:col>4</xdr:col>
      <xdr:colOff>0</xdr:colOff>
      <xdr:row>61</xdr:row>
      <xdr:rowOff>0</xdr:rowOff>
    </xdr:from>
    <xdr:to>
      <xdr:col>4</xdr:col>
      <xdr:colOff>152400</xdr:colOff>
      <xdr:row>61</xdr:row>
      <xdr:rowOff>152400</xdr:rowOff>
    </xdr:to>
    <xdr:pic>
      <xdr:nvPicPr>
        <xdr:cNvPr id="41" name="Picture 40" descr="Documents icon">
          <a:extLst>
            <a:ext uri="{FF2B5EF4-FFF2-40B4-BE49-F238E27FC236}">
              <a16:creationId xmlns:a16="http://schemas.microsoft.com/office/drawing/2014/main" xmlns="" id="{00000000-0008-0000-0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911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88900</xdr:rowOff>
    </xdr:from>
    <xdr:to>
      <xdr:col>3</xdr:col>
      <xdr:colOff>165100</xdr:colOff>
      <xdr:row>142</xdr:row>
      <xdr:rowOff>63500</xdr:rowOff>
    </xdr:to>
    <xdr:sp macro="" textlink="">
      <xdr:nvSpPr>
        <xdr:cNvPr id="7209" name="Control 41" hidden="1">
          <a:extLst>
            <a:ext uri="{63B3BB69-23CF-44E3-9099-C40C66FF867C}">
              <a14:compatExt xmlns:a14="http://schemas.microsoft.com/office/drawing/2010/main" spid="_x0000_s7209"/>
            </a:ext>
            <a:ext uri="{FF2B5EF4-FFF2-40B4-BE49-F238E27FC236}">
              <a16:creationId xmlns:a16="http://schemas.microsoft.com/office/drawing/2014/main" xmlns="" id="{00000000-0008-0000-0600-0000291C0000}"/>
            </a:ext>
          </a:extLst>
        </xdr:cNvPr>
        <xdr:cNvSpPr/>
      </xdr:nvSpPr>
      <xdr:spPr>
        <a:xfrm>
          <a:off x="0" y="0"/>
          <a:ext cx="0" cy="0"/>
        </a:xfrm>
        <a:prstGeom prst="rect">
          <a:avLst/>
        </a:prstGeom>
      </xdr:spPr>
    </xdr:sp>
    <xdr:clientData/>
  </xdr:twoCellAnchor>
  <xdr:twoCellAnchor editAs="oneCell">
    <xdr:from>
      <xdr:col>4</xdr:col>
      <xdr:colOff>0</xdr:colOff>
      <xdr:row>64</xdr:row>
      <xdr:rowOff>0</xdr:rowOff>
    </xdr:from>
    <xdr:to>
      <xdr:col>4</xdr:col>
      <xdr:colOff>152400</xdr:colOff>
      <xdr:row>64</xdr:row>
      <xdr:rowOff>152400</xdr:rowOff>
    </xdr:to>
    <xdr:pic>
      <xdr:nvPicPr>
        <xdr:cNvPr id="43" name="Picture 42" descr="Documents icon">
          <a:extLst>
            <a:ext uri="{FF2B5EF4-FFF2-40B4-BE49-F238E27FC236}">
              <a16:creationId xmlns:a16="http://schemas.microsoft.com/office/drawing/2014/main" xmlns="" id="{00000000-0008-0000-0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2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152400</xdr:rowOff>
    </xdr:from>
    <xdr:to>
      <xdr:col>3</xdr:col>
      <xdr:colOff>165100</xdr:colOff>
      <xdr:row>148</xdr:row>
      <xdr:rowOff>127000</xdr:rowOff>
    </xdr:to>
    <xdr:sp macro="" textlink="">
      <xdr:nvSpPr>
        <xdr:cNvPr id="7211" name="Control 43" hidden="1">
          <a:extLst>
            <a:ext uri="{63B3BB69-23CF-44E3-9099-C40C66FF867C}">
              <a14:compatExt xmlns:a14="http://schemas.microsoft.com/office/drawing/2010/main" spid="_x0000_s7211"/>
            </a:ext>
            <a:ext uri="{FF2B5EF4-FFF2-40B4-BE49-F238E27FC236}">
              <a16:creationId xmlns:a16="http://schemas.microsoft.com/office/drawing/2014/main" xmlns="" id="{00000000-0008-0000-0600-00002B1C0000}"/>
            </a:ext>
          </a:extLst>
        </xdr:cNvPr>
        <xdr:cNvSpPr/>
      </xdr:nvSpPr>
      <xdr:spPr>
        <a:xfrm>
          <a:off x="0" y="0"/>
          <a:ext cx="0" cy="0"/>
        </a:xfrm>
        <a:prstGeom prst="rect">
          <a:avLst/>
        </a:prstGeom>
      </xdr:spPr>
    </xdr:sp>
    <xdr:clientData/>
  </xdr:twoCellAnchor>
  <xdr:twoCellAnchor editAs="oneCell">
    <xdr:from>
      <xdr:col>4</xdr:col>
      <xdr:colOff>0</xdr:colOff>
      <xdr:row>67</xdr:row>
      <xdr:rowOff>0</xdr:rowOff>
    </xdr:from>
    <xdr:to>
      <xdr:col>4</xdr:col>
      <xdr:colOff>152400</xdr:colOff>
      <xdr:row>67</xdr:row>
      <xdr:rowOff>152400</xdr:rowOff>
    </xdr:to>
    <xdr:pic>
      <xdr:nvPicPr>
        <xdr:cNvPr id="45" name="Picture 44" descr="Documents icon">
          <a:extLst>
            <a:ext uri="{FF2B5EF4-FFF2-40B4-BE49-F238E27FC236}">
              <a16:creationId xmlns:a16="http://schemas.microsoft.com/office/drawing/2014/main" xmlns="" id="{00000000-0008-0000-0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388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114300</xdr:rowOff>
    </xdr:from>
    <xdr:to>
      <xdr:col>3</xdr:col>
      <xdr:colOff>165100</xdr:colOff>
      <xdr:row>155</xdr:row>
      <xdr:rowOff>88900</xdr:rowOff>
    </xdr:to>
    <xdr:sp macro="" textlink="">
      <xdr:nvSpPr>
        <xdr:cNvPr id="7213" name="Control 45" hidden="1">
          <a:extLst>
            <a:ext uri="{63B3BB69-23CF-44E3-9099-C40C66FF867C}">
              <a14:compatExt xmlns:a14="http://schemas.microsoft.com/office/drawing/2010/main" spid="_x0000_s7213"/>
            </a:ext>
            <a:ext uri="{FF2B5EF4-FFF2-40B4-BE49-F238E27FC236}">
              <a16:creationId xmlns:a16="http://schemas.microsoft.com/office/drawing/2014/main" xmlns="" id="{00000000-0008-0000-0600-00002D1C0000}"/>
            </a:ext>
          </a:extLst>
        </xdr:cNvPr>
        <xdr:cNvSpPr/>
      </xdr:nvSpPr>
      <xdr:spPr>
        <a:xfrm>
          <a:off x="0" y="0"/>
          <a:ext cx="0" cy="0"/>
        </a:xfrm>
        <a:prstGeom prst="rect">
          <a:avLst/>
        </a:prstGeom>
      </xdr:spPr>
    </xdr:sp>
    <xdr:clientData/>
  </xdr:twoCellAnchor>
  <xdr:twoCellAnchor editAs="oneCell">
    <xdr:from>
      <xdr:col>4</xdr:col>
      <xdr:colOff>0</xdr:colOff>
      <xdr:row>70</xdr:row>
      <xdr:rowOff>0</xdr:rowOff>
    </xdr:from>
    <xdr:to>
      <xdr:col>4</xdr:col>
      <xdr:colOff>152400</xdr:colOff>
      <xdr:row>70</xdr:row>
      <xdr:rowOff>152400</xdr:rowOff>
    </xdr:to>
    <xdr:pic>
      <xdr:nvPicPr>
        <xdr:cNvPr id="47" name="Picture 46" descr="Documents icon">
          <a:extLst>
            <a:ext uri="{FF2B5EF4-FFF2-40B4-BE49-F238E27FC236}">
              <a16:creationId xmlns:a16="http://schemas.microsoft.com/office/drawing/2014/main" xmlns="" id="{00000000-0008-0000-0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79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38100</xdr:rowOff>
    </xdr:from>
    <xdr:to>
      <xdr:col>3</xdr:col>
      <xdr:colOff>165100</xdr:colOff>
      <xdr:row>162</xdr:row>
      <xdr:rowOff>12700</xdr:rowOff>
    </xdr:to>
    <xdr:sp macro="" textlink="">
      <xdr:nvSpPr>
        <xdr:cNvPr id="7215" name="Control 47" hidden="1">
          <a:extLst>
            <a:ext uri="{63B3BB69-23CF-44E3-9099-C40C66FF867C}">
              <a14:compatExt xmlns:a14="http://schemas.microsoft.com/office/drawing/2010/main" spid="_x0000_s7215"/>
            </a:ext>
            <a:ext uri="{FF2B5EF4-FFF2-40B4-BE49-F238E27FC236}">
              <a16:creationId xmlns:a16="http://schemas.microsoft.com/office/drawing/2014/main" xmlns="" id="{00000000-0008-0000-0600-00002F1C0000}"/>
            </a:ext>
          </a:extLst>
        </xdr:cNvPr>
        <xdr:cNvSpPr/>
      </xdr:nvSpPr>
      <xdr:spPr>
        <a:xfrm>
          <a:off x="0" y="0"/>
          <a:ext cx="0" cy="0"/>
        </a:xfrm>
        <a:prstGeom prst="rect">
          <a:avLst/>
        </a:prstGeom>
      </xdr:spPr>
    </xdr:sp>
    <xdr:clientData/>
  </xdr:twoCellAnchor>
  <xdr:twoCellAnchor editAs="oneCell">
    <xdr:from>
      <xdr:col>4</xdr:col>
      <xdr:colOff>0</xdr:colOff>
      <xdr:row>73</xdr:row>
      <xdr:rowOff>0</xdr:rowOff>
    </xdr:from>
    <xdr:to>
      <xdr:col>4</xdr:col>
      <xdr:colOff>152400</xdr:colOff>
      <xdr:row>73</xdr:row>
      <xdr:rowOff>152400</xdr:rowOff>
    </xdr:to>
    <xdr:pic>
      <xdr:nvPicPr>
        <xdr:cNvPr id="49" name="Picture 48" descr="Documents icon">
          <a:extLst>
            <a:ext uri="{FF2B5EF4-FFF2-40B4-BE49-F238E27FC236}">
              <a16:creationId xmlns:a16="http://schemas.microsoft.com/office/drawing/2014/main" xmlns="" id="{00000000-0008-0000-0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15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38100</xdr:rowOff>
    </xdr:from>
    <xdr:to>
      <xdr:col>3</xdr:col>
      <xdr:colOff>165100</xdr:colOff>
      <xdr:row>169</xdr:row>
      <xdr:rowOff>12700</xdr:rowOff>
    </xdr:to>
    <xdr:sp macro="" textlink="">
      <xdr:nvSpPr>
        <xdr:cNvPr id="7217" name="Control 49" hidden="1">
          <a:extLst>
            <a:ext uri="{63B3BB69-23CF-44E3-9099-C40C66FF867C}">
              <a14:compatExt xmlns:a14="http://schemas.microsoft.com/office/drawing/2010/main" spid="_x0000_s7217"/>
            </a:ext>
            <a:ext uri="{FF2B5EF4-FFF2-40B4-BE49-F238E27FC236}">
              <a16:creationId xmlns:a16="http://schemas.microsoft.com/office/drawing/2014/main" xmlns="" id="{00000000-0008-0000-0600-0000311C0000}"/>
            </a:ext>
          </a:extLst>
        </xdr:cNvPr>
        <xdr:cNvSpPr/>
      </xdr:nvSpPr>
      <xdr:spPr>
        <a:xfrm>
          <a:off x="0" y="0"/>
          <a:ext cx="0" cy="0"/>
        </a:xfrm>
        <a:prstGeom prst="rect">
          <a:avLst/>
        </a:prstGeom>
      </xdr:spPr>
    </xdr:sp>
    <xdr:clientData/>
  </xdr:twoCellAnchor>
  <xdr:twoCellAnchor editAs="oneCell">
    <xdr:from>
      <xdr:col>4</xdr:col>
      <xdr:colOff>0</xdr:colOff>
      <xdr:row>76</xdr:row>
      <xdr:rowOff>0</xdr:rowOff>
    </xdr:from>
    <xdr:to>
      <xdr:col>4</xdr:col>
      <xdr:colOff>152400</xdr:colOff>
      <xdr:row>76</xdr:row>
      <xdr:rowOff>152400</xdr:rowOff>
    </xdr:to>
    <xdr:pic>
      <xdr:nvPicPr>
        <xdr:cNvPr id="51" name="Picture 50" descr="Documents icon">
          <a:extLst>
            <a:ext uri="{FF2B5EF4-FFF2-40B4-BE49-F238E27FC236}">
              <a16:creationId xmlns:a16="http://schemas.microsoft.com/office/drawing/2014/main" xmlns="" id="{00000000-0008-0000-0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770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127000</xdr:rowOff>
    </xdr:from>
    <xdr:to>
      <xdr:col>3</xdr:col>
      <xdr:colOff>165100</xdr:colOff>
      <xdr:row>175</xdr:row>
      <xdr:rowOff>101600</xdr:rowOff>
    </xdr:to>
    <xdr:sp macro="" textlink="">
      <xdr:nvSpPr>
        <xdr:cNvPr id="7219" name="Control 51" hidden="1">
          <a:extLst>
            <a:ext uri="{63B3BB69-23CF-44E3-9099-C40C66FF867C}">
              <a14:compatExt xmlns:a14="http://schemas.microsoft.com/office/drawing/2010/main" spid="_x0000_s7219"/>
            </a:ext>
            <a:ext uri="{FF2B5EF4-FFF2-40B4-BE49-F238E27FC236}">
              <a16:creationId xmlns:a16="http://schemas.microsoft.com/office/drawing/2014/main" xmlns="" id="{00000000-0008-0000-0600-0000331C0000}"/>
            </a:ext>
          </a:extLst>
        </xdr:cNvPr>
        <xdr:cNvSpPr/>
      </xdr:nvSpPr>
      <xdr:spPr>
        <a:xfrm>
          <a:off x="0" y="0"/>
          <a:ext cx="0" cy="0"/>
        </a:xfrm>
        <a:prstGeom prst="rect">
          <a:avLst/>
        </a:prstGeom>
      </xdr:spPr>
    </xdr:sp>
    <xdr:clientData/>
  </xdr:twoCellAnchor>
  <xdr:twoCellAnchor editAs="oneCell">
    <xdr:from>
      <xdr:col>4</xdr:col>
      <xdr:colOff>0</xdr:colOff>
      <xdr:row>79</xdr:row>
      <xdr:rowOff>0</xdr:rowOff>
    </xdr:from>
    <xdr:to>
      <xdr:col>4</xdr:col>
      <xdr:colOff>152400</xdr:colOff>
      <xdr:row>79</xdr:row>
      <xdr:rowOff>152400</xdr:rowOff>
    </xdr:to>
    <xdr:pic>
      <xdr:nvPicPr>
        <xdr:cNvPr id="53" name="Picture 52" descr="Documents icon">
          <a:extLst>
            <a:ext uri="{FF2B5EF4-FFF2-40B4-BE49-F238E27FC236}">
              <a16:creationId xmlns:a16="http://schemas.microsoft.com/office/drawing/2014/main" xmlns="" id="{00000000-0008-0000-0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38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38100</xdr:rowOff>
    </xdr:from>
    <xdr:to>
      <xdr:col>3</xdr:col>
      <xdr:colOff>165100</xdr:colOff>
      <xdr:row>182</xdr:row>
      <xdr:rowOff>0</xdr:rowOff>
    </xdr:to>
    <xdr:sp macro="" textlink="">
      <xdr:nvSpPr>
        <xdr:cNvPr id="7221" name="Control 53" hidden="1">
          <a:extLst>
            <a:ext uri="{63B3BB69-23CF-44E3-9099-C40C66FF867C}">
              <a14:compatExt xmlns:a14="http://schemas.microsoft.com/office/drawing/2010/main" spid="_x0000_s7221"/>
            </a:ext>
            <a:ext uri="{FF2B5EF4-FFF2-40B4-BE49-F238E27FC236}">
              <a16:creationId xmlns:a16="http://schemas.microsoft.com/office/drawing/2014/main" xmlns="" id="{00000000-0008-0000-0600-0000351C0000}"/>
            </a:ext>
          </a:extLst>
        </xdr:cNvPr>
        <xdr:cNvSpPr/>
      </xdr:nvSpPr>
      <xdr:spPr>
        <a:xfrm>
          <a:off x="0" y="0"/>
          <a:ext cx="0" cy="0"/>
        </a:xfrm>
        <a:prstGeom prst="rect">
          <a:avLst/>
        </a:prstGeom>
      </xdr:spPr>
    </xdr:sp>
    <xdr:clientData/>
  </xdr:twoCellAnchor>
  <xdr:twoCellAnchor editAs="oneCell">
    <xdr:from>
      <xdr:col>4</xdr:col>
      <xdr:colOff>0</xdr:colOff>
      <xdr:row>82</xdr:row>
      <xdr:rowOff>0</xdr:rowOff>
    </xdr:from>
    <xdr:to>
      <xdr:col>4</xdr:col>
      <xdr:colOff>152400</xdr:colOff>
      <xdr:row>82</xdr:row>
      <xdr:rowOff>152400</xdr:rowOff>
    </xdr:to>
    <xdr:pic>
      <xdr:nvPicPr>
        <xdr:cNvPr id="55" name="Picture 54" descr="Documents icon">
          <a:extLst>
            <a:ext uri="{FF2B5EF4-FFF2-40B4-BE49-F238E27FC236}">
              <a16:creationId xmlns:a16="http://schemas.microsoft.com/office/drawing/2014/main" xmlns="" id="{00000000-0008-0000-0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675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139700</xdr:rowOff>
    </xdr:from>
    <xdr:to>
      <xdr:col>3</xdr:col>
      <xdr:colOff>165100</xdr:colOff>
      <xdr:row>188</xdr:row>
      <xdr:rowOff>101600</xdr:rowOff>
    </xdr:to>
    <xdr:sp macro="" textlink="">
      <xdr:nvSpPr>
        <xdr:cNvPr id="7223" name="Control 55" hidden="1">
          <a:extLst>
            <a:ext uri="{63B3BB69-23CF-44E3-9099-C40C66FF867C}">
              <a14:compatExt xmlns:a14="http://schemas.microsoft.com/office/drawing/2010/main" spid="_x0000_s7223"/>
            </a:ext>
            <a:ext uri="{FF2B5EF4-FFF2-40B4-BE49-F238E27FC236}">
              <a16:creationId xmlns:a16="http://schemas.microsoft.com/office/drawing/2014/main" xmlns="" id="{00000000-0008-0000-0600-0000371C0000}"/>
            </a:ext>
          </a:extLst>
        </xdr:cNvPr>
        <xdr:cNvSpPr/>
      </xdr:nvSpPr>
      <xdr:spPr>
        <a:xfrm>
          <a:off x="0" y="0"/>
          <a:ext cx="0" cy="0"/>
        </a:xfrm>
        <a:prstGeom prst="rect">
          <a:avLst/>
        </a:prstGeom>
      </xdr:spPr>
    </xdr:sp>
    <xdr:clientData/>
  </xdr:twoCellAnchor>
  <xdr:twoCellAnchor editAs="oneCell">
    <xdr:from>
      <xdr:col>4</xdr:col>
      <xdr:colOff>0</xdr:colOff>
      <xdr:row>85</xdr:row>
      <xdr:rowOff>0</xdr:rowOff>
    </xdr:from>
    <xdr:to>
      <xdr:col>4</xdr:col>
      <xdr:colOff>152400</xdr:colOff>
      <xdr:row>85</xdr:row>
      <xdr:rowOff>152400</xdr:rowOff>
    </xdr:to>
    <xdr:pic>
      <xdr:nvPicPr>
        <xdr:cNvPr id="57" name="Picture 56" descr="Documents icon">
          <a:extLst>
            <a:ext uri="{FF2B5EF4-FFF2-40B4-BE49-F238E27FC236}">
              <a16:creationId xmlns:a16="http://schemas.microsoft.com/office/drawing/2014/main" xmlns="" id="{00000000-0008-0000-0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76200</xdr:rowOff>
    </xdr:from>
    <xdr:to>
      <xdr:col>3</xdr:col>
      <xdr:colOff>165100</xdr:colOff>
      <xdr:row>195</xdr:row>
      <xdr:rowOff>38100</xdr:rowOff>
    </xdr:to>
    <xdr:sp macro="" textlink="">
      <xdr:nvSpPr>
        <xdr:cNvPr id="7225" name="Control 57" hidden="1">
          <a:extLst>
            <a:ext uri="{63B3BB69-23CF-44E3-9099-C40C66FF867C}">
              <a14:compatExt xmlns:a14="http://schemas.microsoft.com/office/drawing/2010/main" spid="_x0000_s7225"/>
            </a:ext>
            <a:ext uri="{FF2B5EF4-FFF2-40B4-BE49-F238E27FC236}">
              <a16:creationId xmlns:a16="http://schemas.microsoft.com/office/drawing/2014/main" xmlns="" id="{00000000-0008-0000-0600-0000391C0000}"/>
            </a:ext>
          </a:extLst>
        </xdr:cNvPr>
        <xdr:cNvSpPr/>
      </xdr:nvSpPr>
      <xdr:spPr>
        <a:xfrm>
          <a:off x="0" y="0"/>
          <a:ext cx="0" cy="0"/>
        </a:xfrm>
        <a:prstGeom prst="rect">
          <a:avLst/>
        </a:prstGeom>
      </xdr:spPr>
    </xdr:sp>
    <xdr:clientData/>
  </xdr:twoCellAnchor>
  <xdr:twoCellAnchor editAs="oneCell">
    <xdr:from>
      <xdr:col>4</xdr:col>
      <xdr:colOff>0</xdr:colOff>
      <xdr:row>88</xdr:row>
      <xdr:rowOff>0</xdr:rowOff>
    </xdr:from>
    <xdr:to>
      <xdr:col>4</xdr:col>
      <xdr:colOff>152400</xdr:colOff>
      <xdr:row>88</xdr:row>
      <xdr:rowOff>152400</xdr:rowOff>
    </xdr:to>
    <xdr:pic>
      <xdr:nvPicPr>
        <xdr:cNvPr id="59" name="Picture 58" descr="Documents icon">
          <a:extLst>
            <a:ext uri="{FF2B5EF4-FFF2-40B4-BE49-F238E27FC236}">
              <a16:creationId xmlns:a16="http://schemas.microsoft.com/office/drawing/2014/main" xmlns="" id="{00000000-0008-0000-0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533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38100</xdr:rowOff>
    </xdr:from>
    <xdr:to>
      <xdr:col>3</xdr:col>
      <xdr:colOff>165100</xdr:colOff>
      <xdr:row>202</xdr:row>
      <xdr:rowOff>0</xdr:rowOff>
    </xdr:to>
    <xdr:sp macro="" textlink="">
      <xdr:nvSpPr>
        <xdr:cNvPr id="7227" name="Control 59" hidden="1">
          <a:extLst>
            <a:ext uri="{63B3BB69-23CF-44E3-9099-C40C66FF867C}">
              <a14:compatExt xmlns:a14="http://schemas.microsoft.com/office/drawing/2010/main" spid="_x0000_s7227"/>
            </a:ext>
            <a:ext uri="{FF2B5EF4-FFF2-40B4-BE49-F238E27FC236}">
              <a16:creationId xmlns:a16="http://schemas.microsoft.com/office/drawing/2014/main" xmlns="" id="{00000000-0008-0000-0600-00003B1C0000}"/>
            </a:ext>
          </a:extLst>
        </xdr:cNvPr>
        <xdr:cNvSpPr/>
      </xdr:nvSpPr>
      <xdr:spPr>
        <a:xfrm>
          <a:off x="0" y="0"/>
          <a:ext cx="0" cy="0"/>
        </a:xfrm>
        <a:prstGeom prst="rect">
          <a:avLst/>
        </a:prstGeom>
      </xdr:spPr>
    </xdr:sp>
    <xdr:clientData/>
  </xdr:twoCellAnchor>
  <xdr:twoCellAnchor editAs="oneCell">
    <xdr:from>
      <xdr:col>4</xdr:col>
      <xdr:colOff>0</xdr:colOff>
      <xdr:row>91</xdr:row>
      <xdr:rowOff>0</xdr:rowOff>
    </xdr:from>
    <xdr:to>
      <xdr:col>4</xdr:col>
      <xdr:colOff>152400</xdr:colOff>
      <xdr:row>91</xdr:row>
      <xdr:rowOff>152400</xdr:rowOff>
    </xdr:to>
    <xdr:pic>
      <xdr:nvPicPr>
        <xdr:cNvPr id="61" name="Picture 60" descr="Documents icon">
          <a:extLst>
            <a:ext uri="{FF2B5EF4-FFF2-40B4-BE49-F238E27FC236}">
              <a16:creationId xmlns:a16="http://schemas.microsoft.com/office/drawing/2014/main" xmlns="" id="{00000000-0008-0000-0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165100</xdr:rowOff>
    </xdr:from>
    <xdr:to>
      <xdr:col>3</xdr:col>
      <xdr:colOff>165100</xdr:colOff>
      <xdr:row>208</xdr:row>
      <xdr:rowOff>139700</xdr:rowOff>
    </xdr:to>
    <xdr:sp macro="" textlink="">
      <xdr:nvSpPr>
        <xdr:cNvPr id="7229" name="Control 61" hidden="1">
          <a:extLst>
            <a:ext uri="{63B3BB69-23CF-44E3-9099-C40C66FF867C}">
              <a14:compatExt xmlns:a14="http://schemas.microsoft.com/office/drawing/2010/main" spid="_x0000_s7229"/>
            </a:ext>
            <a:ext uri="{FF2B5EF4-FFF2-40B4-BE49-F238E27FC236}">
              <a16:creationId xmlns:a16="http://schemas.microsoft.com/office/drawing/2014/main" xmlns="" id="{00000000-0008-0000-0600-00003D1C0000}"/>
            </a:ext>
          </a:extLst>
        </xdr:cNvPr>
        <xdr:cNvSpPr/>
      </xdr:nvSpPr>
      <xdr:spPr>
        <a:xfrm>
          <a:off x="0" y="0"/>
          <a:ext cx="0" cy="0"/>
        </a:xfrm>
        <a:prstGeom prst="rect">
          <a:avLst/>
        </a:prstGeom>
      </xdr:spPr>
    </xdr:sp>
    <xdr:clientData/>
  </xdr:twoCellAnchor>
  <xdr:twoCellAnchor editAs="oneCell">
    <xdr:from>
      <xdr:col>4</xdr:col>
      <xdr:colOff>0</xdr:colOff>
      <xdr:row>94</xdr:row>
      <xdr:rowOff>0</xdr:rowOff>
    </xdr:from>
    <xdr:to>
      <xdr:col>4</xdr:col>
      <xdr:colOff>152400</xdr:colOff>
      <xdr:row>94</xdr:row>
      <xdr:rowOff>152400</xdr:rowOff>
    </xdr:to>
    <xdr:pic>
      <xdr:nvPicPr>
        <xdr:cNvPr id="63" name="Picture 62" descr="Documents icon">
          <a:extLst>
            <a:ext uri="{FF2B5EF4-FFF2-40B4-BE49-F238E27FC236}">
              <a16:creationId xmlns:a16="http://schemas.microsoft.com/office/drawing/2014/main" xmlns="" id="{00000000-0008-0000-0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534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101600</xdr:rowOff>
    </xdr:from>
    <xdr:to>
      <xdr:col>3</xdr:col>
      <xdr:colOff>165100</xdr:colOff>
      <xdr:row>215</xdr:row>
      <xdr:rowOff>63500</xdr:rowOff>
    </xdr:to>
    <xdr:sp macro="" textlink="">
      <xdr:nvSpPr>
        <xdr:cNvPr id="7231" name="Control 63" hidden="1">
          <a:extLst>
            <a:ext uri="{63B3BB69-23CF-44E3-9099-C40C66FF867C}">
              <a14:compatExt xmlns:a14="http://schemas.microsoft.com/office/drawing/2010/main" spid="_x0000_s7231"/>
            </a:ext>
            <a:ext uri="{FF2B5EF4-FFF2-40B4-BE49-F238E27FC236}">
              <a16:creationId xmlns:a16="http://schemas.microsoft.com/office/drawing/2014/main" xmlns="" id="{00000000-0008-0000-0600-00003F1C0000}"/>
            </a:ext>
          </a:extLst>
        </xdr:cNvPr>
        <xdr:cNvSpPr/>
      </xdr:nvSpPr>
      <xdr:spPr>
        <a:xfrm>
          <a:off x="0" y="0"/>
          <a:ext cx="0" cy="0"/>
        </a:xfrm>
        <a:prstGeom prst="rect">
          <a:avLst/>
        </a:prstGeom>
      </xdr:spPr>
    </xdr:sp>
    <xdr:clientData/>
  </xdr:twoCellAnchor>
  <xdr:twoCellAnchor editAs="oneCell">
    <xdr:from>
      <xdr:col>4</xdr:col>
      <xdr:colOff>0</xdr:colOff>
      <xdr:row>97</xdr:row>
      <xdr:rowOff>0</xdr:rowOff>
    </xdr:from>
    <xdr:to>
      <xdr:col>4</xdr:col>
      <xdr:colOff>152400</xdr:colOff>
      <xdr:row>97</xdr:row>
      <xdr:rowOff>152400</xdr:rowOff>
    </xdr:to>
    <xdr:pic>
      <xdr:nvPicPr>
        <xdr:cNvPr id="65" name="Picture 64" descr="Documents icon">
          <a:extLst>
            <a:ext uri="{FF2B5EF4-FFF2-40B4-BE49-F238E27FC236}">
              <a16:creationId xmlns:a16="http://schemas.microsoft.com/office/drawing/2014/main" xmlns="" id="{00000000-0008-0000-0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50800</xdr:rowOff>
    </xdr:from>
    <xdr:to>
      <xdr:col>3</xdr:col>
      <xdr:colOff>165100</xdr:colOff>
      <xdr:row>222</xdr:row>
      <xdr:rowOff>25400</xdr:rowOff>
    </xdr:to>
    <xdr:sp macro="" textlink="">
      <xdr:nvSpPr>
        <xdr:cNvPr id="7233" name="Control 65" hidden="1">
          <a:extLst>
            <a:ext uri="{63B3BB69-23CF-44E3-9099-C40C66FF867C}">
              <a14:compatExt xmlns:a14="http://schemas.microsoft.com/office/drawing/2010/main" spid="_x0000_s7233"/>
            </a:ext>
            <a:ext uri="{FF2B5EF4-FFF2-40B4-BE49-F238E27FC236}">
              <a16:creationId xmlns:a16="http://schemas.microsoft.com/office/drawing/2014/main" xmlns="" id="{00000000-0008-0000-0600-0000411C0000}"/>
            </a:ext>
          </a:extLst>
        </xdr:cNvPr>
        <xdr:cNvSpPr/>
      </xdr:nvSpPr>
      <xdr:spPr>
        <a:xfrm>
          <a:off x="0" y="0"/>
          <a:ext cx="0" cy="0"/>
        </a:xfrm>
        <a:prstGeom prst="rect">
          <a:avLst/>
        </a:prstGeom>
      </xdr:spPr>
    </xdr:sp>
    <xdr:clientData/>
  </xdr:twoCellAnchor>
  <xdr:twoCellAnchor editAs="oneCell">
    <xdr:from>
      <xdr:col>4</xdr:col>
      <xdr:colOff>0</xdr:colOff>
      <xdr:row>100</xdr:row>
      <xdr:rowOff>0</xdr:rowOff>
    </xdr:from>
    <xdr:to>
      <xdr:col>4</xdr:col>
      <xdr:colOff>152400</xdr:colOff>
      <xdr:row>100</xdr:row>
      <xdr:rowOff>152400</xdr:rowOff>
    </xdr:to>
    <xdr:pic>
      <xdr:nvPicPr>
        <xdr:cNvPr id="67" name="Picture 66" descr="Documents icon">
          <a:extLst>
            <a:ext uri="{FF2B5EF4-FFF2-40B4-BE49-F238E27FC236}">
              <a16:creationId xmlns:a16="http://schemas.microsoft.com/office/drawing/2014/main" xmlns="" id="{00000000-0008-0000-0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53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139700</xdr:rowOff>
    </xdr:from>
    <xdr:to>
      <xdr:col>3</xdr:col>
      <xdr:colOff>165100</xdr:colOff>
      <xdr:row>228</xdr:row>
      <xdr:rowOff>101600</xdr:rowOff>
    </xdr:to>
    <xdr:sp macro="" textlink="">
      <xdr:nvSpPr>
        <xdr:cNvPr id="7235" name="Control 67" hidden="1">
          <a:extLst>
            <a:ext uri="{63B3BB69-23CF-44E3-9099-C40C66FF867C}">
              <a14:compatExt xmlns:a14="http://schemas.microsoft.com/office/drawing/2010/main" spid="_x0000_s7235"/>
            </a:ext>
            <a:ext uri="{FF2B5EF4-FFF2-40B4-BE49-F238E27FC236}">
              <a16:creationId xmlns:a16="http://schemas.microsoft.com/office/drawing/2014/main" xmlns="" id="{00000000-0008-0000-0600-0000431C0000}"/>
            </a:ext>
          </a:extLst>
        </xdr:cNvPr>
        <xdr:cNvSpPr/>
      </xdr:nvSpPr>
      <xdr:spPr>
        <a:xfrm>
          <a:off x="0" y="0"/>
          <a:ext cx="0" cy="0"/>
        </a:xfrm>
        <a:prstGeom prst="rect">
          <a:avLst/>
        </a:prstGeom>
      </xdr:spPr>
    </xdr:sp>
    <xdr:clientData/>
  </xdr:twoCellAnchor>
  <xdr:twoCellAnchor editAs="oneCell">
    <xdr:from>
      <xdr:col>4</xdr:col>
      <xdr:colOff>0</xdr:colOff>
      <xdr:row>103</xdr:row>
      <xdr:rowOff>0</xdr:rowOff>
    </xdr:from>
    <xdr:to>
      <xdr:col>4</xdr:col>
      <xdr:colOff>152400</xdr:colOff>
      <xdr:row>103</xdr:row>
      <xdr:rowOff>152400</xdr:rowOff>
    </xdr:to>
    <xdr:pic>
      <xdr:nvPicPr>
        <xdr:cNvPr id="69" name="Picture 68" descr="Documents icon">
          <a:extLst>
            <a:ext uri="{FF2B5EF4-FFF2-40B4-BE49-F238E27FC236}">
              <a16:creationId xmlns:a16="http://schemas.microsoft.com/office/drawing/2014/main" xmlns="" id="{00000000-0008-0000-0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92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114300</xdr:rowOff>
    </xdr:from>
    <xdr:to>
      <xdr:col>3</xdr:col>
      <xdr:colOff>165100</xdr:colOff>
      <xdr:row>235</xdr:row>
      <xdr:rowOff>76200</xdr:rowOff>
    </xdr:to>
    <xdr:sp macro="" textlink="">
      <xdr:nvSpPr>
        <xdr:cNvPr id="7237" name="Control 69" hidden="1">
          <a:extLst>
            <a:ext uri="{63B3BB69-23CF-44E3-9099-C40C66FF867C}">
              <a14:compatExt xmlns:a14="http://schemas.microsoft.com/office/drawing/2010/main" spid="_x0000_s7237"/>
            </a:ext>
            <a:ext uri="{FF2B5EF4-FFF2-40B4-BE49-F238E27FC236}">
              <a16:creationId xmlns:a16="http://schemas.microsoft.com/office/drawing/2014/main" xmlns="" id="{00000000-0008-0000-0600-0000451C0000}"/>
            </a:ext>
          </a:extLst>
        </xdr:cNvPr>
        <xdr:cNvSpPr/>
      </xdr:nvSpPr>
      <xdr:spPr>
        <a:xfrm>
          <a:off x="0" y="0"/>
          <a:ext cx="0" cy="0"/>
        </a:xfrm>
        <a:prstGeom prst="rect">
          <a:avLst/>
        </a:prstGeom>
      </xdr:spPr>
    </xdr:sp>
    <xdr:clientData/>
  </xdr:twoCellAnchor>
  <xdr:twoCellAnchor editAs="oneCell">
    <xdr:from>
      <xdr:col>4</xdr:col>
      <xdr:colOff>0</xdr:colOff>
      <xdr:row>106</xdr:row>
      <xdr:rowOff>0</xdr:rowOff>
    </xdr:from>
    <xdr:to>
      <xdr:col>4</xdr:col>
      <xdr:colOff>152400</xdr:colOff>
      <xdr:row>106</xdr:row>
      <xdr:rowOff>152400</xdr:rowOff>
    </xdr:to>
    <xdr:pic>
      <xdr:nvPicPr>
        <xdr:cNvPr id="71" name="Picture 70" descr="Documents icon">
          <a:extLst>
            <a:ext uri="{FF2B5EF4-FFF2-40B4-BE49-F238E27FC236}">
              <a16:creationId xmlns:a16="http://schemas.microsoft.com/office/drawing/2014/main" xmlns="" id="{00000000-0008-0000-0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773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165100</xdr:colOff>
      <xdr:row>241</xdr:row>
      <xdr:rowOff>152400</xdr:rowOff>
    </xdr:to>
    <xdr:sp macro="" textlink="">
      <xdr:nvSpPr>
        <xdr:cNvPr id="7239" name="Control 71" hidden="1">
          <a:extLst>
            <a:ext uri="{63B3BB69-23CF-44E3-9099-C40C66FF867C}">
              <a14:compatExt xmlns:a14="http://schemas.microsoft.com/office/drawing/2010/main" spid="_x0000_s7239"/>
            </a:ext>
            <a:ext uri="{FF2B5EF4-FFF2-40B4-BE49-F238E27FC236}">
              <a16:creationId xmlns:a16="http://schemas.microsoft.com/office/drawing/2014/main" xmlns="" id="{00000000-0008-0000-0600-0000471C0000}"/>
            </a:ext>
          </a:extLst>
        </xdr:cNvPr>
        <xdr:cNvSpPr/>
      </xdr:nvSpPr>
      <xdr:spPr>
        <a:xfrm>
          <a:off x="0" y="0"/>
          <a:ext cx="0" cy="0"/>
        </a:xfrm>
        <a:prstGeom prst="rect">
          <a:avLst/>
        </a:prstGeom>
      </xdr:spPr>
    </xdr:sp>
    <xdr:clientData/>
  </xdr:twoCellAnchor>
  <xdr:twoCellAnchor editAs="oneCell">
    <xdr:from>
      <xdr:col>4</xdr:col>
      <xdr:colOff>0</xdr:colOff>
      <xdr:row>109</xdr:row>
      <xdr:rowOff>0</xdr:rowOff>
    </xdr:from>
    <xdr:to>
      <xdr:col>4</xdr:col>
      <xdr:colOff>152400</xdr:colOff>
      <xdr:row>109</xdr:row>
      <xdr:rowOff>152400</xdr:rowOff>
    </xdr:to>
    <xdr:pic>
      <xdr:nvPicPr>
        <xdr:cNvPr id="73" name="Picture 72" descr="Documents icon">
          <a:extLst>
            <a:ext uri="{FF2B5EF4-FFF2-40B4-BE49-F238E27FC236}">
              <a16:creationId xmlns:a16="http://schemas.microsoft.com/office/drawing/2014/main" xmlns="" id="{00000000-0008-0000-0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92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152400</xdr:rowOff>
    </xdr:from>
    <xdr:to>
      <xdr:col>3</xdr:col>
      <xdr:colOff>165100</xdr:colOff>
      <xdr:row>248</xdr:row>
      <xdr:rowOff>114300</xdr:rowOff>
    </xdr:to>
    <xdr:sp macro="" textlink="">
      <xdr:nvSpPr>
        <xdr:cNvPr id="7241" name="Control 73" hidden="1">
          <a:extLst>
            <a:ext uri="{63B3BB69-23CF-44E3-9099-C40C66FF867C}">
              <a14:compatExt xmlns:a14="http://schemas.microsoft.com/office/drawing/2010/main" spid="_x0000_s7241"/>
            </a:ext>
            <a:ext uri="{FF2B5EF4-FFF2-40B4-BE49-F238E27FC236}">
              <a16:creationId xmlns:a16="http://schemas.microsoft.com/office/drawing/2014/main" xmlns="" id="{00000000-0008-0000-0600-0000491C0000}"/>
            </a:ext>
          </a:extLst>
        </xdr:cNvPr>
        <xdr:cNvSpPr/>
      </xdr:nvSpPr>
      <xdr:spPr>
        <a:xfrm>
          <a:off x="0" y="0"/>
          <a:ext cx="0" cy="0"/>
        </a:xfrm>
        <a:prstGeom prst="rect">
          <a:avLst/>
        </a:prstGeom>
      </xdr:spPr>
    </xdr:sp>
    <xdr:clientData/>
  </xdr:twoCellAnchor>
  <xdr:twoCellAnchor editAs="oneCell">
    <xdr:from>
      <xdr:col>4</xdr:col>
      <xdr:colOff>0</xdr:colOff>
      <xdr:row>112</xdr:row>
      <xdr:rowOff>0</xdr:rowOff>
    </xdr:from>
    <xdr:to>
      <xdr:col>4</xdr:col>
      <xdr:colOff>152400</xdr:colOff>
      <xdr:row>112</xdr:row>
      <xdr:rowOff>152400</xdr:rowOff>
    </xdr:to>
    <xdr:pic>
      <xdr:nvPicPr>
        <xdr:cNvPr id="75" name="Picture 74" descr="Documents icon">
          <a:extLst>
            <a:ext uri="{FF2B5EF4-FFF2-40B4-BE49-F238E27FC236}">
              <a16:creationId xmlns:a16="http://schemas.microsoft.com/office/drawing/2014/main" xmlns="" id="{00000000-0008-0000-0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76200</xdr:rowOff>
    </xdr:from>
    <xdr:to>
      <xdr:col>3</xdr:col>
      <xdr:colOff>165100</xdr:colOff>
      <xdr:row>255</xdr:row>
      <xdr:rowOff>38100</xdr:rowOff>
    </xdr:to>
    <xdr:sp macro="" textlink="">
      <xdr:nvSpPr>
        <xdr:cNvPr id="7243" name="Control 75" hidden="1">
          <a:extLst>
            <a:ext uri="{63B3BB69-23CF-44E3-9099-C40C66FF867C}">
              <a14:compatExt xmlns:a14="http://schemas.microsoft.com/office/drawing/2010/main" spid="_x0000_s7243"/>
            </a:ext>
            <a:ext uri="{FF2B5EF4-FFF2-40B4-BE49-F238E27FC236}">
              <a16:creationId xmlns:a16="http://schemas.microsoft.com/office/drawing/2014/main" xmlns="" id="{00000000-0008-0000-0600-00004B1C0000}"/>
            </a:ext>
          </a:extLst>
        </xdr:cNvPr>
        <xdr:cNvSpPr/>
      </xdr:nvSpPr>
      <xdr:spPr>
        <a:xfrm>
          <a:off x="0" y="0"/>
          <a:ext cx="0" cy="0"/>
        </a:xfrm>
        <a:prstGeom prst="rect">
          <a:avLst/>
        </a:prstGeom>
      </xdr:spPr>
    </xdr:sp>
    <xdr:clientData/>
  </xdr:twoCellAnchor>
  <xdr:twoCellAnchor editAs="oneCell">
    <xdr:from>
      <xdr:col>4</xdr:col>
      <xdr:colOff>0</xdr:colOff>
      <xdr:row>115</xdr:row>
      <xdr:rowOff>0</xdr:rowOff>
    </xdr:from>
    <xdr:to>
      <xdr:col>4</xdr:col>
      <xdr:colOff>152400</xdr:colOff>
      <xdr:row>115</xdr:row>
      <xdr:rowOff>152400</xdr:rowOff>
    </xdr:to>
    <xdr:pic>
      <xdr:nvPicPr>
        <xdr:cNvPr id="77" name="Picture 76" descr="Documents icon">
          <a:extLst>
            <a:ext uri="{FF2B5EF4-FFF2-40B4-BE49-F238E27FC236}">
              <a16:creationId xmlns:a16="http://schemas.microsoft.com/office/drawing/2014/main" xmlns="" id="{00000000-0008-0000-0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012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38100</xdr:rowOff>
    </xdr:from>
    <xdr:to>
      <xdr:col>3</xdr:col>
      <xdr:colOff>165100</xdr:colOff>
      <xdr:row>262</xdr:row>
      <xdr:rowOff>0</xdr:rowOff>
    </xdr:to>
    <xdr:sp macro="" textlink="">
      <xdr:nvSpPr>
        <xdr:cNvPr id="7245" name="Control 77" hidden="1">
          <a:extLst>
            <a:ext uri="{63B3BB69-23CF-44E3-9099-C40C66FF867C}">
              <a14:compatExt xmlns:a14="http://schemas.microsoft.com/office/drawing/2010/main" spid="_x0000_s7245"/>
            </a:ext>
            <a:ext uri="{FF2B5EF4-FFF2-40B4-BE49-F238E27FC236}">
              <a16:creationId xmlns:a16="http://schemas.microsoft.com/office/drawing/2014/main" xmlns="" id="{00000000-0008-0000-0600-00004D1C0000}"/>
            </a:ext>
          </a:extLst>
        </xdr:cNvPr>
        <xdr:cNvSpPr/>
      </xdr:nvSpPr>
      <xdr:spPr>
        <a:xfrm>
          <a:off x="0" y="0"/>
          <a:ext cx="0" cy="0"/>
        </a:xfrm>
        <a:prstGeom prst="rect">
          <a:avLst/>
        </a:prstGeom>
      </xdr:spPr>
    </xdr:sp>
    <xdr:clientData/>
  </xdr:twoCellAnchor>
  <xdr:twoCellAnchor editAs="oneCell">
    <xdr:from>
      <xdr:col>4</xdr:col>
      <xdr:colOff>0</xdr:colOff>
      <xdr:row>118</xdr:row>
      <xdr:rowOff>0</xdr:rowOff>
    </xdr:from>
    <xdr:to>
      <xdr:col>4</xdr:col>
      <xdr:colOff>152400</xdr:colOff>
      <xdr:row>118</xdr:row>
      <xdr:rowOff>152400</xdr:rowOff>
    </xdr:to>
    <xdr:pic>
      <xdr:nvPicPr>
        <xdr:cNvPr id="79" name="Picture 78" descr="Documents icon">
          <a:extLst>
            <a:ext uri="{FF2B5EF4-FFF2-40B4-BE49-F238E27FC236}">
              <a16:creationId xmlns:a16="http://schemas.microsoft.com/office/drawing/2014/main" xmlns="" id="{00000000-0008-0000-0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88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88900</xdr:rowOff>
    </xdr:from>
    <xdr:to>
      <xdr:col>3</xdr:col>
      <xdr:colOff>165100</xdr:colOff>
      <xdr:row>268</xdr:row>
      <xdr:rowOff>63500</xdr:rowOff>
    </xdr:to>
    <xdr:sp macro="" textlink="">
      <xdr:nvSpPr>
        <xdr:cNvPr id="7247" name="Control 79" hidden="1">
          <a:extLst>
            <a:ext uri="{63B3BB69-23CF-44E3-9099-C40C66FF867C}">
              <a14:compatExt xmlns:a14="http://schemas.microsoft.com/office/drawing/2010/main" spid="_x0000_s7247"/>
            </a:ext>
            <a:ext uri="{FF2B5EF4-FFF2-40B4-BE49-F238E27FC236}">
              <a16:creationId xmlns:a16="http://schemas.microsoft.com/office/drawing/2014/main" xmlns="" id="{00000000-0008-0000-0600-00004F1C0000}"/>
            </a:ext>
          </a:extLst>
        </xdr:cNvPr>
        <xdr:cNvSpPr/>
      </xdr:nvSpPr>
      <xdr:spPr>
        <a:xfrm>
          <a:off x="0" y="0"/>
          <a:ext cx="0" cy="0"/>
        </a:xfrm>
        <a:prstGeom prst="rect">
          <a:avLst/>
        </a:prstGeom>
      </xdr:spPr>
    </xdr:sp>
    <xdr:clientData/>
  </xdr:twoCellAnchor>
  <xdr:twoCellAnchor editAs="oneCell">
    <xdr:from>
      <xdr:col>4</xdr:col>
      <xdr:colOff>0</xdr:colOff>
      <xdr:row>121</xdr:row>
      <xdr:rowOff>0</xdr:rowOff>
    </xdr:from>
    <xdr:to>
      <xdr:col>4</xdr:col>
      <xdr:colOff>152400</xdr:colOff>
      <xdr:row>121</xdr:row>
      <xdr:rowOff>152400</xdr:rowOff>
    </xdr:to>
    <xdr:pic>
      <xdr:nvPicPr>
        <xdr:cNvPr id="81" name="Picture 80" descr="Documents icon">
          <a:extLst>
            <a:ext uri="{FF2B5EF4-FFF2-40B4-BE49-F238E27FC236}">
              <a16:creationId xmlns:a16="http://schemas.microsoft.com/office/drawing/2014/main" xmlns="" id="{00000000-0008-0000-0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17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114300</xdr:rowOff>
    </xdr:from>
    <xdr:to>
      <xdr:col>3</xdr:col>
      <xdr:colOff>165100</xdr:colOff>
      <xdr:row>275</xdr:row>
      <xdr:rowOff>88900</xdr:rowOff>
    </xdr:to>
    <xdr:sp macro="" textlink="">
      <xdr:nvSpPr>
        <xdr:cNvPr id="7249" name="Control 81" hidden="1">
          <a:extLst>
            <a:ext uri="{63B3BB69-23CF-44E3-9099-C40C66FF867C}">
              <a14:compatExt xmlns:a14="http://schemas.microsoft.com/office/drawing/2010/main" spid="_x0000_s7249"/>
            </a:ext>
            <a:ext uri="{FF2B5EF4-FFF2-40B4-BE49-F238E27FC236}">
              <a16:creationId xmlns:a16="http://schemas.microsoft.com/office/drawing/2014/main" xmlns="" id="{00000000-0008-0000-0600-0000511C0000}"/>
            </a:ext>
          </a:extLst>
        </xdr:cNvPr>
        <xdr:cNvSpPr/>
      </xdr:nvSpPr>
      <xdr:spPr>
        <a:xfrm>
          <a:off x="0" y="0"/>
          <a:ext cx="0" cy="0"/>
        </a:xfrm>
        <a:prstGeom prst="rect">
          <a:avLst/>
        </a:prstGeom>
      </xdr:spPr>
    </xdr:sp>
    <xdr:clientData/>
  </xdr:twoCellAnchor>
  <xdr:twoCellAnchor editAs="oneCell">
    <xdr:from>
      <xdr:col>4</xdr:col>
      <xdr:colOff>0</xdr:colOff>
      <xdr:row>124</xdr:row>
      <xdr:rowOff>0</xdr:rowOff>
    </xdr:from>
    <xdr:to>
      <xdr:col>4</xdr:col>
      <xdr:colOff>152400</xdr:colOff>
      <xdr:row>124</xdr:row>
      <xdr:rowOff>152400</xdr:rowOff>
    </xdr:to>
    <xdr:pic>
      <xdr:nvPicPr>
        <xdr:cNvPr id="83" name="Picture 82" descr="Documents icon">
          <a:extLst>
            <a:ext uri="{FF2B5EF4-FFF2-40B4-BE49-F238E27FC236}">
              <a16:creationId xmlns:a16="http://schemas.microsoft.com/office/drawing/2014/main" xmlns="" id="{00000000-0008-0000-0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346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177800</xdr:rowOff>
    </xdr:from>
    <xdr:to>
      <xdr:col>3</xdr:col>
      <xdr:colOff>165100</xdr:colOff>
      <xdr:row>281</xdr:row>
      <xdr:rowOff>139700</xdr:rowOff>
    </xdr:to>
    <xdr:sp macro="" textlink="">
      <xdr:nvSpPr>
        <xdr:cNvPr id="7251" name="Control 83" hidden="1">
          <a:extLst>
            <a:ext uri="{63B3BB69-23CF-44E3-9099-C40C66FF867C}">
              <a14:compatExt xmlns:a14="http://schemas.microsoft.com/office/drawing/2010/main" spid="_x0000_s7251"/>
            </a:ext>
            <a:ext uri="{FF2B5EF4-FFF2-40B4-BE49-F238E27FC236}">
              <a16:creationId xmlns:a16="http://schemas.microsoft.com/office/drawing/2014/main" xmlns="" id="{00000000-0008-0000-0600-0000531C0000}"/>
            </a:ext>
          </a:extLst>
        </xdr:cNvPr>
        <xdr:cNvSpPr/>
      </xdr:nvSpPr>
      <xdr:spPr>
        <a:xfrm>
          <a:off x="0" y="0"/>
          <a:ext cx="0" cy="0"/>
        </a:xfrm>
        <a:prstGeom prst="rect">
          <a:avLst/>
        </a:prstGeom>
      </xdr:spPr>
    </xdr:sp>
    <xdr:clientData/>
  </xdr:twoCellAnchor>
  <xdr:twoCellAnchor editAs="oneCell">
    <xdr:from>
      <xdr:col>4</xdr:col>
      <xdr:colOff>0</xdr:colOff>
      <xdr:row>127</xdr:row>
      <xdr:rowOff>0</xdr:rowOff>
    </xdr:from>
    <xdr:to>
      <xdr:col>4</xdr:col>
      <xdr:colOff>152400</xdr:colOff>
      <xdr:row>127</xdr:row>
      <xdr:rowOff>152400</xdr:rowOff>
    </xdr:to>
    <xdr:pic>
      <xdr:nvPicPr>
        <xdr:cNvPr id="85" name="Picture 84" descr="Documents icon">
          <a:extLst>
            <a:ext uri="{FF2B5EF4-FFF2-40B4-BE49-F238E27FC236}">
              <a16:creationId xmlns:a16="http://schemas.microsoft.com/office/drawing/2014/main" xmlns="" id="{00000000-0008-0000-0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775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114300</xdr:rowOff>
    </xdr:from>
    <xdr:to>
      <xdr:col>3</xdr:col>
      <xdr:colOff>165100</xdr:colOff>
      <xdr:row>288</xdr:row>
      <xdr:rowOff>88900</xdr:rowOff>
    </xdr:to>
    <xdr:sp macro="" textlink="">
      <xdr:nvSpPr>
        <xdr:cNvPr id="7253" name="Control 85" hidden="1">
          <a:extLst>
            <a:ext uri="{63B3BB69-23CF-44E3-9099-C40C66FF867C}">
              <a14:compatExt xmlns:a14="http://schemas.microsoft.com/office/drawing/2010/main" spid="_x0000_s7253"/>
            </a:ext>
            <a:ext uri="{FF2B5EF4-FFF2-40B4-BE49-F238E27FC236}">
              <a16:creationId xmlns:a16="http://schemas.microsoft.com/office/drawing/2014/main" xmlns="" id="{00000000-0008-0000-0600-0000551C0000}"/>
            </a:ext>
          </a:extLst>
        </xdr:cNvPr>
        <xdr:cNvSpPr/>
      </xdr:nvSpPr>
      <xdr:spPr>
        <a:xfrm>
          <a:off x="0" y="0"/>
          <a:ext cx="0" cy="0"/>
        </a:xfrm>
        <a:prstGeom prst="rect">
          <a:avLst/>
        </a:prstGeom>
      </xdr:spPr>
    </xdr:sp>
    <xdr:clientData/>
  </xdr:twoCellAnchor>
  <xdr:twoCellAnchor editAs="oneCell">
    <xdr:from>
      <xdr:col>4</xdr:col>
      <xdr:colOff>0</xdr:colOff>
      <xdr:row>130</xdr:row>
      <xdr:rowOff>0</xdr:rowOff>
    </xdr:from>
    <xdr:to>
      <xdr:col>4</xdr:col>
      <xdr:colOff>152400</xdr:colOff>
      <xdr:row>130</xdr:row>
      <xdr:rowOff>152400</xdr:rowOff>
    </xdr:to>
    <xdr:pic>
      <xdr:nvPicPr>
        <xdr:cNvPr id="87" name="Picture 86" descr="Documents icon">
          <a:extLst>
            <a:ext uri="{FF2B5EF4-FFF2-40B4-BE49-F238E27FC236}">
              <a16:creationId xmlns:a16="http://schemas.microsoft.com/office/drawing/2014/main" xmlns="" id="{00000000-0008-0000-0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20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127000</xdr:rowOff>
    </xdr:from>
    <xdr:to>
      <xdr:col>3</xdr:col>
      <xdr:colOff>165100</xdr:colOff>
      <xdr:row>295</xdr:row>
      <xdr:rowOff>101600</xdr:rowOff>
    </xdr:to>
    <xdr:sp macro="" textlink="">
      <xdr:nvSpPr>
        <xdr:cNvPr id="7255" name="Control 87" hidden="1">
          <a:extLst>
            <a:ext uri="{63B3BB69-23CF-44E3-9099-C40C66FF867C}">
              <a14:compatExt xmlns:a14="http://schemas.microsoft.com/office/drawing/2010/main" spid="_x0000_s7255"/>
            </a:ext>
            <a:ext uri="{FF2B5EF4-FFF2-40B4-BE49-F238E27FC236}">
              <a16:creationId xmlns:a16="http://schemas.microsoft.com/office/drawing/2014/main" xmlns="" id="{00000000-0008-0000-0600-0000571C0000}"/>
            </a:ext>
          </a:extLst>
        </xdr:cNvPr>
        <xdr:cNvSpPr/>
      </xdr:nvSpPr>
      <xdr:spPr>
        <a:xfrm>
          <a:off x="0" y="0"/>
          <a:ext cx="0" cy="0"/>
        </a:xfrm>
        <a:prstGeom prst="rect">
          <a:avLst/>
        </a:prstGeom>
      </xdr:spPr>
    </xdr:sp>
    <xdr:clientData/>
  </xdr:twoCellAnchor>
  <xdr:twoCellAnchor editAs="oneCell">
    <xdr:from>
      <xdr:col>4</xdr:col>
      <xdr:colOff>0</xdr:colOff>
      <xdr:row>133</xdr:row>
      <xdr:rowOff>0</xdr:rowOff>
    </xdr:from>
    <xdr:to>
      <xdr:col>4</xdr:col>
      <xdr:colOff>152400</xdr:colOff>
      <xdr:row>133</xdr:row>
      <xdr:rowOff>152400</xdr:rowOff>
    </xdr:to>
    <xdr:pic>
      <xdr:nvPicPr>
        <xdr:cNvPr id="89" name="Picture 88" descr="Documents icon">
          <a:extLst>
            <a:ext uri="{FF2B5EF4-FFF2-40B4-BE49-F238E27FC236}">
              <a16:creationId xmlns:a16="http://schemas.microsoft.com/office/drawing/2014/main" xmlns="" id="{00000000-0008-0000-0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49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165100</xdr:rowOff>
    </xdr:from>
    <xdr:to>
      <xdr:col>3</xdr:col>
      <xdr:colOff>165100</xdr:colOff>
      <xdr:row>301</xdr:row>
      <xdr:rowOff>139700</xdr:rowOff>
    </xdr:to>
    <xdr:sp macro="" textlink="">
      <xdr:nvSpPr>
        <xdr:cNvPr id="7257" name="Control 89" hidden="1">
          <a:extLst>
            <a:ext uri="{63B3BB69-23CF-44E3-9099-C40C66FF867C}">
              <a14:compatExt xmlns:a14="http://schemas.microsoft.com/office/drawing/2010/main" spid="_x0000_s7257"/>
            </a:ext>
            <a:ext uri="{FF2B5EF4-FFF2-40B4-BE49-F238E27FC236}">
              <a16:creationId xmlns:a16="http://schemas.microsoft.com/office/drawing/2014/main" xmlns="" id="{00000000-0008-0000-0600-0000591C0000}"/>
            </a:ext>
          </a:extLst>
        </xdr:cNvPr>
        <xdr:cNvSpPr/>
      </xdr:nvSpPr>
      <xdr:spPr>
        <a:xfrm>
          <a:off x="0" y="0"/>
          <a:ext cx="0" cy="0"/>
        </a:xfrm>
        <a:prstGeom prst="rect">
          <a:avLst/>
        </a:prstGeom>
      </xdr:spPr>
    </xdr:sp>
    <xdr:clientData/>
  </xdr:twoCellAnchor>
  <xdr:twoCellAnchor editAs="oneCell">
    <xdr:from>
      <xdr:col>4</xdr:col>
      <xdr:colOff>0</xdr:colOff>
      <xdr:row>136</xdr:row>
      <xdr:rowOff>0</xdr:rowOff>
    </xdr:from>
    <xdr:to>
      <xdr:col>4</xdr:col>
      <xdr:colOff>152400</xdr:colOff>
      <xdr:row>136</xdr:row>
      <xdr:rowOff>152400</xdr:rowOff>
    </xdr:to>
    <xdr:pic>
      <xdr:nvPicPr>
        <xdr:cNvPr id="91" name="Picture 90" descr="Documents icon">
          <a:extLst>
            <a:ext uri="{FF2B5EF4-FFF2-40B4-BE49-F238E27FC236}">
              <a16:creationId xmlns:a16="http://schemas.microsoft.com/office/drawing/2014/main" xmlns="" id="{00000000-0008-0000-0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299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88900</xdr:rowOff>
    </xdr:from>
    <xdr:to>
      <xdr:col>3</xdr:col>
      <xdr:colOff>165100</xdr:colOff>
      <xdr:row>308</xdr:row>
      <xdr:rowOff>63500</xdr:rowOff>
    </xdr:to>
    <xdr:sp macro="" textlink="">
      <xdr:nvSpPr>
        <xdr:cNvPr id="7259" name="Control 91" hidden="1">
          <a:extLst>
            <a:ext uri="{63B3BB69-23CF-44E3-9099-C40C66FF867C}">
              <a14:compatExt xmlns:a14="http://schemas.microsoft.com/office/drawing/2010/main" spid="_x0000_s7259"/>
            </a:ext>
            <a:ext uri="{FF2B5EF4-FFF2-40B4-BE49-F238E27FC236}">
              <a16:creationId xmlns:a16="http://schemas.microsoft.com/office/drawing/2014/main" xmlns="" id="{00000000-0008-0000-0600-00005B1C0000}"/>
            </a:ext>
          </a:extLst>
        </xdr:cNvPr>
        <xdr:cNvSpPr/>
      </xdr:nvSpPr>
      <xdr:spPr>
        <a:xfrm>
          <a:off x="0" y="0"/>
          <a:ext cx="0" cy="0"/>
        </a:xfrm>
        <a:prstGeom prst="rect">
          <a:avLst/>
        </a:prstGeom>
      </xdr:spPr>
    </xdr:sp>
    <xdr:clientData/>
  </xdr:twoCellAnchor>
  <xdr:twoCellAnchor editAs="oneCell">
    <xdr:from>
      <xdr:col>4</xdr:col>
      <xdr:colOff>0</xdr:colOff>
      <xdr:row>139</xdr:row>
      <xdr:rowOff>0</xdr:rowOff>
    </xdr:from>
    <xdr:to>
      <xdr:col>4</xdr:col>
      <xdr:colOff>152400</xdr:colOff>
      <xdr:row>139</xdr:row>
      <xdr:rowOff>152400</xdr:rowOff>
    </xdr:to>
    <xdr:pic>
      <xdr:nvPicPr>
        <xdr:cNvPr id="93" name="Picture 92" descr="Documents icon">
          <a:extLst>
            <a:ext uri="{FF2B5EF4-FFF2-40B4-BE49-F238E27FC236}">
              <a16:creationId xmlns:a16="http://schemas.microsoft.com/office/drawing/2014/main" xmlns="" id="{00000000-0008-0000-0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91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38100</xdr:rowOff>
    </xdr:from>
    <xdr:to>
      <xdr:col>3</xdr:col>
      <xdr:colOff>165100</xdr:colOff>
      <xdr:row>315</xdr:row>
      <xdr:rowOff>12700</xdr:rowOff>
    </xdr:to>
    <xdr:sp macro="" textlink="">
      <xdr:nvSpPr>
        <xdr:cNvPr id="7261" name="Control 93" hidden="1">
          <a:extLst>
            <a:ext uri="{63B3BB69-23CF-44E3-9099-C40C66FF867C}">
              <a14:compatExt xmlns:a14="http://schemas.microsoft.com/office/drawing/2010/main" spid="_x0000_s7261"/>
            </a:ext>
            <a:ext uri="{FF2B5EF4-FFF2-40B4-BE49-F238E27FC236}">
              <a16:creationId xmlns:a16="http://schemas.microsoft.com/office/drawing/2014/main" xmlns="" id="{00000000-0008-0000-0600-00005D1C0000}"/>
            </a:ext>
          </a:extLst>
        </xdr:cNvPr>
        <xdr:cNvSpPr/>
      </xdr:nvSpPr>
      <xdr:spPr>
        <a:xfrm>
          <a:off x="0" y="0"/>
          <a:ext cx="0" cy="0"/>
        </a:xfrm>
        <a:prstGeom prst="rect">
          <a:avLst/>
        </a:prstGeom>
      </xdr:spPr>
    </xdr:sp>
    <xdr:clientData/>
  </xdr:twoCellAnchor>
  <xdr:twoCellAnchor editAs="oneCell">
    <xdr:from>
      <xdr:col>4</xdr:col>
      <xdr:colOff>0</xdr:colOff>
      <xdr:row>142</xdr:row>
      <xdr:rowOff>0</xdr:rowOff>
    </xdr:from>
    <xdr:to>
      <xdr:col>4</xdr:col>
      <xdr:colOff>152400</xdr:colOff>
      <xdr:row>142</xdr:row>
      <xdr:rowOff>152400</xdr:rowOff>
    </xdr:to>
    <xdr:pic>
      <xdr:nvPicPr>
        <xdr:cNvPr id="95" name="Picture 94" descr="Documents icon">
          <a:extLst>
            <a:ext uri="{FF2B5EF4-FFF2-40B4-BE49-F238E27FC236}">
              <a16:creationId xmlns:a16="http://schemas.microsoft.com/office/drawing/2014/main" xmlns="" id="{00000000-0008-0000-0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47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63500</xdr:rowOff>
    </xdr:from>
    <xdr:to>
      <xdr:col>3</xdr:col>
      <xdr:colOff>165100</xdr:colOff>
      <xdr:row>322</xdr:row>
      <xdr:rowOff>25400</xdr:rowOff>
    </xdr:to>
    <xdr:sp macro="" textlink="">
      <xdr:nvSpPr>
        <xdr:cNvPr id="7263" name="Control 95" hidden="1">
          <a:extLst>
            <a:ext uri="{63B3BB69-23CF-44E3-9099-C40C66FF867C}">
              <a14:compatExt xmlns:a14="http://schemas.microsoft.com/office/drawing/2010/main" spid="_x0000_s7263"/>
            </a:ext>
            <a:ext uri="{FF2B5EF4-FFF2-40B4-BE49-F238E27FC236}">
              <a16:creationId xmlns:a16="http://schemas.microsoft.com/office/drawing/2014/main" xmlns="" id="{00000000-0008-0000-0600-00005F1C0000}"/>
            </a:ext>
          </a:extLst>
        </xdr:cNvPr>
        <xdr:cNvSpPr/>
      </xdr:nvSpPr>
      <xdr:spPr>
        <a:xfrm>
          <a:off x="0" y="0"/>
          <a:ext cx="0" cy="0"/>
        </a:xfrm>
        <a:prstGeom prst="rect">
          <a:avLst/>
        </a:prstGeom>
      </xdr:spPr>
    </xdr:sp>
    <xdr:clientData/>
  </xdr:twoCellAnchor>
  <xdr:twoCellAnchor editAs="oneCell">
    <xdr:from>
      <xdr:col>4</xdr:col>
      <xdr:colOff>0</xdr:colOff>
      <xdr:row>145</xdr:row>
      <xdr:rowOff>0</xdr:rowOff>
    </xdr:from>
    <xdr:to>
      <xdr:col>4</xdr:col>
      <xdr:colOff>152400</xdr:colOff>
      <xdr:row>145</xdr:row>
      <xdr:rowOff>152400</xdr:rowOff>
    </xdr:to>
    <xdr:pic>
      <xdr:nvPicPr>
        <xdr:cNvPr id="97" name="Picture 96" descr="Documents icon">
          <a:extLst>
            <a:ext uri="{FF2B5EF4-FFF2-40B4-BE49-F238E27FC236}">
              <a16:creationId xmlns:a16="http://schemas.microsoft.com/office/drawing/2014/main" xmlns="" id="{00000000-0008-0000-0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3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152400</xdr:rowOff>
    </xdr:from>
    <xdr:to>
      <xdr:col>3</xdr:col>
      <xdr:colOff>165100</xdr:colOff>
      <xdr:row>328</xdr:row>
      <xdr:rowOff>114300</xdr:rowOff>
    </xdr:to>
    <xdr:sp macro="" textlink="">
      <xdr:nvSpPr>
        <xdr:cNvPr id="7265" name="Control 97" hidden="1">
          <a:extLst>
            <a:ext uri="{63B3BB69-23CF-44E3-9099-C40C66FF867C}">
              <a14:compatExt xmlns:a14="http://schemas.microsoft.com/office/drawing/2010/main" spid="_x0000_s7265"/>
            </a:ext>
            <a:ext uri="{FF2B5EF4-FFF2-40B4-BE49-F238E27FC236}">
              <a16:creationId xmlns:a16="http://schemas.microsoft.com/office/drawing/2014/main" xmlns="" id="{00000000-0008-0000-0600-0000611C0000}"/>
            </a:ext>
          </a:extLst>
        </xdr:cNvPr>
        <xdr:cNvSpPr/>
      </xdr:nvSpPr>
      <xdr:spPr>
        <a:xfrm>
          <a:off x="0" y="0"/>
          <a:ext cx="0" cy="0"/>
        </a:xfrm>
        <a:prstGeom prst="rect">
          <a:avLst/>
        </a:prstGeom>
      </xdr:spPr>
    </xdr:sp>
    <xdr:clientData/>
  </xdr:twoCellAnchor>
  <xdr:twoCellAnchor editAs="oneCell">
    <xdr:from>
      <xdr:col>4</xdr:col>
      <xdr:colOff>0</xdr:colOff>
      <xdr:row>148</xdr:row>
      <xdr:rowOff>0</xdr:rowOff>
    </xdr:from>
    <xdr:to>
      <xdr:col>4</xdr:col>
      <xdr:colOff>152400</xdr:colOff>
      <xdr:row>148</xdr:row>
      <xdr:rowOff>152400</xdr:rowOff>
    </xdr:to>
    <xdr:pic>
      <xdr:nvPicPr>
        <xdr:cNvPr id="99" name="Picture 98" descr="Documents icon">
          <a:extLst>
            <a:ext uri="{FF2B5EF4-FFF2-40B4-BE49-F238E27FC236}">
              <a16:creationId xmlns:a16="http://schemas.microsoft.com/office/drawing/2014/main" xmlns="" id="{00000000-0008-0000-0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776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50800</xdr:rowOff>
    </xdr:from>
    <xdr:to>
      <xdr:col>3</xdr:col>
      <xdr:colOff>165100</xdr:colOff>
      <xdr:row>335</xdr:row>
      <xdr:rowOff>25400</xdr:rowOff>
    </xdr:to>
    <xdr:sp macro="" textlink="">
      <xdr:nvSpPr>
        <xdr:cNvPr id="7267" name="Control 99" hidden="1">
          <a:extLst>
            <a:ext uri="{63B3BB69-23CF-44E3-9099-C40C66FF867C}">
              <a14:compatExt xmlns:a14="http://schemas.microsoft.com/office/drawing/2010/main" spid="_x0000_s7267"/>
            </a:ext>
            <a:ext uri="{FF2B5EF4-FFF2-40B4-BE49-F238E27FC236}">
              <a16:creationId xmlns:a16="http://schemas.microsoft.com/office/drawing/2014/main" xmlns="" id="{00000000-0008-0000-0600-0000631C0000}"/>
            </a:ext>
          </a:extLst>
        </xdr:cNvPr>
        <xdr:cNvSpPr/>
      </xdr:nvSpPr>
      <xdr:spPr>
        <a:xfrm>
          <a:off x="0" y="0"/>
          <a:ext cx="0" cy="0"/>
        </a:xfrm>
        <a:prstGeom prst="rect">
          <a:avLst/>
        </a:prstGeom>
      </xdr:spPr>
    </xdr:sp>
    <xdr:clientData/>
  </xdr:twoCellAnchor>
  <xdr:twoCellAnchor editAs="oneCell">
    <xdr:from>
      <xdr:col>4</xdr:col>
      <xdr:colOff>0</xdr:colOff>
      <xdr:row>151</xdr:row>
      <xdr:rowOff>0</xdr:rowOff>
    </xdr:from>
    <xdr:to>
      <xdr:col>4</xdr:col>
      <xdr:colOff>152400</xdr:colOff>
      <xdr:row>151</xdr:row>
      <xdr:rowOff>152400</xdr:rowOff>
    </xdr:to>
    <xdr:pic>
      <xdr:nvPicPr>
        <xdr:cNvPr id="101" name="Picture 100" descr="Documents icon">
          <a:extLst>
            <a:ext uri="{FF2B5EF4-FFF2-40B4-BE49-F238E27FC236}">
              <a16:creationId xmlns:a16="http://schemas.microsoft.com/office/drawing/2014/main" xmlns="" id="{00000000-0008-0000-0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2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38100</xdr:rowOff>
    </xdr:from>
    <xdr:to>
      <xdr:col>3</xdr:col>
      <xdr:colOff>165100</xdr:colOff>
      <xdr:row>342</xdr:row>
      <xdr:rowOff>0</xdr:rowOff>
    </xdr:to>
    <xdr:sp macro="" textlink="">
      <xdr:nvSpPr>
        <xdr:cNvPr id="7269" name="Control 101" hidden="1">
          <a:extLst>
            <a:ext uri="{63B3BB69-23CF-44E3-9099-C40C66FF867C}">
              <a14:compatExt xmlns:a14="http://schemas.microsoft.com/office/drawing/2010/main" spid="_x0000_s7269"/>
            </a:ext>
            <a:ext uri="{FF2B5EF4-FFF2-40B4-BE49-F238E27FC236}">
              <a16:creationId xmlns:a16="http://schemas.microsoft.com/office/drawing/2014/main" xmlns="" id="{00000000-0008-0000-0600-0000651C0000}"/>
            </a:ext>
          </a:extLst>
        </xdr:cNvPr>
        <xdr:cNvSpPr/>
      </xdr:nvSpPr>
      <xdr:spPr>
        <a:xfrm>
          <a:off x="0" y="0"/>
          <a:ext cx="0" cy="0"/>
        </a:xfrm>
        <a:prstGeom prst="rect">
          <a:avLst/>
        </a:prstGeom>
      </xdr:spPr>
    </xdr:sp>
    <xdr:clientData/>
  </xdr:twoCellAnchor>
  <xdr:twoCellAnchor editAs="oneCell">
    <xdr:from>
      <xdr:col>4</xdr:col>
      <xdr:colOff>0</xdr:colOff>
      <xdr:row>154</xdr:row>
      <xdr:rowOff>0</xdr:rowOff>
    </xdr:from>
    <xdr:to>
      <xdr:col>4</xdr:col>
      <xdr:colOff>152400</xdr:colOff>
      <xdr:row>154</xdr:row>
      <xdr:rowOff>152400</xdr:rowOff>
    </xdr:to>
    <xdr:pic>
      <xdr:nvPicPr>
        <xdr:cNvPr id="103" name="Picture 102" descr="Documents icon">
          <a:extLst>
            <a:ext uri="{FF2B5EF4-FFF2-40B4-BE49-F238E27FC236}">
              <a16:creationId xmlns:a16="http://schemas.microsoft.com/office/drawing/2014/main" xmlns="" id="{00000000-0008-0000-0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114300</xdr:rowOff>
    </xdr:from>
    <xdr:to>
      <xdr:col>3</xdr:col>
      <xdr:colOff>165100</xdr:colOff>
      <xdr:row>348</xdr:row>
      <xdr:rowOff>76200</xdr:rowOff>
    </xdr:to>
    <xdr:sp macro="" textlink="">
      <xdr:nvSpPr>
        <xdr:cNvPr id="7271" name="Control 103" hidden="1">
          <a:extLst>
            <a:ext uri="{63B3BB69-23CF-44E3-9099-C40C66FF867C}">
              <a14:compatExt xmlns:a14="http://schemas.microsoft.com/office/drawing/2010/main" spid="_x0000_s7271"/>
            </a:ext>
            <a:ext uri="{FF2B5EF4-FFF2-40B4-BE49-F238E27FC236}">
              <a16:creationId xmlns:a16="http://schemas.microsoft.com/office/drawing/2014/main" xmlns="" id="{00000000-0008-0000-0600-0000671C0000}"/>
            </a:ext>
          </a:extLst>
        </xdr:cNvPr>
        <xdr:cNvSpPr/>
      </xdr:nvSpPr>
      <xdr:spPr>
        <a:xfrm>
          <a:off x="0" y="0"/>
          <a:ext cx="0" cy="0"/>
        </a:xfrm>
        <a:prstGeom prst="rect">
          <a:avLst/>
        </a:prstGeom>
      </xdr:spPr>
    </xdr:sp>
    <xdr:clientData/>
  </xdr:twoCellAnchor>
  <xdr:twoCellAnchor editAs="oneCell">
    <xdr:from>
      <xdr:col>4</xdr:col>
      <xdr:colOff>0</xdr:colOff>
      <xdr:row>157</xdr:row>
      <xdr:rowOff>0</xdr:rowOff>
    </xdr:from>
    <xdr:to>
      <xdr:col>4</xdr:col>
      <xdr:colOff>152400</xdr:colOff>
      <xdr:row>157</xdr:row>
      <xdr:rowOff>152400</xdr:rowOff>
    </xdr:to>
    <xdr:pic>
      <xdr:nvPicPr>
        <xdr:cNvPr id="105" name="Picture 104" descr="Documents icon">
          <a:extLst>
            <a:ext uri="{FF2B5EF4-FFF2-40B4-BE49-F238E27FC236}">
              <a16:creationId xmlns:a16="http://schemas.microsoft.com/office/drawing/2014/main" xmlns="" id="{00000000-0008-0000-0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13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38100</xdr:rowOff>
    </xdr:from>
    <xdr:to>
      <xdr:col>3</xdr:col>
      <xdr:colOff>165100</xdr:colOff>
      <xdr:row>355</xdr:row>
      <xdr:rowOff>0</xdr:rowOff>
    </xdr:to>
    <xdr:sp macro="" textlink="">
      <xdr:nvSpPr>
        <xdr:cNvPr id="7273" name="Control 105" hidden="1">
          <a:extLst>
            <a:ext uri="{63B3BB69-23CF-44E3-9099-C40C66FF867C}">
              <a14:compatExt xmlns:a14="http://schemas.microsoft.com/office/drawing/2010/main" spid="_x0000_s7273"/>
            </a:ext>
            <a:ext uri="{FF2B5EF4-FFF2-40B4-BE49-F238E27FC236}">
              <a16:creationId xmlns:a16="http://schemas.microsoft.com/office/drawing/2014/main" xmlns="" id="{00000000-0008-0000-0600-0000691C0000}"/>
            </a:ext>
          </a:extLst>
        </xdr:cNvPr>
        <xdr:cNvSpPr/>
      </xdr:nvSpPr>
      <xdr:spPr>
        <a:xfrm>
          <a:off x="0" y="0"/>
          <a:ext cx="0" cy="0"/>
        </a:xfrm>
        <a:prstGeom prst="rect">
          <a:avLst/>
        </a:prstGeom>
      </xdr:spPr>
    </xdr:sp>
    <xdr:clientData/>
  </xdr:twoCellAnchor>
  <xdr:twoCellAnchor editAs="oneCell">
    <xdr:from>
      <xdr:col>4</xdr:col>
      <xdr:colOff>0</xdr:colOff>
      <xdr:row>160</xdr:row>
      <xdr:rowOff>0</xdr:rowOff>
    </xdr:from>
    <xdr:to>
      <xdr:col>4</xdr:col>
      <xdr:colOff>152400</xdr:colOff>
      <xdr:row>160</xdr:row>
      <xdr:rowOff>152400</xdr:rowOff>
    </xdr:to>
    <xdr:pic>
      <xdr:nvPicPr>
        <xdr:cNvPr id="107" name="Picture 106" descr="Documents icon">
          <a:extLst>
            <a:ext uri="{FF2B5EF4-FFF2-40B4-BE49-F238E27FC236}">
              <a16:creationId xmlns:a16="http://schemas.microsoft.com/office/drawing/2014/main" xmlns="" id="{00000000-0008-0000-0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5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127000</xdr:rowOff>
    </xdr:from>
    <xdr:to>
      <xdr:col>3</xdr:col>
      <xdr:colOff>165100</xdr:colOff>
      <xdr:row>361</xdr:row>
      <xdr:rowOff>101600</xdr:rowOff>
    </xdr:to>
    <xdr:sp macro="" textlink="">
      <xdr:nvSpPr>
        <xdr:cNvPr id="7275" name="Control 107" hidden="1">
          <a:extLst>
            <a:ext uri="{63B3BB69-23CF-44E3-9099-C40C66FF867C}">
              <a14:compatExt xmlns:a14="http://schemas.microsoft.com/office/drawing/2010/main" spid="_x0000_s7275"/>
            </a:ext>
            <a:ext uri="{FF2B5EF4-FFF2-40B4-BE49-F238E27FC236}">
              <a16:creationId xmlns:a16="http://schemas.microsoft.com/office/drawing/2014/main" xmlns="" id="{00000000-0008-0000-0600-00006B1C0000}"/>
            </a:ext>
          </a:extLst>
        </xdr:cNvPr>
        <xdr:cNvSpPr/>
      </xdr:nvSpPr>
      <xdr:spPr>
        <a:xfrm>
          <a:off x="0" y="0"/>
          <a:ext cx="0" cy="0"/>
        </a:xfrm>
        <a:prstGeom prst="rect">
          <a:avLst/>
        </a:prstGeom>
      </xdr:spPr>
    </xdr:sp>
    <xdr:clientData/>
  </xdr:twoCellAnchor>
  <xdr:twoCellAnchor editAs="oneCell">
    <xdr:from>
      <xdr:col>4</xdr:col>
      <xdr:colOff>0</xdr:colOff>
      <xdr:row>163</xdr:row>
      <xdr:rowOff>0</xdr:rowOff>
    </xdr:from>
    <xdr:to>
      <xdr:col>4</xdr:col>
      <xdr:colOff>152400</xdr:colOff>
      <xdr:row>163</xdr:row>
      <xdr:rowOff>152400</xdr:rowOff>
    </xdr:to>
    <xdr:pic>
      <xdr:nvPicPr>
        <xdr:cNvPr id="109" name="Picture 108" descr="Documents icon">
          <a:extLst>
            <a:ext uri="{FF2B5EF4-FFF2-40B4-BE49-F238E27FC236}">
              <a16:creationId xmlns:a16="http://schemas.microsoft.com/office/drawing/2014/main" xmlns="" id="{00000000-0008-0000-0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98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76200</xdr:rowOff>
    </xdr:from>
    <xdr:to>
      <xdr:col>3</xdr:col>
      <xdr:colOff>165100</xdr:colOff>
      <xdr:row>368</xdr:row>
      <xdr:rowOff>38100</xdr:rowOff>
    </xdr:to>
    <xdr:sp macro="" textlink="">
      <xdr:nvSpPr>
        <xdr:cNvPr id="7277" name="Control 109" hidden="1">
          <a:extLst>
            <a:ext uri="{63B3BB69-23CF-44E3-9099-C40C66FF867C}">
              <a14:compatExt xmlns:a14="http://schemas.microsoft.com/office/drawing/2010/main" spid="_x0000_s7277"/>
            </a:ext>
            <a:ext uri="{FF2B5EF4-FFF2-40B4-BE49-F238E27FC236}">
              <a16:creationId xmlns:a16="http://schemas.microsoft.com/office/drawing/2014/main" xmlns="" id="{00000000-0008-0000-0600-00006D1C0000}"/>
            </a:ext>
          </a:extLst>
        </xdr:cNvPr>
        <xdr:cNvSpPr/>
      </xdr:nvSpPr>
      <xdr:spPr>
        <a:xfrm>
          <a:off x="0" y="0"/>
          <a:ext cx="0" cy="0"/>
        </a:xfrm>
        <a:prstGeom prst="rect">
          <a:avLst/>
        </a:prstGeom>
      </xdr:spPr>
    </xdr:sp>
    <xdr:clientData/>
  </xdr:twoCellAnchor>
  <xdr:twoCellAnchor editAs="oneCell">
    <xdr:from>
      <xdr:col>4</xdr:col>
      <xdr:colOff>0</xdr:colOff>
      <xdr:row>166</xdr:row>
      <xdr:rowOff>0</xdr:rowOff>
    </xdr:from>
    <xdr:to>
      <xdr:col>4</xdr:col>
      <xdr:colOff>152400</xdr:colOff>
      <xdr:row>166</xdr:row>
      <xdr:rowOff>152400</xdr:rowOff>
    </xdr:to>
    <xdr:pic>
      <xdr:nvPicPr>
        <xdr:cNvPr id="111" name="Picture 110" descr="Documents icon">
          <a:extLst>
            <a:ext uri="{FF2B5EF4-FFF2-40B4-BE49-F238E27FC236}">
              <a16:creationId xmlns:a16="http://schemas.microsoft.com/office/drawing/2014/main" xmlns="" id="{00000000-0008-0000-0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41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177800</xdr:rowOff>
    </xdr:from>
    <xdr:to>
      <xdr:col>3</xdr:col>
      <xdr:colOff>165100</xdr:colOff>
      <xdr:row>374</xdr:row>
      <xdr:rowOff>139700</xdr:rowOff>
    </xdr:to>
    <xdr:sp macro="" textlink="">
      <xdr:nvSpPr>
        <xdr:cNvPr id="7279" name="Control 111" hidden="1">
          <a:extLst>
            <a:ext uri="{63B3BB69-23CF-44E3-9099-C40C66FF867C}">
              <a14:compatExt xmlns:a14="http://schemas.microsoft.com/office/drawing/2010/main" spid="_x0000_s7279"/>
            </a:ext>
            <a:ext uri="{FF2B5EF4-FFF2-40B4-BE49-F238E27FC236}">
              <a16:creationId xmlns:a16="http://schemas.microsoft.com/office/drawing/2014/main" xmlns="" id="{00000000-0008-0000-0600-00006F1C0000}"/>
            </a:ext>
          </a:extLst>
        </xdr:cNvPr>
        <xdr:cNvSpPr/>
      </xdr:nvSpPr>
      <xdr:spPr>
        <a:xfrm>
          <a:off x="0" y="0"/>
          <a:ext cx="0" cy="0"/>
        </a:xfrm>
        <a:prstGeom prst="rect">
          <a:avLst/>
        </a:prstGeom>
      </xdr:spPr>
    </xdr:sp>
    <xdr:clientData/>
  </xdr:twoCellAnchor>
  <xdr:twoCellAnchor editAs="oneCell">
    <xdr:from>
      <xdr:col>4</xdr:col>
      <xdr:colOff>0</xdr:colOff>
      <xdr:row>169</xdr:row>
      <xdr:rowOff>0</xdr:rowOff>
    </xdr:from>
    <xdr:to>
      <xdr:col>4</xdr:col>
      <xdr:colOff>152400</xdr:colOff>
      <xdr:row>169</xdr:row>
      <xdr:rowOff>152400</xdr:rowOff>
    </xdr:to>
    <xdr:pic>
      <xdr:nvPicPr>
        <xdr:cNvPr id="113" name="Picture 112" descr="Documents icon">
          <a:extLst>
            <a:ext uri="{FF2B5EF4-FFF2-40B4-BE49-F238E27FC236}">
              <a16:creationId xmlns:a16="http://schemas.microsoft.com/office/drawing/2014/main" xmlns="" id="{00000000-0008-0000-0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84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114300</xdr:rowOff>
    </xdr:from>
    <xdr:to>
      <xdr:col>3</xdr:col>
      <xdr:colOff>165100</xdr:colOff>
      <xdr:row>381</xdr:row>
      <xdr:rowOff>88900</xdr:rowOff>
    </xdr:to>
    <xdr:sp macro="" textlink="">
      <xdr:nvSpPr>
        <xdr:cNvPr id="7281" name="Control 113" hidden="1">
          <a:extLst>
            <a:ext uri="{63B3BB69-23CF-44E3-9099-C40C66FF867C}">
              <a14:compatExt xmlns:a14="http://schemas.microsoft.com/office/drawing/2010/main" spid="_x0000_s7281"/>
            </a:ext>
            <a:ext uri="{FF2B5EF4-FFF2-40B4-BE49-F238E27FC236}">
              <a16:creationId xmlns:a16="http://schemas.microsoft.com/office/drawing/2014/main" xmlns="" id="{00000000-0008-0000-0600-0000711C0000}"/>
            </a:ext>
          </a:extLst>
        </xdr:cNvPr>
        <xdr:cNvSpPr/>
      </xdr:nvSpPr>
      <xdr:spPr>
        <a:xfrm>
          <a:off x="0" y="0"/>
          <a:ext cx="0" cy="0"/>
        </a:xfrm>
        <a:prstGeom prst="rect">
          <a:avLst/>
        </a:prstGeom>
      </xdr:spPr>
    </xdr:sp>
    <xdr:clientData/>
  </xdr:twoCellAnchor>
  <xdr:twoCellAnchor editAs="oneCell">
    <xdr:from>
      <xdr:col>4</xdr:col>
      <xdr:colOff>0</xdr:colOff>
      <xdr:row>172</xdr:row>
      <xdr:rowOff>0</xdr:rowOff>
    </xdr:from>
    <xdr:to>
      <xdr:col>4</xdr:col>
      <xdr:colOff>152400</xdr:colOff>
      <xdr:row>172</xdr:row>
      <xdr:rowOff>152400</xdr:rowOff>
    </xdr:to>
    <xdr:pic>
      <xdr:nvPicPr>
        <xdr:cNvPr id="115" name="Picture 114" descr="Documents icon">
          <a:extLst>
            <a:ext uri="{FF2B5EF4-FFF2-40B4-BE49-F238E27FC236}">
              <a16:creationId xmlns:a16="http://schemas.microsoft.com/office/drawing/2014/main" xmlns="" id="{00000000-0008-0000-0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76200</xdr:rowOff>
    </xdr:from>
    <xdr:to>
      <xdr:col>3</xdr:col>
      <xdr:colOff>165100</xdr:colOff>
      <xdr:row>388</xdr:row>
      <xdr:rowOff>38100</xdr:rowOff>
    </xdr:to>
    <xdr:sp macro="" textlink="">
      <xdr:nvSpPr>
        <xdr:cNvPr id="7283" name="Control 115" hidden="1">
          <a:extLst>
            <a:ext uri="{63B3BB69-23CF-44E3-9099-C40C66FF867C}">
              <a14:compatExt xmlns:a14="http://schemas.microsoft.com/office/drawing/2010/main" spid="_x0000_s7283"/>
            </a:ext>
            <a:ext uri="{FF2B5EF4-FFF2-40B4-BE49-F238E27FC236}">
              <a16:creationId xmlns:a16="http://schemas.microsoft.com/office/drawing/2014/main" xmlns="" id="{00000000-0008-0000-0600-0000731C0000}"/>
            </a:ext>
          </a:extLst>
        </xdr:cNvPr>
        <xdr:cNvSpPr/>
      </xdr:nvSpPr>
      <xdr:spPr>
        <a:xfrm>
          <a:off x="0" y="0"/>
          <a:ext cx="0" cy="0"/>
        </a:xfrm>
        <a:prstGeom prst="rect">
          <a:avLst/>
        </a:prstGeom>
      </xdr:spPr>
    </xdr:sp>
    <xdr:clientData/>
  </xdr:twoCellAnchor>
  <xdr:twoCellAnchor editAs="oneCell">
    <xdr:from>
      <xdr:col>4</xdr:col>
      <xdr:colOff>0</xdr:colOff>
      <xdr:row>175</xdr:row>
      <xdr:rowOff>0</xdr:rowOff>
    </xdr:from>
    <xdr:to>
      <xdr:col>4</xdr:col>
      <xdr:colOff>152400</xdr:colOff>
      <xdr:row>175</xdr:row>
      <xdr:rowOff>152400</xdr:rowOff>
    </xdr:to>
    <xdr:pic>
      <xdr:nvPicPr>
        <xdr:cNvPr id="117" name="Picture 116" descr="Documents icon">
          <a:extLst>
            <a:ext uri="{FF2B5EF4-FFF2-40B4-BE49-F238E27FC236}">
              <a16:creationId xmlns:a16="http://schemas.microsoft.com/office/drawing/2014/main" xmlns="" id="{00000000-0008-0000-0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70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165100</xdr:colOff>
      <xdr:row>394</xdr:row>
      <xdr:rowOff>152400</xdr:rowOff>
    </xdr:to>
    <xdr:sp macro="" textlink="">
      <xdr:nvSpPr>
        <xdr:cNvPr id="7285" name="Control 117" hidden="1">
          <a:extLst>
            <a:ext uri="{63B3BB69-23CF-44E3-9099-C40C66FF867C}">
              <a14:compatExt xmlns:a14="http://schemas.microsoft.com/office/drawing/2010/main" spid="_x0000_s7285"/>
            </a:ext>
            <a:ext uri="{FF2B5EF4-FFF2-40B4-BE49-F238E27FC236}">
              <a16:creationId xmlns:a16="http://schemas.microsoft.com/office/drawing/2014/main" xmlns="" id="{00000000-0008-0000-0600-0000751C0000}"/>
            </a:ext>
          </a:extLst>
        </xdr:cNvPr>
        <xdr:cNvSpPr/>
      </xdr:nvSpPr>
      <xdr:spPr>
        <a:xfrm>
          <a:off x="0" y="0"/>
          <a:ext cx="0" cy="0"/>
        </a:xfrm>
        <a:prstGeom prst="rect">
          <a:avLst/>
        </a:prstGeom>
      </xdr:spPr>
    </xdr:sp>
    <xdr:clientData/>
  </xdr:twoCellAnchor>
  <xdr:twoCellAnchor editAs="oneCell">
    <xdr:from>
      <xdr:col>4</xdr:col>
      <xdr:colOff>0</xdr:colOff>
      <xdr:row>178</xdr:row>
      <xdr:rowOff>0</xdr:rowOff>
    </xdr:from>
    <xdr:to>
      <xdr:col>4</xdr:col>
      <xdr:colOff>152400</xdr:colOff>
      <xdr:row>178</xdr:row>
      <xdr:rowOff>152400</xdr:rowOff>
    </xdr:to>
    <xdr:pic>
      <xdr:nvPicPr>
        <xdr:cNvPr id="119" name="Picture 118" descr="Documents icon">
          <a:extLst>
            <a:ext uri="{FF2B5EF4-FFF2-40B4-BE49-F238E27FC236}">
              <a16:creationId xmlns:a16="http://schemas.microsoft.com/office/drawing/2014/main" xmlns="" id="{00000000-0008-0000-0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3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152400</xdr:rowOff>
    </xdr:from>
    <xdr:to>
      <xdr:col>3</xdr:col>
      <xdr:colOff>165100</xdr:colOff>
      <xdr:row>401</xdr:row>
      <xdr:rowOff>114300</xdr:rowOff>
    </xdr:to>
    <xdr:sp macro="" textlink="">
      <xdr:nvSpPr>
        <xdr:cNvPr id="7287" name="Control 119" hidden="1">
          <a:extLst>
            <a:ext uri="{63B3BB69-23CF-44E3-9099-C40C66FF867C}">
              <a14:compatExt xmlns:a14="http://schemas.microsoft.com/office/drawing/2010/main" spid="_x0000_s7287"/>
            </a:ext>
            <a:ext uri="{FF2B5EF4-FFF2-40B4-BE49-F238E27FC236}">
              <a16:creationId xmlns:a16="http://schemas.microsoft.com/office/drawing/2014/main" xmlns="" id="{00000000-0008-0000-0600-0000771C0000}"/>
            </a:ext>
          </a:extLst>
        </xdr:cNvPr>
        <xdr:cNvSpPr/>
      </xdr:nvSpPr>
      <xdr:spPr>
        <a:xfrm>
          <a:off x="0" y="0"/>
          <a:ext cx="0" cy="0"/>
        </a:xfrm>
        <a:prstGeom prst="rect">
          <a:avLst/>
        </a:prstGeom>
      </xdr:spPr>
    </xdr:sp>
    <xdr:clientData/>
  </xdr:twoCellAnchor>
  <xdr:twoCellAnchor editAs="oneCell">
    <xdr:from>
      <xdr:col>4</xdr:col>
      <xdr:colOff>0</xdr:colOff>
      <xdr:row>181</xdr:row>
      <xdr:rowOff>0</xdr:rowOff>
    </xdr:from>
    <xdr:to>
      <xdr:col>4</xdr:col>
      <xdr:colOff>152400</xdr:colOff>
      <xdr:row>181</xdr:row>
      <xdr:rowOff>152400</xdr:rowOff>
    </xdr:to>
    <xdr:pic>
      <xdr:nvPicPr>
        <xdr:cNvPr id="121" name="Picture 120" descr="Documents icon">
          <a:extLst>
            <a:ext uri="{FF2B5EF4-FFF2-40B4-BE49-F238E27FC236}">
              <a16:creationId xmlns:a16="http://schemas.microsoft.com/office/drawing/2014/main" xmlns="" id="{00000000-0008-0000-0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56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101600</xdr:rowOff>
    </xdr:from>
    <xdr:to>
      <xdr:col>3</xdr:col>
      <xdr:colOff>165100</xdr:colOff>
      <xdr:row>408</xdr:row>
      <xdr:rowOff>63500</xdr:rowOff>
    </xdr:to>
    <xdr:sp macro="" textlink="">
      <xdr:nvSpPr>
        <xdr:cNvPr id="7289" name="Control 121" hidden="1">
          <a:extLst>
            <a:ext uri="{63B3BB69-23CF-44E3-9099-C40C66FF867C}">
              <a14:compatExt xmlns:a14="http://schemas.microsoft.com/office/drawing/2010/main" spid="_x0000_s7289"/>
            </a:ext>
            <a:ext uri="{FF2B5EF4-FFF2-40B4-BE49-F238E27FC236}">
              <a16:creationId xmlns:a16="http://schemas.microsoft.com/office/drawing/2014/main" xmlns="" id="{00000000-0008-0000-0600-0000791C0000}"/>
            </a:ext>
          </a:extLst>
        </xdr:cNvPr>
        <xdr:cNvSpPr/>
      </xdr:nvSpPr>
      <xdr:spPr>
        <a:xfrm>
          <a:off x="0" y="0"/>
          <a:ext cx="0" cy="0"/>
        </a:xfrm>
        <a:prstGeom prst="rect">
          <a:avLst/>
        </a:prstGeom>
      </xdr:spPr>
    </xdr:sp>
    <xdr:clientData/>
  </xdr:twoCellAnchor>
  <xdr:twoCellAnchor editAs="oneCell">
    <xdr:from>
      <xdr:col>4</xdr:col>
      <xdr:colOff>0</xdr:colOff>
      <xdr:row>184</xdr:row>
      <xdr:rowOff>0</xdr:rowOff>
    </xdr:from>
    <xdr:to>
      <xdr:col>4</xdr:col>
      <xdr:colOff>152400</xdr:colOff>
      <xdr:row>184</xdr:row>
      <xdr:rowOff>152400</xdr:rowOff>
    </xdr:to>
    <xdr:pic>
      <xdr:nvPicPr>
        <xdr:cNvPr id="123" name="Picture 122" descr="Documents icon">
          <a:extLst>
            <a:ext uri="{FF2B5EF4-FFF2-40B4-BE49-F238E27FC236}">
              <a16:creationId xmlns:a16="http://schemas.microsoft.com/office/drawing/2014/main" xmlns="" id="{00000000-0008-0000-0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299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88900</xdr:rowOff>
    </xdr:from>
    <xdr:to>
      <xdr:col>3</xdr:col>
      <xdr:colOff>165100</xdr:colOff>
      <xdr:row>415</xdr:row>
      <xdr:rowOff>63500</xdr:rowOff>
    </xdr:to>
    <xdr:sp macro="" textlink="">
      <xdr:nvSpPr>
        <xdr:cNvPr id="7291" name="Control 123" hidden="1">
          <a:extLst>
            <a:ext uri="{63B3BB69-23CF-44E3-9099-C40C66FF867C}">
              <a14:compatExt xmlns:a14="http://schemas.microsoft.com/office/drawing/2010/main" spid="_x0000_s7291"/>
            </a:ext>
            <a:ext uri="{FF2B5EF4-FFF2-40B4-BE49-F238E27FC236}">
              <a16:creationId xmlns:a16="http://schemas.microsoft.com/office/drawing/2014/main" xmlns="" id="{00000000-0008-0000-0600-00007B1C0000}"/>
            </a:ext>
          </a:extLst>
        </xdr:cNvPr>
        <xdr:cNvSpPr/>
      </xdr:nvSpPr>
      <xdr:spPr>
        <a:xfrm>
          <a:off x="0" y="0"/>
          <a:ext cx="0" cy="0"/>
        </a:xfrm>
        <a:prstGeom prst="rect">
          <a:avLst/>
        </a:prstGeom>
      </xdr:spPr>
    </xdr:sp>
    <xdr:clientData/>
  </xdr:twoCellAnchor>
  <xdr:twoCellAnchor editAs="oneCell">
    <xdr:from>
      <xdr:col>4</xdr:col>
      <xdr:colOff>0</xdr:colOff>
      <xdr:row>187</xdr:row>
      <xdr:rowOff>0</xdr:rowOff>
    </xdr:from>
    <xdr:to>
      <xdr:col>4</xdr:col>
      <xdr:colOff>152400</xdr:colOff>
      <xdr:row>187</xdr:row>
      <xdr:rowOff>152400</xdr:rowOff>
    </xdr:to>
    <xdr:pic>
      <xdr:nvPicPr>
        <xdr:cNvPr id="125" name="Picture 124" descr="Documents icon">
          <a:extLst>
            <a:ext uri="{FF2B5EF4-FFF2-40B4-BE49-F238E27FC236}">
              <a16:creationId xmlns:a16="http://schemas.microsoft.com/office/drawing/2014/main" xmlns="" id="{00000000-0008-0000-0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842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114300</xdr:rowOff>
    </xdr:from>
    <xdr:to>
      <xdr:col>3</xdr:col>
      <xdr:colOff>165100</xdr:colOff>
      <xdr:row>421</xdr:row>
      <xdr:rowOff>76200</xdr:rowOff>
    </xdr:to>
    <xdr:sp macro="" textlink="">
      <xdr:nvSpPr>
        <xdr:cNvPr id="7293" name="Control 125" hidden="1">
          <a:extLst>
            <a:ext uri="{63B3BB69-23CF-44E3-9099-C40C66FF867C}">
              <a14:compatExt xmlns:a14="http://schemas.microsoft.com/office/drawing/2010/main" spid="_x0000_s7293"/>
            </a:ext>
            <a:ext uri="{FF2B5EF4-FFF2-40B4-BE49-F238E27FC236}">
              <a16:creationId xmlns:a16="http://schemas.microsoft.com/office/drawing/2014/main" xmlns="" id="{00000000-0008-0000-0600-00007D1C0000}"/>
            </a:ext>
          </a:extLst>
        </xdr:cNvPr>
        <xdr:cNvSpPr/>
      </xdr:nvSpPr>
      <xdr:spPr>
        <a:xfrm>
          <a:off x="0" y="0"/>
          <a:ext cx="0" cy="0"/>
        </a:xfrm>
        <a:prstGeom prst="rect">
          <a:avLst/>
        </a:prstGeom>
      </xdr:spPr>
    </xdr:sp>
    <xdr:clientData/>
  </xdr:twoCellAnchor>
  <xdr:twoCellAnchor editAs="oneCell">
    <xdr:from>
      <xdr:col>4</xdr:col>
      <xdr:colOff>0</xdr:colOff>
      <xdr:row>190</xdr:row>
      <xdr:rowOff>0</xdr:rowOff>
    </xdr:from>
    <xdr:to>
      <xdr:col>4</xdr:col>
      <xdr:colOff>152400</xdr:colOff>
      <xdr:row>190</xdr:row>
      <xdr:rowOff>152400</xdr:rowOff>
    </xdr:to>
    <xdr:pic>
      <xdr:nvPicPr>
        <xdr:cNvPr id="127" name="Picture 126" descr="Documents icon">
          <a:extLst>
            <a:ext uri="{FF2B5EF4-FFF2-40B4-BE49-F238E27FC236}">
              <a16:creationId xmlns:a16="http://schemas.microsoft.com/office/drawing/2014/main" xmlns="" id="{00000000-0008-0000-0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385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50800</xdr:rowOff>
    </xdr:from>
    <xdr:to>
      <xdr:col>3</xdr:col>
      <xdr:colOff>165100</xdr:colOff>
      <xdr:row>428</xdr:row>
      <xdr:rowOff>25400</xdr:rowOff>
    </xdr:to>
    <xdr:sp macro="" textlink="">
      <xdr:nvSpPr>
        <xdr:cNvPr id="7295" name="Control 127" hidden="1">
          <a:extLst>
            <a:ext uri="{63B3BB69-23CF-44E3-9099-C40C66FF867C}">
              <a14:compatExt xmlns:a14="http://schemas.microsoft.com/office/drawing/2010/main" spid="_x0000_s7295"/>
            </a:ext>
            <a:ext uri="{FF2B5EF4-FFF2-40B4-BE49-F238E27FC236}">
              <a16:creationId xmlns:a16="http://schemas.microsoft.com/office/drawing/2014/main" xmlns="" id="{00000000-0008-0000-0600-00007F1C0000}"/>
            </a:ext>
          </a:extLst>
        </xdr:cNvPr>
        <xdr:cNvSpPr/>
      </xdr:nvSpPr>
      <xdr:spPr>
        <a:xfrm>
          <a:off x="0" y="0"/>
          <a:ext cx="0" cy="0"/>
        </a:xfrm>
        <a:prstGeom prst="rect">
          <a:avLst/>
        </a:prstGeom>
      </xdr:spPr>
    </xdr:sp>
    <xdr:clientData/>
  </xdr:twoCellAnchor>
  <xdr:twoCellAnchor editAs="oneCell">
    <xdr:from>
      <xdr:col>4</xdr:col>
      <xdr:colOff>0</xdr:colOff>
      <xdr:row>193</xdr:row>
      <xdr:rowOff>0</xdr:rowOff>
    </xdr:from>
    <xdr:to>
      <xdr:col>4</xdr:col>
      <xdr:colOff>152400</xdr:colOff>
      <xdr:row>193</xdr:row>
      <xdr:rowOff>152400</xdr:rowOff>
    </xdr:to>
    <xdr:pic>
      <xdr:nvPicPr>
        <xdr:cNvPr id="129" name="Picture 128" descr="Documents icon">
          <a:extLst>
            <a:ext uri="{FF2B5EF4-FFF2-40B4-BE49-F238E27FC236}">
              <a16:creationId xmlns:a16="http://schemas.microsoft.com/office/drawing/2014/main" xmlns="" id="{00000000-0008-0000-0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28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177800</xdr:rowOff>
    </xdr:from>
    <xdr:to>
      <xdr:col>3</xdr:col>
      <xdr:colOff>165100</xdr:colOff>
      <xdr:row>434</xdr:row>
      <xdr:rowOff>139700</xdr:rowOff>
    </xdr:to>
    <xdr:sp macro="" textlink="">
      <xdr:nvSpPr>
        <xdr:cNvPr id="7297" name="Control 129" hidden="1">
          <a:extLst>
            <a:ext uri="{63B3BB69-23CF-44E3-9099-C40C66FF867C}">
              <a14:compatExt xmlns:a14="http://schemas.microsoft.com/office/drawing/2010/main" spid="_x0000_s7297"/>
            </a:ext>
            <a:ext uri="{FF2B5EF4-FFF2-40B4-BE49-F238E27FC236}">
              <a16:creationId xmlns:a16="http://schemas.microsoft.com/office/drawing/2014/main" xmlns="" id="{00000000-0008-0000-0600-0000811C0000}"/>
            </a:ext>
          </a:extLst>
        </xdr:cNvPr>
        <xdr:cNvSpPr/>
      </xdr:nvSpPr>
      <xdr:spPr>
        <a:xfrm>
          <a:off x="0" y="0"/>
          <a:ext cx="0" cy="0"/>
        </a:xfrm>
        <a:prstGeom prst="rect">
          <a:avLst/>
        </a:prstGeom>
      </xdr:spPr>
    </xdr:sp>
    <xdr:clientData/>
  </xdr:twoCellAnchor>
  <xdr:twoCellAnchor editAs="oneCell">
    <xdr:from>
      <xdr:col>4</xdr:col>
      <xdr:colOff>0</xdr:colOff>
      <xdr:row>196</xdr:row>
      <xdr:rowOff>0</xdr:rowOff>
    </xdr:from>
    <xdr:to>
      <xdr:col>4</xdr:col>
      <xdr:colOff>152400</xdr:colOff>
      <xdr:row>196</xdr:row>
      <xdr:rowOff>152400</xdr:rowOff>
    </xdr:to>
    <xdr:pic>
      <xdr:nvPicPr>
        <xdr:cNvPr id="131" name="Picture 130" descr="Documents icon">
          <a:extLst>
            <a:ext uri="{FF2B5EF4-FFF2-40B4-BE49-F238E27FC236}">
              <a16:creationId xmlns:a16="http://schemas.microsoft.com/office/drawing/2014/main" xmlns="" id="{00000000-0008-0000-0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471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165100</xdr:rowOff>
    </xdr:from>
    <xdr:to>
      <xdr:col>3</xdr:col>
      <xdr:colOff>165100</xdr:colOff>
      <xdr:row>441</xdr:row>
      <xdr:rowOff>139700</xdr:rowOff>
    </xdr:to>
    <xdr:sp macro="" textlink="">
      <xdr:nvSpPr>
        <xdr:cNvPr id="7299" name="Control 131" hidden="1">
          <a:extLst>
            <a:ext uri="{63B3BB69-23CF-44E3-9099-C40C66FF867C}">
              <a14:compatExt xmlns:a14="http://schemas.microsoft.com/office/drawing/2010/main" spid="_x0000_s7299"/>
            </a:ext>
            <a:ext uri="{FF2B5EF4-FFF2-40B4-BE49-F238E27FC236}">
              <a16:creationId xmlns:a16="http://schemas.microsoft.com/office/drawing/2014/main" xmlns="" id="{00000000-0008-0000-0600-0000831C0000}"/>
            </a:ext>
          </a:extLst>
        </xdr:cNvPr>
        <xdr:cNvSpPr/>
      </xdr:nvSpPr>
      <xdr:spPr>
        <a:xfrm>
          <a:off x="0" y="0"/>
          <a:ext cx="0" cy="0"/>
        </a:xfrm>
        <a:prstGeom prst="rect">
          <a:avLst/>
        </a:prstGeom>
      </xdr:spPr>
    </xdr:sp>
    <xdr:clientData/>
  </xdr:twoCellAnchor>
  <xdr:twoCellAnchor editAs="oneCell">
    <xdr:from>
      <xdr:col>4</xdr:col>
      <xdr:colOff>0</xdr:colOff>
      <xdr:row>199</xdr:row>
      <xdr:rowOff>0</xdr:rowOff>
    </xdr:from>
    <xdr:to>
      <xdr:col>4</xdr:col>
      <xdr:colOff>152400</xdr:colOff>
      <xdr:row>199</xdr:row>
      <xdr:rowOff>152400</xdr:rowOff>
    </xdr:to>
    <xdr:pic>
      <xdr:nvPicPr>
        <xdr:cNvPr id="133" name="Picture 132" descr="Documents icon">
          <a:extLst>
            <a:ext uri="{FF2B5EF4-FFF2-40B4-BE49-F238E27FC236}">
              <a16:creationId xmlns:a16="http://schemas.microsoft.com/office/drawing/2014/main" xmlns="" id="{00000000-0008-0000-0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014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63500</xdr:rowOff>
    </xdr:from>
    <xdr:to>
      <xdr:col>3</xdr:col>
      <xdr:colOff>165100</xdr:colOff>
      <xdr:row>448</xdr:row>
      <xdr:rowOff>25400</xdr:rowOff>
    </xdr:to>
    <xdr:sp macro="" textlink="">
      <xdr:nvSpPr>
        <xdr:cNvPr id="7301" name="Control 133" hidden="1">
          <a:extLst>
            <a:ext uri="{63B3BB69-23CF-44E3-9099-C40C66FF867C}">
              <a14:compatExt xmlns:a14="http://schemas.microsoft.com/office/drawing/2010/main" spid="_x0000_s7301"/>
            </a:ext>
            <a:ext uri="{FF2B5EF4-FFF2-40B4-BE49-F238E27FC236}">
              <a16:creationId xmlns:a16="http://schemas.microsoft.com/office/drawing/2014/main" xmlns="" id="{00000000-0008-0000-0600-0000851C0000}"/>
            </a:ext>
          </a:extLst>
        </xdr:cNvPr>
        <xdr:cNvSpPr/>
      </xdr:nvSpPr>
      <xdr:spPr>
        <a:xfrm>
          <a:off x="0" y="0"/>
          <a:ext cx="0" cy="0"/>
        </a:xfrm>
        <a:prstGeom prst="rect">
          <a:avLst/>
        </a:prstGeom>
      </xdr:spPr>
    </xdr:sp>
    <xdr:clientData/>
  </xdr:twoCellAnchor>
  <xdr:twoCellAnchor editAs="oneCell">
    <xdr:from>
      <xdr:col>4</xdr:col>
      <xdr:colOff>0</xdr:colOff>
      <xdr:row>202</xdr:row>
      <xdr:rowOff>0</xdr:rowOff>
    </xdr:from>
    <xdr:to>
      <xdr:col>4</xdr:col>
      <xdr:colOff>152400</xdr:colOff>
      <xdr:row>202</xdr:row>
      <xdr:rowOff>152400</xdr:rowOff>
    </xdr:to>
    <xdr:pic>
      <xdr:nvPicPr>
        <xdr:cNvPr id="135" name="Picture 134" descr="Documents icon">
          <a:extLst>
            <a:ext uri="{FF2B5EF4-FFF2-40B4-BE49-F238E27FC236}">
              <a16:creationId xmlns:a16="http://schemas.microsoft.com/office/drawing/2014/main" xmlns="" id="{00000000-0008-0000-0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556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165100</xdr:rowOff>
    </xdr:from>
    <xdr:to>
      <xdr:col>3</xdr:col>
      <xdr:colOff>165100</xdr:colOff>
      <xdr:row>454</xdr:row>
      <xdr:rowOff>139700</xdr:rowOff>
    </xdr:to>
    <xdr:sp macro="" textlink="">
      <xdr:nvSpPr>
        <xdr:cNvPr id="7303" name="Control 135" hidden="1">
          <a:extLst>
            <a:ext uri="{63B3BB69-23CF-44E3-9099-C40C66FF867C}">
              <a14:compatExt xmlns:a14="http://schemas.microsoft.com/office/drawing/2010/main" spid="_x0000_s7303"/>
            </a:ext>
            <a:ext uri="{FF2B5EF4-FFF2-40B4-BE49-F238E27FC236}">
              <a16:creationId xmlns:a16="http://schemas.microsoft.com/office/drawing/2014/main" xmlns="" id="{00000000-0008-0000-0600-0000871C0000}"/>
            </a:ext>
          </a:extLst>
        </xdr:cNvPr>
        <xdr:cNvSpPr/>
      </xdr:nvSpPr>
      <xdr:spPr>
        <a:xfrm>
          <a:off x="0" y="0"/>
          <a:ext cx="0" cy="0"/>
        </a:xfrm>
        <a:prstGeom prst="rect">
          <a:avLst/>
        </a:prstGeom>
      </xdr:spPr>
    </xdr:sp>
    <xdr:clientData/>
  </xdr:twoCellAnchor>
  <xdr:twoCellAnchor editAs="oneCell">
    <xdr:from>
      <xdr:col>4</xdr:col>
      <xdr:colOff>0</xdr:colOff>
      <xdr:row>205</xdr:row>
      <xdr:rowOff>0</xdr:rowOff>
    </xdr:from>
    <xdr:to>
      <xdr:col>4</xdr:col>
      <xdr:colOff>152400</xdr:colOff>
      <xdr:row>205</xdr:row>
      <xdr:rowOff>152400</xdr:rowOff>
    </xdr:to>
    <xdr:pic>
      <xdr:nvPicPr>
        <xdr:cNvPr id="137" name="Picture 136" descr="Documents icon">
          <a:extLst>
            <a:ext uri="{FF2B5EF4-FFF2-40B4-BE49-F238E27FC236}">
              <a16:creationId xmlns:a16="http://schemas.microsoft.com/office/drawing/2014/main" xmlns="" id="{00000000-0008-0000-0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099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177800</xdr:rowOff>
    </xdr:from>
    <xdr:to>
      <xdr:col>3</xdr:col>
      <xdr:colOff>165100</xdr:colOff>
      <xdr:row>461</xdr:row>
      <xdr:rowOff>139700</xdr:rowOff>
    </xdr:to>
    <xdr:sp macro="" textlink="">
      <xdr:nvSpPr>
        <xdr:cNvPr id="7305" name="Control 137" hidden="1">
          <a:extLst>
            <a:ext uri="{63B3BB69-23CF-44E3-9099-C40C66FF867C}">
              <a14:compatExt xmlns:a14="http://schemas.microsoft.com/office/drawing/2010/main" spid="_x0000_s7305"/>
            </a:ext>
            <a:ext uri="{FF2B5EF4-FFF2-40B4-BE49-F238E27FC236}">
              <a16:creationId xmlns:a16="http://schemas.microsoft.com/office/drawing/2014/main" xmlns="" id="{00000000-0008-0000-0600-0000891C0000}"/>
            </a:ext>
          </a:extLst>
        </xdr:cNvPr>
        <xdr:cNvSpPr/>
      </xdr:nvSpPr>
      <xdr:spPr>
        <a:xfrm>
          <a:off x="0" y="0"/>
          <a:ext cx="0" cy="0"/>
        </a:xfrm>
        <a:prstGeom prst="rect">
          <a:avLst/>
        </a:prstGeom>
      </xdr:spPr>
    </xdr:sp>
    <xdr:clientData/>
  </xdr:twoCellAnchor>
  <xdr:twoCellAnchor editAs="oneCell">
    <xdr:from>
      <xdr:col>4</xdr:col>
      <xdr:colOff>0</xdr:colOff>
      <xdr:row>208</xdr:row>
      <xdr:rowOff>0</xdr:rowOff>
    </xdr:from>
    <xdr:to>
      <xdr:col>4</xdr:col>
      <xdr:colOff>152400</xdr:colOff>
      <xdr:row>208</xdr:row>
      <xdr:rowOff>152400</xdr:rowOff>
    </xdr:to>
    <xdr:pic>
      <xdr:nvPicPr>
        <xdr:cNvPr id="139" name="Picture 138" descr="Documents icon">
          <a:extLst>
            <a:ext uri="{FF2B5EF4-FFF2-40B4-BE49-F238E27FC236}">
              <a16:creationId xmlns:a16="http://schemas.microsoft.com/office/drawing/2014/main" xmlns="" id="{00000000-0008-0000-0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642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25400</xdr:rowOff>
    </xdr:from>
    <xdr:to>
      <xdr:col>3</xdr:col>
      <xdr:colOff>165100</xdr:colOff>
      <xdr:row>467</xdr:row>
      <xdr:rowOff>165100</xdr:rowOff>
    </xdr:to>
    <xdr:sp macro="" textlink="">
      <xdr:nvSpPr>
        <xdr:cNvPr id="7307" name="Control 139" hidden="1">
          <a:extLst>
            <a:ext uri="{63B3BB69-23CF-44E3-9099-C40C66FF867C}">
              <a14:compatExt xmlns:a14="http://schemas.microsoft.com/office/drawing/2010/main" spid="_x0000_s7307"/>
            </a:ext>
            <a:ext uri="{FF2B5EF4-FFF2-40B4-BE49-F238E27FC236}">
              <a16:creationId xmlns:a16="http://schemas.microsoft.com/office/drawing/2014/main" xmlns="" id="{00000000-0008-0000-0600-00008B1C0000}"/>
            </a:ext>
          </a:extLst>
        </xdr:cNvPr>
        <xdr:cNvSpPr/>
      </xdr:nvSpPr>
      <xdr:spPr>
        <a:xfrm>
          <a:off x="0" y="0"/>
          <a:ext cx="0" cy="0"/>
        </a:xfrm>
        <a:prstGeom prst="rect">
          <a:avLst/>
        </a:prstGeom>
      </xdr:spPr>
    </xdr:sp>
    <xdr:clientData/>
  </xdr:twoCellAnchor>
  <xdr:twoCellAnchor editAs="oneCell">
    <xdr:from>
      <xdr:col>4</xdr:col>
      <xdr:colOff>0</xdr:colOff>
      <xdr:row>211</xdr:row>
      <xdr:rowOff>0</xdr:rowOff>
    </xdr:from>
    <xdr:to>
      <xdr:col>4</xdr:col>
      <xdr:colOff>152400</xdr:colOff>
      <xdr:row>211</xdr:row>
      <xdr:rowOff>152400</xdr:rowOff>
    </xdr:to>
    <xdr:pic>
      <xdr:nvPicPr>
        <xdr:cNvPr id="141" name="Picture 140" descr="Documents icon">
          <a:extLst>
            <a:ext uri="{FF2B5EF4-FFF2-40B4-BE49-F238E27FC236}">
              <a16:creationId xmlns:a16="http://schemas.microsoft.com/office/drawing/2014/main" xmlns="" id="{00000000-0008-0000-0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185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177800</xdr:rowOff>
    </xdr:from>
    <xdr:to>
      <xdr:col>3</xdr:col>
      <xdr:colOff>165100</xdr:colOff>
      <xdr:row>474</xdr:row>
      <xdr:rowOff>139700</xdr:rowOff>
    </xdr:to>
    <xdr:sp macro="" textlink="">
      <xdr:nvSpPr>
        <xdr:cNvPr id="7309" name="Control 141" hidden="1">
          <a:extLst>
            <a:ext uri="{63B3BB69-23CF-44E3-9099-C40C66FF867C}">
              <a14:compatExt xmlns:a14="http://schemas.microsoft.com/office/drawing/2010/main" spid="_x0000_s7309"/>
            </a:ext>
            <a:ext uri="{FF2B5EF4-FFF2-40B4-BE49-F238E27FC236}">
              <a16:creationId xmlns:a16="http://schemas.microsoft.com/office/drawing/2014/main" xmlns="" id="{00000000-0008-0000-0600-00008D1C0000}"/>
            </a:ext>
          </a:extLst>
        </xdr:cNvPr>
        <xdr:cNvSpPr/>
      </xdr:nvSpPr>
      <xdr:spPr>
        <a:xfrm>
          <a:off x="0" y="0"/>
          <a:ext cx="0" cy="0"/>
        </a:xfrm>
        <a:prstGeom prst="rect">
          <a:avLst/>
        </a:prstGeom>
      </xdr:spPr>
    </xdr:sp>
    <xdr:clientData/>
  </xdr:twoCellAnchor>
  <xdr:twoCellAnchor editAs="oneCell">
    <xdr:from>
      <xdr:col>4</xdr:col>
      <xdr:colOff>0</xdr:colOff>
      <xdr:row>214</xdr:row>
      <xdr:rowOff>0</xdr:rowOff>
    </xdr:from>
    <xdr:to>
      <xdr:col>4</xdr:col>
      <xdr:colOff>152400</xdr:colOff>
      <xdr:row>214</xdr:row>
      <xdr:rowOff>152400</xdr:rowOff>
    </xdr:to>
    <xdr:pic>
      <xdr:nvPicPr>
        <xdr:cNvPr id="143" name="Picture 142" descr="Documents icon">
          <a:extLst>
            <a:ext uri="{FF2B5EF4-FFF2-40B4-BE49-F238E27FC236}">
              <a16:creationId xmlns:a16="http://schemas.microsoft.com/office/drawing/2014/main" xmlns="" id="{00000000-0008-0000-0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28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76200</xdr:rowOff>
    </xdr:from>
    <xdr:to>
      <xdr:col>3</xdr:col>
      <xdr:colOff>165100</xdr:colOff>
      <xdr:row>481</xdr:row>
      <xdr:rowOff>50800</xdr:rowOff>
    </xdr:to>
    <xdr:sp macro="" textlink="">
      <xdr:nvSpPr>
        <xdr:cNvPr id="7311" name="Control 143" hidden="1">
          <a:extLst>
            <a:ext uri="{63B3BB69-23CF-44E3-9099-C40C66FF867C}">
              <a14:compatExt xmlns:a14="http://schemas.microsoft.com/office/drawing/2010/main" spid="_x0000_s7311"/>
            </a:ext>
            <a:ext uri="{FF2B5EF4-FFF2-40B4-BE49-F238E27FC236}">
              <a16:creationId xmlns:a16="http://schemas.microsoft.com/office/drawing/2014/main" xmlns="" id="{00000000-0008-0000-0600-00008F1C0000}"/>
            </a:ext>
          </a:extLst>
        </xdr:cNvPr>
        <xdr:cNvSpPr/>
      </xdr:nvSpPr>
      <xdr:spPr>
        <a:xfrm>
          <a:off x="0" y="0"/>
          <a:ext cx="0" cy="0"/>
        </a:xfrm>
        <a:prstGeom prst="rect">
          <a:avLst/>
        </a:prstGeom>
      </xdr:spPr>
    </xdr:sp>
    <xdr:clientData/>
  </xdr:twoCellAnchor>
  <xdr:twoCellAnchor editAs="oneCell">
    <xdr:from>
      <xdr:col>4</xdr:col>
      <xdr:colOff>0</xdr:colOff>
      <xdr:row>217</xdr:row>
      <xdr:rowOff>0</xdr:rowOff>
    </xdr:from>
    <xdr:to>
      <xdr:col>4</xdr:col>
      <xdr:colOff>152400</xdr:colOff>
      <xdr:row>217</xdr:row>
      <xdr:rowOff>152400</xdr:rowOff>
    </xdr:to>
    <xdr:pic>
      <xdr:nvPicPr>
        <xdr:cNvPr id="145" name="Picture 144" descr="Documents icon">
          <a:extLst>
            <a:ext uri="{FF2B5EF4-FFF2-40B4-BE49-F238E27FC236}">
              <a16:creationId xmlns:a16="http://schemas.microsoft.com/office/drawing/2014/main" xmlns="" id="{00000000-0008-0000-0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271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38100</xdr:rowOff>
    </xdr:from>
    <xdr:to>
      <xdr:col>3</xdr:col>
      <xdr:colOff>165100</xdr:colOff>
      <xdr:row>488</xdr:row>
      <xdr:rowOff>0</xdr:rowOff>
    </xdr:to>
    <xdr:sp macro="" textlink="">
      <xdr:nvSpPr>
        <xdr:cNvPr id="7313" name="Control 145" hidden="1">
          <a:extLst>
            <a:ext uri="{63B3BB69-23CF-44E3-9099-C40C66FF867C}">
              <a14:compatExt xmlns:a14="http://schemas.microsoft.com/office/drawing/2010/main" spid="_x0000_s7313"/>
            </a:ext>
            <a:ext uri="{FF2B5EF4-FFF2-40B4-BE49-F238E27FC236}">
              <a16:creationId xmlns:a16="http://schemas.microsoft.com/office/drawing/2014/main" xmlns="" id="{00000000-0008-0000-0600-0000911C0000}"/>
            </a:ext>
          </a:extLst>
        </xdr:cNvPr>
        <xdr:cNvSpPr/>
      </xdr:nvSpPr>
      <xdr:spPr>
        <a:xfrm>
          <a:off x="0" y="0"/>
          <a:ext cx="0" cy="0"/>
        </a:xfrm>
        <a:prstGeom prst="rect">
          <a:avLst/>
        </a:prstGeom>
      </xdr:spPr>
    </xdr:sp>
    <xdr:clientData/>
  </xdr:twoCellAnchor>
  <xdr:twoCellAnchor editAs="oneCell">
    <xdr:from>
      <xdr:col>4</xdr:col>
      <xdr:colOff>0</xdr:colOff>
      <xdr:row>220</xdr:row>
      <xdr:rowOff>0</xdr:rowOff>
    </xdr:from>
    <xdr:to>
      <xdr:col>4</xdr:col>
      <xdr:colOff>152400</xdr:colOff>
      <xdr:row>220</xdr:row>
      <xdr:rowOff>152400</xdr:rowOff>
    </xdr:to>
    <xdr:pic>
      <xdr:nvPicPr>
        <xdr:cNvPr id="147" name="Picture 146" descr="Documents icon">
          <a:extLst>
            <a:ext uri="{FF2B5EF4-FFF2-40B4-BE49-F238E27FC236}">
              <a16:creationId xmlns:a16="http://schemas.microsoft.com/office/drawing/2014/main" xmlns="" id="{00000000-0008-0000-0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8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152400</xdr:rowOff>
    </xdr:from>
    <xdr:to>
      <xdr:col>3</xdr:col>
      <xdr:colOff>165100</xdr:colOff>
      <xdr:row>494</xdr:row>
      <xdr:rowOff>127000</xdr:rowOff>
    </xdr:to>
    <xdr:sp macro="" textlink="">
      <xdr:nvSpPr>
        <xdr:cNvPr id="7315" name="Control 147" hidden="1">
          <a:extLst>
            <a:ext uri="{63B3BB69-23CF-44E3-9099-C40C66FF867C}">
              <a14:compatExt xmlns:a14="http://schemas.microsoft.com/office/drawing/2010/main" spid="_x0000_s7315"/>
            </a:ext>
            <a:ext uri="{FF2B5EF4-FFF2-40B4-BE49-F238E27FC236}">
              <a16:creationId xmlns:a16="http://schemas.microsoft.com/office/drawing/2014/main" xmlns="" id="{00000000-0008-0000-0600-0000931C0000}"/>
            </a:ext>
          </a:extLst>
        </xdr:cNvPr>
        <xdr:cNvSpPr/>
      </xdr:nvSpPr>
      <xdr:spPr>
        <a:xfrm>
          <a:off x="0" y="0"/>
          <a:ext cx="0" cy="0"/>
        </a:xfrm>
        <a:prstGeom prst="rect">
          <a:avLst/>
        </a:prstGeom>
      </xdr:spPr>
    </xdr:sp>
    <xdr:clientData/>
  </xdr:twoCellAnchor>
  <xdr:twoCellAnchor editAs="oneCell">
    <xdr:from>
      <xdr:col>4</xdr:col>
      <xdr:colOff>0</xdr:colOff>
      <xdr:row>223</xdr:row>
      <xdr:rowOff>0</xdr:rowOff>
    </xdr:from>
    <xdr:to>
      <xdr:col>4</xdr:col>
      <xdr:colOff>152400</xdr:colOff>
      <xdr:row>223</xdr:row>
      <xdr:rowOff>152400</xdr:rowOff>
    </xdr:to>
    <xdr:pic>
      <xdr:nvPicPr>
        <xdr:cNvPr id="149" name="Picture 148" descr="Documents icon">
          <a:extLst>
            <a:ext uri="{FF2B5EF4-FFF2-40B4-BE49-F238E27FC236}">
              <a16:creationId xmlns:a16="http://schemas.microsoft.com/office/drawing/2014/main" xmlns="" id="{00000000-0008-0000-0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357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127000</xdr:rowOff>
    </xdr:from>
    <xdr:to>
      <xdr:col>3</xdr:col>
      <xdr:colOff>165100</xdr:colOff>
      <xdr:row>501</xdr:row>
      <xdr:rowOff>101600</xdr:rowOff>
    </xdr:to>
    <xdr:sp macro="" textlink="">
      <xdr:nvSpPr>
        <xdr:cNvPr id="7317" name="Control 149" hidden="1">
          <a:extLst>
            <a:ext uri="{63B3BB69-23CF-44E3-9099-C40C66FF867C}">
              <a14:compatExt xmlns:a14="http://schemas.microsoft.com/office/drawing/2010/main" spid="_x0000_s7317"/>
            </a:ext>
            <a:ext uri="{FF2B5EF4-FFF2-40B4-BE49-F238E27FC236}">
              <a16:creationId xmlns:a16="http://schemas.microsoft.com/office/drawing/2014/main" xmlns="" id="{00000000-0008-0000-0600-0000951C0000}"/>
            </a:ext>
          </a:extLst>
        </xdr:cNvPr>
        <xdr:cNvSpPr/>
      </xdr:nvSpPr>
      <xdr:spPr>
        <a:xfrm>
          <a:off x="0" y="0"/>
          <a:ext cx="0" cy="0"/>
        </a:xfrm>
        <a:prstGeom prst="rect">
          <a:avLst/>
        </a:prstGeom>
      </xdr:spPr>
    </xdr:sp>
    <xdr:clientData/>
  </xdr:twoCellAnchor>
  <xdr:twoCellAnchor editAs="oneCell">
    <xdr:from>
      <xdr:col>4</xdr:col>
      <xdr:colOff>0</xdr:colOff>
      <xdr:row>226</xdr:row>
      <xdr:rowOff>0</xdr:rowOff>
    </xdr:from>
    <xdr:to>
      <xdr:col>4</xdr:col>
      <xdr:colOff>152400</xdr:colOff>
      <xdr:row>226</xdr:row>
      <xdr:rowOff>152400</xdr:rowOff>
    </xdr:to>
    <xdr:pic>
      <xdr:nvPicPr>
        <xdr:cNvPr id="151" name="Picture 150" descr="Documents icon">
          <a:extLst>
            <a:ext uri="{FF2B5EF4-FFF2-40B4-BE49-F238E27FC236}">
              <a16:creationId xmlns:a16="http://schemas.microsoft.com/office/drawing/2014/main" xmlns="" id="{00000000-0008-0000-0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900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507</xdr:row>
      <xdr:rowOff>76200</xdr:rowOff>
    </xdr:from>
    <xdr:to>
      <xdr:col>3</xdr:col>
      <xdr:colOff>165100</xdr:colOff>
      <xdr:row>508</xdr:row>
      <xdr:rowOff>38100</xdr:rowOff>
    </xdr:to>
    <xdr:sp macro="" textlink="">
      <xdr:nvSpPr>
        <xdr:cNvPr id="7319" name="Control 151" hidden="1">
          <a:extLst>
            <a:ext uri="{63B3BB69-23CF-44E3-9099-C40C66FF867C}">
              <a14:compatExt xmlns:a14="http://schemas.microsoft.com/office/drawing/2010/main" spid="_x0000_s7319"/>
            </a:ext>
            <a:ext uri="{FF2B5EF4-FFF2-40B4-BE49-F238E27FC236}">
              <a16:creationId xmlns:a16="http://schemas.microsoft.com/office/drawing/2014/main" xmlns="" id="{00000000-0008-0000-0600-0000971C0000}"/>
            </a:ext>
          </a:extLst>
        </xdr:cNvPr>
        <xdr:cNvSpPr/>
      </xdr:nvSpPr>
      <xdr:spPr>
        <a:xfrm>
          <a:off x="0" y="0"/>
          <a:ext cx="0" cy="0"/>
        </a:xfrm>
        <a:prstGeom prst="rect">
          <a:avLst/>
        </a:prstGeom>
      </xdr:spPr>
    </xdr:sp>
    <xdr:clientData/>
  </xdr:twoCellAnchor>
  <xdr:twoCellAnchor editAs="oneCell">
    <xdr:from>
      <xdr:col>4</xdr:col>
      <xdr:colOff>0</xdr:colOff>
      <xdr:row>229</xdr:row>
      <xdr:rowOff>0</xdr:rowOff>
    </xdr:from>
    <xdr:to>
      <xdr:col>4</xdr:col>
      <xdr:colOff>152400</xdr:colOff>
      <xdr:row>229</xdr:row>
      <xdr:rowOff>152400</xdr:rowOff>
    </xdr:to>
    <xdr:pic>
      <xdr:nvPicPr>
        <xdr:cNvPr id="153" name="Picture 152" descr="Documents icon">
          <a:extLst>
            <a:ext uri="{FF2B5EF4-FFF2-40B4-BE49-F238E27FC236}">
              <a16:creationId xmlns:a16="http://schemas.microsoft.com/office/drawing/2014/main" xmlns="" id="{00000000-0008-0000-0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443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513</xdr:row>
      <xdr:rowOff>152400</xdr:rowOff>
    </xdr:from>
    <xdr:to>
      <xdr:col>3</xdr:col>
      <xdr:colOff>165100</xdr:colOff>
      <xdr:row>514</xdr:row>
      <xdr:rowOff>114300</xdr:rowOff>
    </xdr:to>
    <xdr:sp macro="" textlink="">
      <xdr:nvSpPr>
        <xdr:cNvPr id="7321" name="Control 153" hidden="1">
          <a:extLst>
            <a:ext uri="{63B3BB69-23CF-44E3-9099-C40C66FF867C}">
              <a14:compatExt xmlns:a14="http://schemas.microsoft.com/office/drawing/2010/main" spid="_x0000_s7321"/>
            </a:ext>
            <a:ext uri="{FF2B5EF4-FFF2-40B4-BE49-F238E27FC236}">
              <a16:creationId xmlns:a16="http://schemas.microsoft.com/office/drawing/2014/main" xmlns="" id="{00000000-0008-0000-0600-0000991C0000}"/>
            </a:ext>
          </a:extLst>
        </xdr:cNvPr>
        <xdr:cNvSpPr/>
      </xdr:nvSpPr>
      <xdr:spPr>
        <a:xfrm>
          <a:off x="0" y="0"/>
          <a:ext cx="0" cy="0"/>
        </a:xfrm>
        <a:prstGeom prst="rect">
          <a:avLst/>
        </a:prstGeom>
      </xdr:spPr>
    </xdr:sp>
    <xdr:clientData/>
  </xdr:twoCellAnchor>
  <xdr:twoCellAnchor editAs="oneCell">
    <xdr:from>
      <xdr:col>4</xdr:col>
      <xdr:colOff>0</xdr:colOff>
      <xdr:row>232</xdr:row>
      <xdr:rowOff>0</xdr:rowOff>
    </xdr:from>
    <xdr:to>
      <xdr:col>4</xdr:col>
      <xdr:colOff>152400</xdr:colOff>
      <xdr:row>232</xdr:row>
      <xdr:rowOff>152400</xdr:rowOff>
    </xdr:to>
    <xdr:pic>
      <xdr:nvPicPr>
        <xdr:cNvPr id="155" name="Picture 154" descr="Documents icon">
          <a:extLst>
            <a:ext uri="{FF2B5EF4-FFF2-40B4-BE49-F238E27FC236}">
              <a16:creationId xmlns:a16="http://schemas.microsoft.com/office/drawing/2014/main" xmlns="" id="{00000000-0008-0000-0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86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520</xdr:row>
      <xdr:rowOff>63500</xdr:rowOff>
    </xdr:from>
    <xdr:to>
      <xdr:col>3</xdr:col>
      <xdr:colOff>165100</xdr:colOff>
      <xdr:row>521</xdr:row>
      <xdr:rowOff>25400</xdr:rowOff>
    </xdr:to>
    <xdr:sp macro="" textlink="">
      <xdr:nvSpPr>
        <xdr:cNvPr id="7323" name="Control 155" hidden="1">
          <a:extLst>
            <a:ext uri="{63B3BB69-23CF-44E3-9099-C40C66FF867C}">
              <a14:compatExt xmlns:a14="http://schemas.microsoft.com/office/drawing/2010/main" spid="_x0000_s7323"/>
            </a:ext>
            <a:ext uri="{FF2B5EF4-FFF2-40B4-BE49-F238E27FC236}">
              <a16:creationId xmlns:a16="http://schemas.microsoft.com/office/drawing/2014/main" xmlns="" id="{00000000-0008-0000-0600-00009B1C0000}"/>
            </a:ext>
          </a:extLst>
        </xdr:cNvPr>
        <xdr:cNvSpPr/>
      </xdr:nvSpPr>
      <xdr:spPr>
        <a:xfrm>
          <a:off x="0" y="0"/>
          <a:ext cx="0" cy="0"/>
        </a:xfrm>
        <a:prstGeom prst="rect">
          <a:avLst/>
        </a:prstGeom>
      </xdr:spPr>
    </xdr:sp>
    <xdr:clientData/>
  </xdr:twoCellAnchor>
  <xdr:twoCellAnchor editAs="oneCell">
    <xdr:from>
      <xdr:col>4</xdr:col>
      <xdr:colOff>0</xdr:colOff>
      <xdr:row>235</xdr:row>
      <xdr:rowOff>0</xdr:rowOff>
    </xdr:from>
    <xdr:to>
      <xdr:col>4</xdr:col>
      <xdr:colOff>152400</xdr:colOff>
      <xdr:row>235</xdr:row>
      <xdr:rowOff>152400</xdr:rowOff>
    </xdr:to>
    <xdr:pic>
      <xdr:nvPicPr>
        <xdr:cNvPr id="157" name="Picture 156" descr="Documents icon">
          <a:extLst>
            <a:ext uri="{FF2B5EF4-FFF2-40B4-BE49-F238E27FC236}">
              <a16:creationId xmlns:a16="http://schemas.microsoft.com/office/drawing/2014/main" xmlns="" id="{00000000-0008-0000-0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529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527</xdr:row>
      <xdr:rowOff>25400</xdr:rowOff>
    </xdr:from>
    <xdr:to>
      <xdr:col>3</xdr:col>
      <xdr:colOff>165100</xdr:colOff>
      <xdr:row>527</xdr:row>
      <xdr:rowOff>165100</xdr:rowOff>
    </xdr:to>
    <xdr:sp macro="" textlink="">
      <xdr:nvSpPr>
        <xdr:cNvPr id="7325" name="Control 157" hidden="1">
          <a:extLst>
            <a:ext uri="{63B3BB69-23CF-44E3-9099-C40C66FF867C}">
              <a14:compatExt xmlns:a14="http://schemas.microsoft.com/office/drawing/2010/main" spid="_x0000_s7325"/>
            </a:ext>
            <a:ext uri="{FF2B5EF4-FFF2-40B4-BE49-F238E27FC236}">
              <a16:creationId xmlns:a16="http://schemas.microsoft.com/office/drawing/2014/main" xmlns="" id="{00000000-0008-0000-0600-00009D1C0000}"/>
            </a:ext>
          </a:extLst>
        </xdr:cNvPr>
        <xdr:cNvSpPr/>
      </xdr:nvSpPr>
      <xdr:spPr>
        <a:xfrm>
          <a:off x="0" y="0"/>
          <a:ext cx="0" cy="0"/>
        </a:xfrm>
        <a:prstGeom prst="rect">
          <a:avLst/>
        </a:prstGeom>
      </xdr:spPr>
    </xdr:sp>
    <xdr:clientData/>
  </xdr:twoCellAnchor>
  <xdr:twoCellAnchor editAs="oneCell">
    <xdr:from>
      <xdr:col>4</xdr:col>
      <xdr:colOff>0</xdr:colOff>
      <xdr:row>238</xdr:row>
      <xdr:rowOff>0</xdr:rowOff>
    </xdr:from>
    <xdr:to>
      <xdr:col>4</xdr:col>
      <xdr:colOff>152400</xdr:colOff>
      <xdr:row>238</xdr:row>
      <xdr:rowOff>152400</xdr:rowOff>
    </xdr:to>
    <xdr:pic>
      <xdr:nvPicPr>
        <xdr:cNvPr id="159" name="Picture 158" descr="Documents icon">
          <a:extLst>
            <a:ext uri="{FF2B5EF4-FFF2-40B4-BE49-F238E27FC236}">
              <a16:creationId xmlns:a16="http://schemas.microsoft.com/office/drawing/2014/main" xmlns="" id="{00000000-0008-0000-0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072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533</xdr:row>
      <xdr:rowOff>177800</xdr:rowOff>
    </xdr:from>
    <xdr:to>
      <xdr:col>3</xdr:col>
      <xdr:colOff>165100</xdr:colOff>
      <xdr:row>534</xdr:row>
      <xdr:rowOff>139700</xdr:rowOff>
    </xdr:to>
    <xdr:sp macro="" textlink="">
      <xdr:nvSpPr>
        <xdr:cNvPr id="7327" name="Control 159" hidden="1">
          <a:extLst>
            <a:ext uri="{63B3BB69-23CF-44E3-9099-C40C66FF867C}">
              <a14:compatExt xmlns:a14="http://schemas.microsoft.com/office/drawing/2010/main" spid="_x0000_s7327"/>
            </a:ext>
            <a:ext uri="{FF2B5EF4-FFF2-40B4-BE49-F238E27FC236}">
              <a16:creationId xmlns:a16="http://schemas.microsoft.com/office/drawing/2014/main" xmlns="" id="{00000000-0008-0000-0600-00009F1C0000}"/>
            </a:ext>
          </a:extLst>
        </xdr:cNvPr>
        <xdr:cNvSpPr/>
      </xdr:nvSpPr>
      <xdr:spPr>
        <a:xfrm>
          <a:off x="0" y="0"/>
          <a:ext cx="0" cy="0"/>
        </a:xfrm>
        <a:prstGeom prst="rect">
          <a:avLst/>
        </a:prstGeom>
      </xdr:spPr>
    </xdr:sp>
    <xdr:clientData/>
  </xdr:twoCellAnchor>
  <xdr:twoCellAnchor editAs="oneCell">
    <xdr:from>
      <xdr:col>4</xdr:col>
      <xdr:colOff>0</xdr:colOff>
      <xdr:row>241</xdr:row>
      <xdr:rowOff>0</xdr:rowOff>
    </xdr:from>
    <xdr:to>
      <xdr:col>4</xdr:col>
      <xdr:colOff>152400</xdr:colOff>
      <xdr:row>241</xdr:row>
      <xdr:rowOff>152400</xdr:rowOff>
    </xdr:to>
    <xdr:pic>
      <xdr:nvPicPr>
        <xdr:cNvPr id="161" name="Picture 160" descr="Documents icon">
          <a:extLst>
            <a:ext uri="{FF2B5EF4-FFF2-40B4-BE49-F238E27FC236}">
              <a16:creationId xmlns:a16="http://schemas.microsoft.com/office/drawing/2014/main" xmlns="" id="{00000000-0008-0000-0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614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540</xdr:row>
      <xdr:rowOff>152400</xdr:rowOff>
    </xdr:from>
    <xdr:to>
      <xdr:col>3</xdr:col>
      <xdr:colOff>165100</xdr:colOff>
      <xdr:row>541</xdr:row>
      <xdr:rowOff>127000</xdr:rowOff>
    </xdr:to>
    <xdr:sp macro="" textlink="">
      <xdr:nvSpPr>
        <xdr:cNvPr id="7329" name="Control 161" hidden="1">
          <a:extLst>
            <a:ext uri="{63B3BB69-23CF-44E3-9099-C40C66FF867C}">
              <a14:compatExt xmlns:a14="http://schemas.microsoft.com/office/drawing/2010/main" spid="_x0000_s7329"/>
            </a:ext>
            <a:ext uri="{FF2B5EF4-FFF2-40B4-BE49-F238E27FC236}">
              <a16:creationId xmlns:a16="http://schemas.microsoft.com/office/drawing/2014/main" xmlns="" id="{00000000-0008-0000-0600-0000A11C0000}"/>
            </a:ext>
          </a:extLst>
        </xdr:cNvPr>
        <xdr:cNvSpPr/>
      </xdr:nvSpPr>
      <xdr:spPr>
        <a:xfrm>
          <a:off x="0" y="0"/>
          <a:ext cx="0" cy="0"/>
        </a:xfrm>
        <a:prstGeom prst="rect">
          <a:avLst/>
        </a:prstGeom>
      </xdr:spPr>
    </xdr:sp>
    <xdr:clientData/>
  </xdr:twoCellAnchor>
  <xdr:twoCellAnchor editAs="oneCell">
    <xdr:from>
      <xdr:col>4</xdr:col>
      <xdr:colOff>0</xdr:colOff>
      <xdr:row>244</xdr:row>
      <xdr:rowOff>0</xdr:rowOff>
    </xdr:from>
    <xdr:to>
      <xdr:col>4</xdr:col>
      <xdr:colOff>152400</xdr:colOff>
      <xdr:row>244</xdr:row>
      <xdr:rowOff>152400</xdr:rowOff>
    </xdr:to>
    <xdr:pic>
      <xdr:nvPicPr>
        <xdr:cNvPr id="163" name="Picture 162" descr="Documents icon">
          <a:extLst>
            <a:ext uri="{FF2B5EF4-FFF2-40B4-BE49-F238E27FC236}">
              <a16:creationId xmlns:a16="http://schemas.microsoft.com/office/drawing/2014/main" xmlns="" id="{00000000-0008-0000-0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15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547</xdr:row>
      <xdr:rowOff>25400</xdr:rowOff>
    </xdr:from>
    <xdr:to>
      <xdr:col>3</xdr:col>
      <xdr:colOff>165100</xdr:colOff>
      <xdr:row>547</xdr:row>
      <xdr:rowOff>165100</xdr:rowOff>
    </xdr:to>
    <xdr:sp macro="" textlink="">
      <xdr:nvSpPr>
        <xdr:cNvPr id="7331" name="Control 163" hidden="1">
          <a:extLst>
            <a:ext uri="{63B3BB69-23CF-44E3-9099-C40C66FF867C}">
              <a14:compatExt xmlns:a14="http://schemas.microsoft.com/office/drawing/2010/main" spid="_x0000_s7331"/>
            </a:ext>
            <a:ext uri="{FF2B5EF4-FFF2-40B4-BE49-F238E27FC236}">
              <a16:creationId xmlns:a16="http://schemas.microsoft.com/office/drawing/2014/main" xmlns="" id="{00000000-0008-0000-0600-0000A31C0000}"/>
            </a:ext>
          </a:extLst>
        </xdr:cNvPr>
        <xdr:cNvSpPr/>
      </xdr:nvSpPr>
      <xdr:spPr>
        <a:xfrm>
          <a:off x="0" y="0"/>
          <a:ext cx="0" cy="0"/>
        </a:xfrm>
        <a:prstGeom prst="rect">
          <a:avLst/>
        </a:prstGeom>
      </xdr:spPr>
    </xdr:sp>
    <xdr:clientData/>
  </xdr:twoCellAnchor>
  <xdr:twoCellAnchor editAs="oneCell">
    <xdr:from>
      <xdr:col>4</xdr:col>
      <xdr:colOff>0</xdr:colOff>
      <xdr:row>247</xdr:row>
      <xdr:rowOff>0</xdr:rowOff>
    </xdr:from>
    <xdr:to>
      <xdr:col>4</xdr:col>
      <xdr:colOff>152400</xdr:colOff>
      <xdr:row>247</xdr:row>
      <xdr:rowOff>152400</xdr:rowOff>
    </xdr:to>
    <xdr:pic>
      <xdr:nvPicPr>
        <xdr:cNvPr id="165" name="Picture 164" descr="Documents icon">
          <a:extLst>
            <a:ext uri="{FF2B5EF4-FFF2-40B4-BE49-F238E27FC236}">
              <a16:creationId xmlns:a16="http://schemas.microsoft.com/office/drawing/2014/main" xmlns=""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700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553</xdr:row>
      <xdr:rowOff>114300</xdr:rowOff>
    </xdr:from>
    <xdr:to>
      <xdr:col>3</xdr:col>
      <xdr:colOff>165100</xdr:colOff>
      <xdr:row>554</xdr:row>
      <xdr:rowOff>88900</xdr:rowOff>
    </xdr:to>
    <xdr:sp macro="" textlink="">
      <xdr:nvSpPr>
        <xdr:cNvPr id="7333" name="Control 165" hidden="1">
          <a:extLst>
            <a:ext uri="{63B3BB69-23CF-44E3-9099-C40C66FF867C}">
              <a14:compatExt xmlns:a14="http://schemas.microsoft.com/office/drawing/2010/main" spid="_x0000_s7333"/>
            </a:ext>
            <a:ext uri="{FF2B5EF4-FFF2-40B4-BE49-F238E27FC236}">
              <a16:creationId xmlns:a16="http://schemas.microsoft.com/office/drawing/2014/main" xmlns="" id="{00000000-0008-0000-0600-0000A51C0000}"/>
            </a:ext>
          </a:extLst>
        </xdr:cNvPr>
        <xdr:cNvSpPr/>
      </xdr:nvSpPr>
      <xdr:spPr>
        <a:xfrm>
          <a:off x="0" y="0"/>
          <a:ext cx="0" cy="0"/>
        </a:xfrm>
        <a:prstGeom prst="rect">
          <a:avLst/>
        </a:prstGeom>
      </xdr:spPr>
    </xdr:sp>
    <xdr:clientData/>
  </xdr:twoCellAnchor>
  <xdr:twoCellAnchor editAs="oneCell">
    <xdr:from>
      <xdr:col>4</xdr:col>
      <xdr:colOff>0</xdr:colOff>
      <xdr:row>250</xdr:row>
      <xdr:rowOff>0</xdr:rowOff>
    </xdr:from>
    <xdr:to>
      <xdr:col>4</xdr:col>
      <xdr:colOff>152400</xdr:colOff>
      <xdr:row>250</xdr:row>
      <xdr:rowOff>152400</xdr:rowOff>
    </xdr:to>
    <xdr:pic>
      <xdr:nvPicPr>
        <xdr:cNvPr id="167" name="Picture 166" descr="Documents icon">
          <a:extLst>
            <a:ext uri="{FF2B5EF4-FFF2-40B4-BE49-F238E27FC236}">
              <a16:creationId xmlns:a16="http://schemas.microsoft.com/office/drawing/2014/main" xmlns="" id="{00000000-0008-0000-0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243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560</xdr:row>
      <xdr:rowOff>101600</xdr:rowOff>
    </xdr:from>
    <xdr:to>
      <xdr:col>3</xdr:col>
      <xdr:colOff>165100</xdr:colOff>
      <xdr:row>561</xdr:row>
      <xdr:rowOff>63500</xdr:rowOff>
    </xdr:to>
    <xdr:sp macro="" textlink="">
      <xdr:nvSpPr>
        <xdr:cNvPr id="7335" name="Control 167" hidden="1">
          <a:extLst>
            <a:ext uri="{63B3BB69-23CF-44E3-9099-C40C66FF867C}">
              <a14:compatExt xmlns:a14="http://schemas.microsoft.com/office/drawing/2010/main" spid="_x0000_s7335"/>
            </a:ext>
            <a:ext uri="{FF2B5EF4-FFF2-40B4-BE49-F238E27FC236}">
              <a16:creationId xmlns:a16="http://schemas.microsoft.com/office/drawing/2014/main" xmlns="" id="{00000000-0008-0000-0600-0000A71C0000}"/>
            </a:ext>
          </a:extLst>
        </xdr:cNvPr>
        <xdr:cNvSpPr/>
      </xdr:nvSpPr>
      <xdr:spPr>
        <a:xfrm>
          <a:off x="0" y="0"/>
          <a:ext cx="0" cy="0"/>
        </a:xfrm>
        <a:prstGeom prst="rect">
          <a:avLst/>
        </a:prstGeom>
      </xdr:spPr>
    </xdr:sp>
    <xdr:clientData/>
  </xdr:twoCellAnchor>
  <xdr:twoCellAnchor editAs="oneCell">
    <xdr:from>
      <xdr:col>4</xdr:col>
      <xdr:colOff>0</xdr:colOff>
      <xdr:row>253</xdr:row>
      <xdr:rowOff>0</xdr:rowOff>
    </xdr:from>
    <xdr:to>
      <xdr:col>4</xdr:col>
      <xdr:colOff>152400</xdr:colOff>
      <xdr:row>253</xdr:row>
      <xdr:rowOff>152400</xdr:rowOff>
    </xdr:to>
    <xdr:pic>
      <xdr:nvPicPr>
        <xdr:cNvPr id="169" name="Picture 168" descr="Documents icon">
          <a:extLst>
            <a:ext uri="{FF2B5EF4-FFF2-40B4-BE49-F238E27FC236}">
              <a16:creationId xmlns:a16="http://schemas.microsoft.com/office/drawing/2014/main" xmlns="" id="{00000000-0008-0000-0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786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567</xdr:row>
      <xdr:rowOff>0</xdr:rowOff>
    </xdr:from>
    <xdr:to>
      <xdr:col>3</xdr:col>
      <xdr:colOff>165100</xdr:colOff>
      <xdr:row>567</xdr:row>
      <xdr:rowOff>152400</xdr:rowOff>
    </xdr:to>
    <xdr:sp macro="" textlink="">
      <xdr:nvSpPr>
        <xdr:cNvPr id="7337" name="Control 169" hidden="1">
          <a:extLst>
            <a:ext uri="{63B3BB69-23CF-44E3-9099-C40C66FF867C}">
              <a14:compatExt xmlns:a14="http://schemas.microsoft.com/office/drawing/2010/main" spid="_x0000_s7337"/>
            </a:ext>
            <a:ext uri="{FF2B5EF4-FFF2-40B4-BE49-F238E27FC236}">
              <a16:creationId xmlns:a16="http://schemas.microsoft.com/office/drawing/2014/main" xmlns="" id="{00000000-0008-0000-0600-0000A91C0000}"/>
            </a:ext>
          </a:extLst>
        </xdr:cNvPr>
        <xdr:cNvSpPr/>
      </xdr:nvSpPr>
      <xdr:spPr>
        <a:xfrm>
          <a:off x="0" y="0"/>
          <a:ext cx="0" cy="0"/>
        </a:xfrm>
        <a:prstGeom prst="rect">
          <a:avLst/>
        </a:prstGeom>
      </xdr:spPr>
    </xdr:sp>
    <xdr:clientData/>
  </xdr:twoCellAnchor>
  <xdr:twoCellAnchor editAs="oneCell">
    <xdr:from>
      <xdr:col>4</xdr:col>
      <xdr:colOff>0</xdr:colOff>
      <xdr:row>256</xdr:row>
      <xdr:rowOff>0</xdr:rowOff>
    </xdr:from>
    <xdr:to>
      <xdr:col>4</xdr:col>
      <xdr:colOff>152400</xdr:colOff>
      <xdr:row>256</xdr:row>
      <xdr:rowOff>152400</xdr:rowOff>
    </xdr:to>
    <xdr:pic>
      <xdr:nvPicPr>
        <xdr:cNvPr id="171" name="Picture 170" descr="Documents icon">
          <a:extLst>
            <a:ext uri="{FF2B5EF4-FFF2-40B4-BE49-F238E27FC236}">
              <a16:creationId xmlns:a16="http://schemas.microsoft.com/office/drawing/2014/main" xmlns="" id="{00000000-0008-0000-0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329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573</xdr:row>
      <xdr:rowOff>114300</xdr:rowOff>
    </xdr:from>
    <xdr:to>
      <xdr:col>3</xdr:col>
      <xdr:colOff>165100</xdr:colOff>
      <xdr:row>574</xdr:row>
      <xdr:rowOff>76200</xdr:rowOff>
    </xdr:to>
    <xdr:sp macro="" textlink="">
      <xdr:nvSpPr>
        <xdr:cNvPr id="7339" name="Control 171" hidden="1">
          <a:extLst>
            <a:ext uri="{63B3BB69-23CF-44E3-9099-C40C66FF867C}">
              <a14:compatExt xmlns:a14="http://schemas.microsoft.com/office/drawing/2010/main" spid="_x0000_s7339"/>
            </a:ext>
            <a:ext uri="{FF2B5EF4-FFF2-40B4-BE49-F238E27FC236}">
              <a16:creationId xmlns:a16="http://schemas.microsoft.com/office/drawing/2014/main" xmlns="" id="{00000000-0008-0000-0600-0000AB1C0000}"/>
            </a:ext>
          </a:extLst>
        </xdr:cNvPr>
        <xdr:cNvSpPr/>
      </xdr:nvSpPr>
      <xdr:spPr>
        <a:xfrm>
          <a:off x="0" y="0"/>
          <a:ext cx="0" cy="0"/>
        </a:xfrm>
        <a:prstGeom prst="rect">
          <a:avLst/>
        </a:prstGeom>
      </xdr:spPr>
    </xdr:sp>
    <xdr:clientData/>
  </xdr:twoCellAnchor>
  <xdr:twoCellAnchor editAs="oneCell">
    <xdr:from>
      <xdr:col>4</xdr:col>
      <xdr:colOff>0</xdr:colOff>
      <xdr:row>259</xdr:row>
      <xdr:rowOff>0</xdr:rowOff>
    </xdr:from>
    <xdr:to>
      <xdr:col>4</xdr:col>
      <xdr:colOff>152400</xdr:colOff>
      <xdr:row>259</xdr:row>
      <xdr:rowOff>152400</xdr:rowOff>
    </xdr:to>
    <xdr:pic>
      <xdr:nvPicPr>
        <xdr:cNvPr id="173" name="Picture 172" descr="Documents icon">
          <a:extLst>
            <a:ext uri="{FF2B5EF4-FFF2-40B4-BE49-F238E27FC236}">
              <a16:creationId xmlns:a16="http://schemas.microsoft.com/office/drawing/2014/main" xmlns="" id="{00000000-0008-0000-0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872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580</xdr:row>
      <xdr:rowOff>114300</xdr:rowOff>
    </xdr:from>
    <xdr:to>
      <xdr:col>3</xdr:col>
      <xdr:colOff>165100</xdr:colOff>
      <xdr:row>581</xdr:row>
      <xdr:rowOff>76200</xdr:rowOff>
    </xdr:to>
    <xdr:sp macro="" textlink="">
      <xdr:nvSpPr>
        <xdr:cNvPr id="7341" name="Control 173" hidden="1">
          <a:extLst>
            <a:ext uri="{63B3BB69-23CF-44E3-9099-C40C66FF867C}">
              <a14:compatExt xmlns:a14="http://schemas.microsoft.com/office/drawing/2010/main" spid="_x0000_s7341"/>
            </a:ext>
            <a:ext uri="{FF2B5EF4-FFF2-40B4-BE49-F238E27FC236}">
              <a16:creationId xmlns:a16="http://schemas.microsoft.com/office/drawing/2014/main" xmlns="" id="{00000000-0008-0000-0600-0000AD1C0000}"/>
            </a:ext>
          </a:extLst>
        </xdr:cNvPr>
        <xdr:cNvSpPr/>
      </xdr:nvSpPr>
      <xdr:spPr>
        <a:xfrm>
          <a:off x="0" y="0"/>
          <a:ext cx="0" cy="0"/>
        </a:xfrm>
        <a:prstGeom prst="rect">
          <a:avLst/>
        </a:prstGeom>
      </xdr:spPr>
    </xdr:sp>
    <xdr:clientData/>
  </xdr:twoCellAnchor>
  <xdr:twoCellAnchor editAs="oneCell">
    <xdr:from>
      <xdr:col>4</xdr:col>
      <xdr:colOff>0</xdr:colOff>
      <xdr:row>262</xdr:row>
      <xdr:rowOff>0</xdr:rowOff>
    </xdr:from>
    <xdr:to>
      <xdr:col>4</xdr:col>
      <xdr:colOff>152400</xdr:colOff>
      <xdr:row>262</xdr:row>
      <xdr:rowOff>152400</xdr:rowOff>
    </xdr:to>
    <xdr:pic>
      <xdr:nvPicPr>
        <xdr:cNvPr id="175" name="Picture 174" descr="Documents icon">
          <a:extLst>
            <a:ext uri="{FF2B5EF4-FFF2-40B4-BE49-F238E27FC236}">
              <a16:creationId xmlns:a16="http://schemas.microsoft.com/office/drawing/2014/main" xmlns="" id="{00000000-0008-0000-0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415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587</xdr:row>
      <xdr:rowOff>25400</xdr:rowOff>
    </xdr:from>
    <xdr:to>
      <xdr:col>3</xdr:col>
      <xdr:colOff>165100</xdr:colOff>
      <xdr:row>587</xdr:row>
      <xdr:rowOff>165100</xdr:rowOff>
    </xdr:to>
    <xdr:sp macro="" textlink="">
      <xdr:nvSpPr>
        <xdr:cNvPr id="7343" name="Control 175" hidden="1">
          <a:extLst>
            <a:ext uri="{63B3BB69-23CF-44E3-9099-C40C66FF867C}">
              <a14:compatExt xmlns:a14="http://schemas.microsoft.com/office/drawing/2010/main" spid="_x0000_s7343"/>
            </a:ext>
            <a:ext uri="{FF2B5EF4-FFF2-40B4-BE49-F238E27FC236}">
              <a16:creationId xmlns:a16="http://schemas.microsoft.com/office/drawing/2014/main" xmlns="" id="{00000000-0008-0000-0600-0000AF1C0000}"/>
            </a:ext>
          </a:extLst>
        </xdr:cNvPr>
        <xdr:cNvSpPr/>
      </xdr:nvSpPr>
      <xdr:spPr>
        <a:xfrm>
          <a:off x="0" y="0"/>
          <a:ext cx="0" cy="0"/>
        </a:xfrm>
        <a:prstGeom prst="rect">
          <a:avLst/>
        </a:prstGeom>
      </xdr:spPr>
    </xdr:sp>
    <xdr:clientData/>
  </xdr:twoCellAnchor>
  <xdr:twoCellAnchor editAs="oneCell">
    <xdr:from>
      <xdr:col>4</xdr:col>
      <xdr:colOff>0</xdr:colOff>
      <xdr:row>265</xdr:row>
      <xdr:rowOff>0</xdr:rowOff>
    </xdr:from>
    <xdr:to>
      <xdr:col>4</xdr:col>
      <xdr:colOff>152400</xdr:colOff>
      <xdr:row>265</xdr:row>
      <xdr:rowOff>152400</xdr:rowOff>
    </xdr:to>
    <xdr:pic>
      <xdr:nvPicPr>
        <xdr:cNvPr id="177" name="Picture 176" descr="Documents icon">
          <a:extLst>
            <a:ext uri="{FF2B5EF4-FFF2-40B4-BE49-F238E27FC236}">
              <a16:creationId xmlns:a16="http://schemas.microsoft.com/office/drawing/2014/main" xmlns="" id="{00000000-0008-0000-0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958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593</xdr:row>
      <xdr:rowOff>139700</xdr:rowOff>
    </xdr:from>
    <xdr:to>
      <xdr:col>3</xdr:col>
      <xdr:colOff>165100</xdr:colOff>
      <xdr:row>594</xdr:row>
      <xdr:rowOff>101600</xdr:rowOff>
    </xdr:to>
    <xdr:sp macro="" textlink="">
      <xdr:nvSpPr>
        <xdr:cNvPr id="7345" name="Control 177" hidden="1">
          <a:extLst>
            <a:ext uri="{63B3BB69-23CF-44E3-9099-C40C66FF867C}">
              <a14:compatExt xmlns:a14="http://schemas.microsoft.com/office/drawing/2010/main" spid="_x0000_s7345"/>
            </a:ext>
            <a:ext uri="{FF2B5EF4-FFF2-40B4-BE49-F238E27FC236}">
              <a16:creationId xmlns:a16="http://schemas.microsoft.com/office/drawing/2014/main" xmlns="" id="{00000000-0008-0000-0600-0000B11C0000}"/>
            </a:ext>
          </a:extLst>
        </xdr:cNvPr>
        <xdr:cNvSpPr/>
      </xdr:nvSpPr>
      <xdr:spPr>
        <a:xfrm>
          <a:off x="0" y="0"/>
          <a:ext cx="0" cy="0"/>
        </a:xfrm>
        <a:prstGeom prst="rect">
          <a:avLst/>
        </a:prstGeom>
      </xdr:spPr>
    </xdr:sp>
    <xdr:clientData/>
  </xdr:twoCellAnchor>
  <xdr:twoCellAnchor editAs="oneCell">
    <xdr:from>
      <xdr:col>4</xdr:col>
      <xdr:colOff>0</xdr:colOff>
      <xdr:row>268</xdr:row>
      <xdr:rowOff>0</xdr:rowOff>
    </xdr:from>
    <xdr:to>
      <xdr:col>4</xdr:col>
      <xdr:colOff>152400</xdr:colOff>
      <xdr:row>268</xdr:row>
      <xdr:rowOff>152400</xdr:rowOff>
    </xdr:to>
    <xdr:pic>
      <xdr:nvPicPr>
        <xdr:cNvPr id="179" name="Picture 178" descr="Documents icon">
          <a:extLst>
            <a:ext uri="{FF2B5EF4-FFF2-40B4-BE49-F238E27FC236}">
              <a16:creationId xmlns:a16="http://schemas.microsoft.com/office/drawing/2014/main" xmlns="" id="{00000000-0008-0000-0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501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600</xdr:row>
      <xdr:rowOff>152400</xdr:rowOff>
    </xdr:from>
    <xdr:to>
      <xdr:col>3</xdr:col>
      <xdr:colOff>165100</xdr:colOff>
      <xdr:row>601</xdr:row>
      <xdr:rowOff>114300</xdr:rowOff>
    </xdr:to>
    <xdr:sp macro="" textlink="">
      <xdr:nvSpPr>
        <xdr:cNvPr id="7347" name="Control 179" hidden="1">
          <a:extLst>
            <a:ext uri="{63B3BB69-23CF-44E3-9099-C40C66FF867C}">
              <a14:compatExt xmlns:a14="http://schemas.microsoft.com/office/drawing/2010/main" spid="_x0000_s7347"/>
            </a:ext>
            <a:ext uri="{FF2B5EF4-FFF2-40B4-BE49-F238E27FC236}">
              <a16:creationId xmlns:a16="http://schemas.microsoft.com/office/drawing/2014/main" xmlns="" id="{00000000-0008-0000-0600-0000B31C0000}"/>
            </a:ext>
          </a:extLst>
        </xdr:cNvPr>
        <xdr:cNvSpPr/>
      </xdr:nvSpPr>
      <xdr:spPr>
        <a:xfrm>
          <a:off x="0" y="0"/>
          <a:ext cx="0" cy="0"/>
        </a:xfrm>
        <a:prstGeom prst="rect">
          <a:avLst/>
        </a:prstGeom>
      </xdr:spPr>
    </xdr:sp>
    <xdr:clientData/>
  </xdr:twoCellAnchor>
  <xdr:twoCellAnchor editAs="oneCell">
    <xdr:from>
      <xdr:col>4</xdr:col>
      <xdr:colOff>0</xdr:colOff>
      <xdr:row>271</xdr:row>
      <xdr:rowOff>0</xdr:rowOff>
    </xdr:from>
    <xdr:to>
      <xdr:col>4</xdr:col>
      <xdr:colOff>152400</xdr:colOff>
      <xdr:row>271</xdr:row>
      <xdr:rowOff>152400</xdr:rowOff>
    </xdr:to>
    <xdr:pic>
      <xdr:nvPicPr>
        <xdr:cNvPr id="181" name="Picture 180" descr="Documents icon">
          <a:extLst>
            <a:ext uri="{FF2B5EF4-FFF2-40B4-BE49-F238E27FC236}">
              <a16:creationId xmlns:a16="http://schemas.microsoft.com/office/drawing/2014/main" xmlns="" id="{00000000-0008-0000-0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44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607</xdr:row>
      <xdr:rowOff>12700</xdr:rowOff>
    </xdr:from>
    <xdr:to>
      <xdr:col>3</xdr:col>
      <xdr:colOff>165100</xdr:colOff>
      <xdr:row>607</xdr:row>
      <xdr:rowOff>165100</xdr:rowOff>
    </xdr:to>
    <xdr:sp macro="" textlink="">
      <xdr:nvSpPr>
        <xdr:cNvPr id="7349" name="Control 181" hidden="1">
          <a:extLst>
            <a:ext uri="{63B3BB69-23CF-44E3-9099-C40C66FF867C}">
              <a14:compatExt xmlns:a14="http://schemas.microsoft.com/office/drawing/2010/main" spid="_x0000_s7349"/>
            </a:ext>
            <a:ext uri="{FF2B5EF4-FFF2-40B4-BE49-F238E27FC236}">
              <a16:creationId xmlns:a16="http://schemas.microsoft.com/office/drawing/2014/main" xmlns="" id="{00000000-0008-0000-0600-0000B51C0000}"/>
            </a:ext>
          </a:extLst>
        </xdr:cNvPr>
        <xdr:cNvSpPr/>
      </xdr:nvSpPr>
      <xdr:spPr>
        <a:xfrm>
          <a:off x="0" y="0"/>
          <a:ext cx="0" cy="0"/>
        </a:xfrm>
        <a:prstGeom prst="rect">
          <a:avLst/>
        </a:prstGeom>
      </xdr:spPr>
    </xdr:sp>
    <xdr:clientData/>
  </xdr:twoCellAnchor>
  <xdr:twoCellAnchor editAs="oneCell">
    <xdr:from>
      <xdr:col>4</xdr:col>
      <xdr:colOff>0</xdr:colOff>
      <xdr:row>274</xdr:row>
      <xdr:rowOff>0</xdr:rowOff>
    </xdr:from>
    <xdr:to>
      <xdr:col>4</xdr:col>
      <xdr:colOff>152400</xdr:colOff>
      <xdr:row>274</xdr:row>
      <xdr:rowOff>152400</xdr:rowOff>
    </xdr:to>
    <xdr:pic>
      <xdr:nvPicPr>
        <xdr:cNvPr id="183" name="Picture 182" descr="Documents icon">
          <a:extLst>
            <a:ext uri="{FF2B5EF4-FFF2-40B4-BE49-F238E27FC236}">
              <a16:creationId xmlns:a16="http://schemas.microsoft.com/office/drawing/2014/main" xmlns="" id="{00000000-0008-0000-0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587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613</xdr:row>
      <xdr:rowOff>76200</xdr:rowOff>
    </xdr:from>
    <xdr:to>
      <xdr:col>3</xdr:col>
      <xdr:colOff>165100</xdr:colOff>
      <xdr:row>614</xdr:row>
      <xdr:rowOff>38100</xdr:rowOff>
    </xdr:to>
    <xdr:sp macro="" textlink="">
      <xdr:nvSpPr>
        <xdr:cNvPr id="7351" name="Control 183" hidden="1">
          <a:extLst>
            <a:ext uri="{63B3BB69-23CF-44E3-9099-C40C66FF867C}">
              <a14:compatExt xmlns:a14="http://schemas.microsoft.com/office/drawing/2010/main" spid="_x0000_s7351"/>
            </a:ext>
            <a:ext uri="{FF2B5EF4-FFF2-40B4-BE49-F238E27FC236}">
              <a16:creationId xmlns:a16="http://schemas.microsoft.com/office/drawing/2014/main" xmlns="" id="{00000000-0008-0000-0600-0000B71C0000}"/>
            </a:ext>
          </a:extLst>
        </xdr:cNvPr>
        <xdr:cNvSpPr/>
      </xdr:nvSpPr>
      <xdr:spPr>
        <a:xfrm>
          <a:off x="0" y="0"/>
          <a:ext cx="0" cy="0"/>
        </a:xfrm>
        <a:prstGeom prst="rect">
          <a:avLst/>
        </a:prstGeom>
      </xdr:spPr>
    </xdr:sp>
    <xdr:clientData/>
  </xdr:twoCellAnchor>
  <xdr:twoCellAnchor editAs="oneCell">
    <xdr:from>
      <xdr:col>4</xdr:col>
      <xdr:colOff>0</xdr:colOff>
      <xdr:row>277</xdr:row>
      <xdr:rowOff>0</xdr:rowOff>
    </xdr:from>
    <xdr:to>
      <xdr:col>4</xdr:col>
      <xdr:colOff>152400</xdr:colOff>
      <xdr:row>277</xdr:row>
      <xdr:rowOff>152400</xdr:rowOff>
    </xdr:to>
    <xdr:pic>
      <xdr:nvPicPr>
        <xdr:cNvPr id="185" name="Picture 184" descr="Documents icon">
          <a:extLst>
            <a:ext uri="{FF2B5EF4-FFF2-40B4-BE49-F238E27FC236}">
              <a16:creationId xmlns:a16="http://schemas.microsoft.com/office/drawing/2014/main" xmlns="" id="{00000000-0008-0000-0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130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620</xdr:row>
      <xdr:rowOff>25400</xdr:rowOff>
    </xdr:from>
    <xdr:to>
      <xdr:col>3</xdr:col>
      <xdr:colOff>165100</xdr:colOff>
      <xdr:row>620</xdr:row>
      <xdr:rowOff>165100</xdr:rowOff>
    </xdr:to>
    <xdr:sp macro="" textlink="">
      <xdr:nvSpPr>
        <xdr:cNvPr id="7353" name="Control 185" hidden="1">
          <a:extLst>
            <a:ext uri="{63B3BB69-23CF-44E3-9099-C40C66FF867C}">
              <a14:compatExt xmlns:a14="http://schemas.microsoft.com/office/drawing/2010/main" spid="_x0000_s7353"/>
            </a:ext>
            <a:ext uri="{FF2B5EF4-FFF2-40B4-BE49-F238E27FC236}">
              <a16:creationId xmlns:a16="http://schemas.microsoft.com/office/drawing/2014/main" xmlns="" id="{00000000-0008-0000-0600-0000B91C0000}"/>
            </a:ext>
          </a:extLst>
        </xdr:cNvPr>
        <xdr:cNvSpPr/>
      </xdr:nvSpPr>
      <xdr:spPr>
        <a:xfrm>
          <a:off x="0" y="0"/>
          <a:ext cx="0" cy="0"/>
        </a:xfrm>
        <a:prstGeom prst="rect">
          <a:avLst/>
        </a:prstGeom>
      </xdr:spPr>
    </xdr:sp>
    <xdr:clientData/>
  </xdr:twoCellAnchor>
  <xdr:twoCellAnchor editAs="oneCell">
    <xdr:from>
      <xdr:col>4</xdr:col>
      <xdr:colOff>0</xdr:colOff>
      <xdr:row>280</xdr:row>
      <xdr:rowOff>0</xdr:rowOff>
    </xdr:from>
    <xdr:to>
      <xdr:col>4</xdr:col>
      <xdr:colOff>152400</xdr:colOff>
      <xdr:row>280</xdr:row>
      <xdr:rowOff>152400</xdr:rowOff>
    </xdr:to>
    <xdr:pic>
      <xdr:nvPicPr>
        <xdr:cNvPr id="187" name="Picture 186" descr="Documents icon">
          <a:extLst>
            <a:ext uri="{FF2B5EF4-FFF2-40B4-BE49-F238E27FC236}">
              <a16:creationId xmlns:a16="http://schemas.microsoft.com/office/drawing/2014/main" xmlns="" id="{00000000-0008-0000-0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67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627</xdr:row>
      <xdr:rowOff>38100</xdr:rowOff>
    </xdr:from>
    <xdr:to>
      <xdr:col>3</xdr:col>
      <xdr:colOff>165100</xdr:colOff>
      <xdr:row>628</xdr:row>
      <xdr:rowOff>12700</xdr:rowOff>
    </xdr:to>
    <xdr:sp macro="" textlink="">
      <xdr:nvSpPr>
        <xdr:cNvPr id="7355" name="Control 187" hidden="1">
          <a:extLst>
            <a:ext uri="{63B3BB69-23CF-44E3-9099-C40C66FF867C}">
              <a14:compatExt xmlns:a14="http://schemas.microsoft.com/office/drawing/2010/main" spid="_x0000_s7355"/>
            </a:ext>
            <a:ext uri="{FF2B5EF4-FFF2-40B4-BE49-F238E27FC236}">
              <a16:creationId xmlns:a16="http://schemas.microsoft.com/office/drawing/2014/main" xmlns="" id="{00000000-0008-0000-0600-0000BB1C0000}"/>
            </a:ext>
          </a:extLst>
        </xdr:cNvPr>
        <xdr:cNvSpPr/>
      </xdr:nvSpPr>
      <xdr:spPr>
        <a:xfrm>
          <a:off x="0" y="0"/>
          <a:ext cx="0" cy="0"/>
        </a:xfrm>
        <a:prstGeom prst="rect">
          <a:avLst/>
        </a:prstGeom>
      </xdr:spPr>
    </xdr:sp>
    <xdr:clientData/>
  </xdr:twoCellAnchor>
  <xdr:twoCellAnchor editAs="oneCell">
    <xdr:from>
      <xdr:col>4</xdr:col>
      <xdr:colOff>0</xdr:colOff>
      <xdr:row>283</xdr:row>
      <xdr:rowOff>0</xdr:rowOff>
    </xdr:from>
    <xdr:to>
      <xdr:col>4</xdr:col>
      <xdr:colOff>152400</xdr:colOff>
      <xdr:row>283</xdr:row>
      <xdr:rowOff>152400</xdr:rowOff>
    </xdr:to>
    <xdr:pic>
      <xdr:nvPicPr>
        <xdr:cNvPr id="189" name="Picture 188" descr="Documents icon">
          <a:extLst>
            <a:ext uri="{FF2B5EF4-FFF2-40B4-BE49-F238E27FC236}">
              <a16:creationId xmlns:a16="http://schemas.microsoft.com/office/drawing/2014/main" xmlns="" id="{00000000-0008-0000-0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215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634</xdr:row>
      <xdr:rowOff>0</xdr:rowOff>
    </xdr:from>
    <xdr:to>
      <xdr:col>3</xdr:col>
      <xdr:colOff>165100</xdr:colOff>
      <xdr:row>634</xdr:row>
      <xdr:rowOff>152400</xdr:rowOff>
    </xdr:to>
    <xdr:sp macro="" textlink="">
      <xdr:nvSpPr>
        <xdr:cNvPr id="7357" name="Control 189" hidden="1">
          <a:extLst>
            <a:ext uri="{63B3BB69-23CF-44E3-9099-C40C66FF867C}">
              <a14:compatExt xmlns:a14="http://schemas.microsoft.com/office/drawing/2010/main" spid="_x0000_s7357"/>
            </a:ext>
            <a:ext uri="{FF2B5EF4-FFF2-40B4-BE49-F238E27FC236}">
              <a16:creationId xmlns:a16="http://schemas.microsoft.com/office/drawing/2014/main" xmlns="" id="{00000000-0008-0000-0600-0000BD1C0000}"/>
            </a:ext>
          </a:extLst>
        </xdr:cNvPr>
        <xdr:cNvSpPr/>
      </xdr:nvSpPr>
      <xdr:spPr>
        <a:xfrm>
          <a:off x="0" y="0"/>
          <a:ext cx="0" cy="0"/>
        </a:xfrm>
        <a:prstGeom prst="rect">
          <a:avLst/>
        </a:prstGeom>
      </xdr:spPr>
    </xdr:sp>
    <xdr:clientData/>
  </xdr:twoCellAnchor>
  <xdr:twoCellAnchor editAs="oneCell">
    <xdr:from>
      <xdr:col>4</xdr:col>
      <xdr:colOff>0</xdr:colOff>
      <xdr:row>286</xdr:row>
      <xdr:rowOff>0</xdr:rowOff>
    </xdr:from>
    <xdr:to>
      <xdr:col>4</xdr:col>
      <xdr:colOff>152400</xdr:colOff>
      <xdr:row>286</xdr:row>
      <xdr:rowOff>152400</xdr:rowOff>
    </xdr:to>
    <xdr:pic>
      <xdr:nvPicPr>
        <xdr:cNvPr id="191" name="Picture 190" descr="Documents icon">
          <a:extLst>
            <a:ext uri="{FF2B5EF4-FFF2-40B4-BE49-F238E27FC236}">
              <a16:creationId xmlns:a16="http://schemas.microsoft.com/office/drawing/2014/main" xmlns="" id="{00000000-0008-0000-0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758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640</xdr:row>
      <xdr:rowOff>63500</xdr:rowOff>
    </xdr:from>
    <xdr:to>
      <xdr:col>3</xdr:col>
      <xdr:colOff>165100</xdr:colOff>
      <xdr:row>641</xdr:row>
      <xdr:rowOff>25400</xdr:rowOff>
    </xdr:to>
    <xdr:sp macro="" textlink="">
      <xdr:nvSpPr>
        <xdr:cNvPr id="7359" name="Control 191" hidden="1">
          <a:extLst>
            <a:ext uri="{63B3BB69-23CF-44E3-9099-C40C66FF867C}">
              <a14:compatExt xmlns:a14="http://schemas.microsoft.com/office/drawing/2010/main" spid="_x0000_s7359"/>
            </a:ext>
            <a:ext uri="{FF2B5EF4-FFF2-40B4-BE49-F238E27FC236}">
              <a16:creationId xmlns:a16="http://schemas.microsoft.com/office/drawing/2014/main" xmlns="" id="{00000000-0008-0000-0600-0000BF1C0000}"/>
            </a:ext>
          </a:extLst>
        </xdr:cNvPr>
        <xdr:cNvSpPr/>
      </xdr:nvSpPr>
      <xdr:spPr>
        <a:xfrm>
          <a:off x="0" y="0"/>
          <a:ext cx="0" cy="0"/>
        </a:xfrm>
        <a:prstGeom prst="rect">
          <a:avLst/>
        </a:prstGeom>
      </xdr:spPr>
    </xdr:sp>
    <xdr:clientData/>
  </xdr:twoCellAnchor>
  <xdr:twoCellAnchor editAs="oneCell">
    <xdr:from>
      <xdr:col>4</xdr:col>
      <xdr:colOff>0</xdr:colOff>
      <xdr:row>289</xdr:row>
      <xdr:rowOff>0</xdr:rowOff>
    </xdr:from>
    <xdr:to>
      <xdr:col>4</xdr:col>
      <xdr:colOff>152400</xdr:colOff>
      <xdr:row>289</xdr:row>
      <xdr:rowOff>152400</xdr:rowOff>
    </xdr:to>
    <xdr:pic>
      <xdr:nvPicPr>
        <xdr:cNvPr id="193" name="Picture 192" descr="Documents icon">
          <a:extLst>
            <a:ext uri="{FF2B5EF4-FFF2-40B4-BE49-F238E27FC236}">
              <a16:creationId xmlns:a16="http://schemas.microsoft.com/office/drawing/2014/main" xmlns="" id="{00000000-0008-0000-0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301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646</xdr:row>
      <xdr:rowOff>139700</xdr:rowOff>
    </xdr:from>
    <xdr:to>
      <xdr:col>3</xdr:col>
      <xdr:colOff>165100</xdr:colOff>
      <xdr:row>647</xdr:row>
      <xdr:rowOff>101600</xdr:rowOff>
    </xdr:to>
    <xdr:sp macro="" textlink="">
      <xdr:nvSpPr>
        <xdr:cNvPr id="7361" name="Control 193" hidden="1">
          <a:extLst>
            <a:ext uri="{63B3BB69-23CF-44E3-9099-C40C66FF867C}">
              <a14:compatExt xmlns:a14="http://schemas.microsoft.com/office/drawing/2010/main" spid="_x0000_s7361"/>
            </a:ext>
            <a:ext uri="{FF2B5EF4-FFF2-40B4-BE49-F238E27FC236}">
              <a16:creationId xmlns:a16="http://schemas.microsoft.com/office/drawing/2014/main" xmlns="" id="{00000000-0008-0000-0600-0000C11C0000}"/>
            </a:ext>
          </a:extLst>
        </xdr:cNvPr>
        <xdr:cNvSpPr/>
      </xdr:nvSpPr>
      <xdr:spPr>
        <a:xfrm>
          <a:off x="0" y="0"/>
          <a:ext cx="0" cy="0"/>
        </a:xfrm>
        <a:prstGeom prst="rect">
          <a:avLst/>
        </a:prstGeom>
      </xdr:spPr>
    </xdr:sp>
    <xdr:clientData/>
  </xdr:twoCellAnchor>
  <xdr:twoCellAnchor editAs="oneCell">
    <xdr:from>
      <xdr:col>4</xdr:col>
      <xdr:colOff>0</xdr:colOff>
      <xdr:row>292</xdr:row>
      <xdr:rowOff>0</xdr:rowOff>
    </xdr:from>
    <xdr:to>
      <xdr:col>4</xdr:col>
      <xdr:colOff>152400</xdr:colOff>
      <xdr:row>292</xdr:row>
      <xdr:rowOff>152400</xdr:rowOff>
    </xdr:to>
    <xdr:pic>
      <xdr:nvPicPr>
        <xdr:cNvPr id="195" name="Picture 194" descr="Documents icon">
          <a:extLst>
            <a:ext uri="{FF2B5EF4-FFF2-40B4-BE49-F238E27FC236}">
              <a16:creationId xmlns:a16="http://schemas.microsoft.com/office/drawing/2014/main" xmlns="" id="{00000000-0008-0000-0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844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653</xdr:row>
      <xdr:rowOff>101600</xdr:rowOff>
    </xdr:from>
    <xdr:to>
      <xdr:col>3</xdr:col>
      <xdr:colOff>165100</xdr:colOff>
      <xdr:row>654</xdr:row>
      <xdr:rowOff>63500</xdr:rowOff>
    </xdr:to>
    <xdr:sp macro="" textlink="">
      <xdr:nvSpPr>
        <xdr:cNvPr id="7363" name="Control 195" hidden="1">
          <a:extLst>
            <a:ext uri="{63B3BB69-23CF-44E3-9099-C40C66FF867C}">
              <a14:compatExt xmlns:a14="http://schemas.microsoft.com/office/drawing/2010/main" spid="_x0000_s7363"/>
            </a:ext>
            <a:ext uri="{FF2B5EF4-FFF2-40B4-BE49-F238E27FC236}">
              <a16:creationId xmlns:a16="http://schemas.microsoft.com/office/drawing/2014/main" xmlns="" id="{00000000-0008-0000-0600-0000C31C0000}"/>
            </a:ext>
          </a:extLst>
        </xdr:cNvPr>
        <xdr:cNvSpPr/>
      </xdr:nvSpPr>
      <xdr:spPr>
        <a:xfrm>
          <a:off x="0" y="0"/>
          <a:ext cx="0" cy="0"/>
        </a:xfrm>
        <a:prstGeom prst="rect">
          <a:avLst/>
        </a:prstGeom>
      </xdr:spPr>
    </xdr:sp>
    <xdr:clientData/>
  </xdr:twoCellAnchor>
  <xdr:twoCellAnchor editAs="oneCell">
    <xdr:from>
      <xdr:col>4</xdr:col>
      <xdr:colOff>0</xdr:colOff>
      <xdr:row>295</xdr:row>
      <xdr:rowOff>0</xdr:rowOff>
    </xdr:from>
    <xdr:to>
      <xdr:col>4</xdr:col>
      <xdr:colOff>152400</xdr:colOff>
      <xdr:row>295</xdr:row>
      <xdr:rowOff>152400</xdr:rowOff>
    </xdr:to>
    <xdr:pic>
      <xdr:nvPicPr>
        <xdr:cNvPr id="197" name="Picture 196" descr="Documents icon">
          <a:extLst>
            <a:ext uri="{FF2B5EF4-FFF2-40B4-BE49-F238E27FC236}">
              <a16:creationId xmlns:a16="http://schemas.microsoft.com/office/drawing/2014/main" xmlns="" id="{00000000-0008-0000-0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387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660</xdr:row>
      <xdr:rowOff>50800</xdr:rowOff>
    </xdr:from>
    <xdr:to>
      <xdr:col>3</xdr:col>
      <xdr:colOff>165100</xdr:colOff>
      <xdr:row>661</xdr:row>
      <xdr:rowOff>25400</xdr:rowOff>
    </xdr:to>
    <xdr:sp macro="" textlink="">
      <xdr:nvSpPr>
        <xdr:cNvPr id="7365" name="Control 197" hidden="1">
          <a:extLst>
            <a:ext uri="{63B3BB69-23CF-44E3-9099-C40C66FF867C}">
              <a14:compatExt xmlns:a14="http://schemas.microsoft.com/office/drawing/2010/main" spid="_x0000_s7365"/>
            </a:ext>
            <a:ext uri="{FF2B5EF4-FFF2-40B4-BE49-F238E27FC236}">
              <a16:creationId xmlns:a16="http://schemas.microsoft.com/office/drawing/2014/main" xmlns="" id="{00000000-0008-0000-0600-0000C51C0000}"/>
            </a:ext>
          </a:extLst>
        </xdr:cNvPr>
        <xdr:cNvSpPr/>
      </xdr:nvSpPr>
      <xdr:spPr>
        <a:xfrm>
          <a:off x="0" y="0"/>
          <a:ext cx="0" cy="0"/>
        </a:xfrm>
        <a:prstGeom prst="rect">
          <a:avLst/>
        </a:prstGeom>
      </xdr:spPr>
    </xdr:sp>
    <xdr:clientData/>
  </xdr:twoCellAnchor>
  <xdr:twoCellAnchor editAs="oneCell">
    <xdr:from>
      <xdr:col>4</xdr:col>
      <xdr:colOff>0</xdr:colOff>
      <xdr:row>298</xdr:row>
      <xdr:rowOff>0</xdr:rowOff>
    </xdr:from>
    <xdr:to>
      <xdr:col>4</xdr:col>
      <xdr:colOff>152400</xdr:colOff>
      <xdr:row>298</xdr:row>
      <xdr:rowOff>152400</xdr:rowOff>
    </xdr:to>
    <xdr:pic>
      <xdr:nvPicPr>
        <xdr:cNvPr id="199" name="Picture 198" descr="Documents icon">
          <a:extLst>
            <a:ext uri="{FF2B5EF4-FFF2-40B4-BE49-F238E27FC236}">
              <a16:creationId xmlns:a16="http://schemas.microsoft.com/office/drawing/2014/main" xmlns="" id="{00000000-0008-0000-0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30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666</xdr:row>
      <xdr:rowOff>152400</xdr:rowOff>
    </xdr:from>
    <xdr:to>
      <xdr:col>3</xdr:col>
      <xdr:colOff>165100</xdr:colOff>
      <xdr:row>667</xdr:row>
      <xdr:rowOff>114300</xdr:rowOff>
    </xdr:to>
    <xdr:sp macro="" textlink="">
      <xdr:nvSpPr>
        <xdr:cNvPr id="7367" name="Control 199" hidden="1">
          <a:extLst>
            <a:ext uri="{63B3BB69-23CF-44E3-9099-C40C66FF867C}">
              <a14:compatExt xmlns:a14="http://schemas.microsoft.com/office/drawing/2010/main" spid="_x0000_s7367"/>
            </a:ext>
            <a:ext uri="{FF2B5EF4-FFF2-40B4-BE49-F238E27FC236}">
              <a16:creationId xmlns:a16="http://schemas.microsoft.com/office/drawing/2014/main" xmlns="" id="{00000000-0008-0000-0600-0000C71C0000}"/>
            </a:ext>
          </a:extLst>
        </xdr:cNvPr>
        <xdr:cNvSpPr/>
      </xdr:nvSpPr>
      <xdr:spPr>
        <a:xfrm>
          <a:off x="0" y="0"/>
          <a:ext cx="0" cy="0"/>
        </a:xfrm>
        <a:prstGeom prst="rect">
          <a:avLst/>
        </a:prstGeom>
      </xdr:spPr>
    </xdr:sp>
    <xdr:clientData/>
  </xdr:twoCellAnchor>
  <xdr:twoCellAnchor editAs="oneCell">
    <xdr:from>
      <xdr:col>4</xdr:col>
      <xdr:colOff>0</xdr:colOff>
      <xdr:row>301</xdr:row>
      <xdr:rowOff>0</xdr:rowOff>
    </xdr:from>
    <xdr:to>
      <xdr:col>4</xdr:col>
      <xdr:colOff>152400</xdr:colOff>
      <xdr:row>301</xdr:row>
      <xdr:rowOff>152400</xdr:rowOff>
    </xdr:to>
    <xdr:pic>
      <xdr:nvPicPr>
        <xdr:cNvPr id="201" name="Picture 200" descr="Documents icon">
          <a:extLst>
            <a:ext uri="{FF2B5EF4-FFF2-40B4-BE49-F238E27FC236}">
              <a16:creationId xmlns:a16="http://schemas.microsoft.com/office/drawing/2014/main" xmlns="" id="{00000000-0008-0000-0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473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673</xdr:row>
      <xdr:rowOff>139700</xdr:rowOff>
    </xdr:from>
    <xdr:to>
      <xdr:col>3</xdr:col>
      <xdr:colOff>165100</xdr:colOff>
      <xdr:row>674</xdr:row>
      <xdr:rowOff>101600</xdr:rowOff>
    </xdr:to>
    <xdr:sp macro="" textlink="">
      <xdr:nvSpPr>
        <xdr:cNvPr id="7369" name="Control 201" hidden="1">
          <a:extLst>
            <a:ext uri="{63B3BB69-23CF-44E3-9099-C40C66FF867C}">
              <a14:compatExt xmlns:a14="http://schemas.microsoft.com/office/drawing/2010/main" spid="_x0000_s7369"/>
            </a:ext>
            <a:ext uri="{FF2B5EF4-FFF2-40B4-BE49-F238E27FC236}">
              <a16:creationId xmlns:a16="http://schemas.microsoft.com/office/drawing/2014/main" xmlns="" id="{00000000-0008-0000-0600-0000C91C0000}"/>
            </a:ext>
          </a:extLst>
        </xdr:cNvPr>
        <xdr:cNvSpPr/>
      </xdr:nvSpPr>
      <xdr:spPr>
        <a:xfrm>
          <a:off x="0" y="0"/>
          <a:ext cx="0" cy="0"/>
        </a:xfrm>
        <a:prstGeom prst="rect">
          <a:avLst/>
        </a:prstGeom>
      </xdr:spPr>
    </xdr:sp>
    <xdr:clientData/>
  </xdr:twoCellAnchor>
  <xdr:twoCellAnchor editAs="oneCell">
    <xdr:from>
      <xdr:col>4</xdr:col>
      <xdr:colOff>0</xdr:colOff>
      <xdr:row>304</xdr:row>
      <xdr:rowOff>0</xdr:rowOff>
    </xdr:from>
    <xdr:to>
      <xdr:col>4</xdr:col>
      <xdr:colOff>152400</xdr:colOff>
      <xdr:row>304</xdr:row>
      <xdr:rowOff>152400</xdr:rowOff>
    </xdr:to>
    <xdr:pic>
      <xdr:nvPicPr>
        <xdr:cNvPr id="203" name="Picture 202" descr="Documents icon">
          <a:extLst>
            <a:ext uri="{FF2B5EF4-FFF2-40B4-BE49-F238E27FC236}">
              <a16:creationId xmlns:a16="http://schemas.microsoft.com/office/drawing/2014/main" xmlns="" id="{00000000-0008-0000-0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016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680</xdr:row>
      <xdr:rowOff>114300</xdr:rowOff>
    </xdr:from>
    <xdr:to>
      <xdr:col>3</xdr:col>
      <xdr:colOff>165100</xdr:colOff>
      <xdr:row>681</xdr:row>
      <xdr:rowOff>76200</xdr:rowOff>
    </xdr:to>
    <xdr:sp macro="" textlink="">
      <xdr:nvSpPr>
        <xdr:cNvPr id="7371" name="Control 203" hidden="1">
          <a:extLst>
            <a:ext uri="{63B3BB69-23CF-44E3-9099-C40C66FF867C}">
              <a14:compatExt xmlns:a14="http://schemas.microsoft.com/office/drawing/2010/main" spid="_x0000_s7371"/>
            </a:ext>
            <a:ext uri="{FF2B5EF4-FFF2-40B4-BE49-F238E27FC236}">
              <a16:creationId xmlns:a16="http://schemas.microsoft.com/office/drawing/2014/main" xmlns="" id="{00000000-0008-0000-0600-0000CB1C0000}"/>
            </a:ext>
          </a:extLst>
        </xdr:cNvPr>
        <xdr:cNvSpPr/>
      </xdr:nvSpPr>
      <xdr:spPr>
        <a:xfrm>
          <a:off x="0" y="0"/>
          <a:ext cx="0" cy="0"/>
        </a:xfrm>
        <a:prstGeom prst="rect">
          <a:avLst/>
        </a:prstGeom>
      </xdr:spPr>
    </xdr:sp>
    <xdr:clientData/>
  </xdr:twoCellAnchor>
  <xdr:twoCellAnchor editAs="oneCell">
    <xdr:from>
      <xdr:col>4</xdr:col>
      <xdr:colOff>0</xdr:colOff>
      <xdr:row>307</xdr:row>
      <xdr:rowOff>0</xdr:rowOff>
    </xdr:from>
    <xdr:to>
      <xdr:col>4</xdr:col>
      <xdr:colOff>152400</xdr:colOff>
      <xdr:row>307</xdr:row>
      <xdr:rowOff>152400</xdr:rowOff>
    </xdr:to>
    <xdr:pic>
      <xdr:nvPicPr>
        <xdr:cNvPr id="205" name="Picture 204" descr="Documents icon">
          <a:extLst>
            <a:ext uri="{FF2B5EF4-FFF2-40B4-BE49-F238E27FC236}">
              <a16:creationId xmlns:a16="http://schemas.microsoft.com/office/drawing/2014/main" xmlns="" id="{00000000-0008-0000-0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559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686</xdr:row>
      <xdr:rowOff>177800</xdr:rowOff>
    </xdr:from>
    <xdr:to>
      <xdr:col>3</xdr:col>
      <xdr:colOff>165100</xdr:colOff>
      <xdr:row>687</xdr:row>
      <xdr:rowOff>139700</xdr:rowOff>
    </xdr:to>
    <xdr:sp macro="" textlink="">
      <xdr:nvSpPr>
        <xdr:cNvPr id="7373" name="Control 205" hidden="1">
          <a:extLst>
            <a:ext uri="{63B3BB69-23CF-44E3-9099-C40C66FF867C}">
              <a14:compatExt xmlns:a14="http://schemas.microsoft.com/office/drawing/2010/main" spid="_x0000_s7373"/>
            </a:ext>
            <a:ext uri="{FF2B5EF4-FFF2-40B4-BE49-F238E27FC236}">
              <a16:creationId xmlns:a16="http://schemas.microsoft.com/office/drawing/2014/main" xmlns="" id="{00000000-0008-0000-0600-0000CD1C0000}"/>
            </a:ext>
          </a:extLst>
        </xdr:cNvPr>
        <xdr:cNvSpPr/>
      </xdr:nvSpPr>
      <xdr:spPr>
        <a:xfrm>
          <a:off x="0" y="0"/>
          <a:ext cx="0" cy="0"/>
        </a:xfrm>
        <a:prstGeom prst="rect">
          <a:avLst/>
        </a:prstGeom>
      </xdr:spPr>
    </xdr:sp>
    <xdr:clientData/>
  </xdr:twoCellAnchor>
  <xdr:twoCellAnchor editAs="oneCell">
    <xdr:from>
      <xdr:col>4</xdr:col>
      <xdr:colOff>0</xdr:colOff>
      <xdr:row>310</xdr:row>
      <xdr:rowOff>0</xdr:rowOff>
    </xdr:from>
    <xdr:to>
      <xdr:col>4</xdr:col>
      <xdr:colOff>152400</xdr:colOff>
      <xdr:row>310</xdr:row>
      <xdr:rowOff>152400</xdr:rowOff>
    </xdr:to>
    <xdr:pic>
      <xdr:nvPicPr>
        <xdr:cNvPr id="207" name="Picture 206" descr="Documents icon">
          <a:extLst>
            <a:ext uri="{FF2B5EF4-FFF2-40B4-BE49-F238E27FC236}">
              <a16:creationId xmlns:a16="http://schemas.microsoft.com/office/drawing/2014/main" xmlns="" id="{00000000-0008-0000-0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102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693</xdr:row>
      <xdr:rowOff>114300</xdr:rowOff>
    </xdr:from>
    <xdr:to>
      <xdr:col>3</xdr:col>
      <xdr:colOff>165100</xdr:colOff>
      <xdr:row>694</xdr:row>
      <xdr:rowOff>76200</xdr:rowOff>
    </xdr:to>
    <xdr:sp macro="" textlink="">
      <xdr:nvSpPr>
        <xdr:cNvPr id="7375" name="Control 207" hidden="1">
          <a:extLst>
            <a:ext uri="{63B3BB69-23CF-44E3-9099-C40C66FF867C}">
              <a14:compatExt xmlns:a14="http://schemas.microsoft.com/office/drawing/2010/main" spid="_x0000_s7375"/>
            </a:ext>
            <a:ext uri="{FF2B5EF4-FFF2-40B4-BE49-F238E27FC236}">
              <a16:creationId xmlns:a16="http://schemas.microsoft.com/office/drawing/2014/main" xmlns="" id="{00000000-0008-0000-0600-0000CF1C0000}"/>
            </a:ext>
          </a:extLst>
        </xdr:cNvPr>
        <xdr:cNvSpPr/>
      </xdr:nvSpPr>
      <xdr:spPr>
        <a:xfrm>
          <a:off x="0" y="0"/>
          <a:ext cx="0" cy="0"/>
        </a:xfrm>
        <a:prstGeom prst="rect">
          <a:avLst/>
        </a:prstGeom>
      </xdr:spPr>
    </xdr:sp>
    <xdr:clientData/>
  </xdr:twoCellAnchor>
  <xdr:twoCellAnchor editAs="oneCell">
    <xdr:from>
      <xdr:col>4</xdr:col>
      <xdr:colOff>0</xdr:colOff>
      <xdr:row>313</xdr:row>
      <xdr:rowOff>0</xdr:rowOff>
    </xdr:from>
    <xdr:to>
      <xdr:col>4</xdr:col>
      <xdr:colOff>152400</xdr:colOff>
      <xdr:row>313</xdr:row>
      <xdr:rowOff>152400</xdr:rowOff>
    </xdr:to>
    <xdr:pic>
      <xdr:nvPicPr>
        <xdr:cNvPr id="209" name="Picture 208" descr="Documents icon">
          <a:extLst>
            <a:ext uri="{FF2B5EF4-FFF2-40B4-BE49-F238E27FC236}">
              <a16:creationId xmlns:a16="http://schemas.microsoft.com/office/drawing/2014/main" xmlns="" id="{00000000-0008-0000-0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645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700</xdr:row>
      <xdr:rowOff>63500</xdr:rowOff>
    </xdr:from>
    <xdr:to>
      <xdr:col>3</xdr:col>
      <xdr:colOff>165100</xdr:colOff>
      <xdr:row>701</xdr:row>
      <xdr:rowOff>25400</xdr:rowOff>
    </xdr:to>
    <xdr:sp macro="" textlink="">
      <xdr:nvSpPr>
        <xdr:cNvPr id="7377" name="Control 209" hidden="1">
          <a:extLst>
            <a:ext uri="{63B3BB69-23CF-44E3-9099-C40C66FF867C}">
              <a14:compatExt xmlns:a14="http://schemas.microsoft.com/office/drawing/2010/main" spid="_x0000_s7377"/>
            </a:ext>
            <a:ext uri="{FF2B5EF4-FFF2-40B4-BE49-F238E27FC236}">
              <a16:creationId xmlns:a16="http://schemas.microsoft.com/office/drawing/2014/main" xmlns="" id="{00000000-0008-0000-0600-0000D11C0000}"/>
            </a:ext>
          </a:extLst>
        </xdr:cNvPr>
        <xdr:cNvSpPr/>
      </xdr:nvSpPr>
      <xdr:spPr>
        <a:xfrm>
          <a:off x="0" y="0"/>
          <a:ext cx="0" cy="0"/>
        </a:xfrm>
        <a:prstGeom prst="rect">
          <a:avLst/>
        </a:prstGeom>
      </xdr:spPr>
    </xdr:sp>
    <xdr:clientData/>
  </xdr:twoCellAnchor>
  <xdr:twoCellAnchor editAs="oneCell">
    <xdr:from>
      <xdr:col>4</xdr:col>
      <xdr:colOff>0</xdr:colOff>
      <xdr:row>316</xdr:row>
      <xdr:rowOff>0</xdr:rowOff>
    </xdr:from>
    <xdr:to>
      <xdr:col>4</xdr:col>
      <xdr:colOff>152400</xdr:colOff>
      <xdr:row>316</xdr:row>
      <xdr:rowOff>152400</xdr:rowOff>
    </xdr:to>
    <xdr:pic>
      <xdr:nvPicPr>
        <xdr:cNvPr id="211" name="Picture 210" descr="Documents icon">
          <a:extLst>
            <a:ext uri="{FF2B5EF4-FFF2-40B4-BE49-F238E27FC236}">
              <a16:creationId xmlns:a16="http://schemas.microsoft.com/office/drawing/2014/main" xmlns="" id="{00000000-0008-0000-0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188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706</xdr:row>
      <xdr:rowOff>101600</xdr:rowOff>
    </xdr:from>
    <xdr:to>
      <xdr:col>3</xdr:col>
      <xdr:colOff>165100</xdr:colOff>
      <xdr:row>707</xdr:row>
      <xdr:rowOff>63500</xdr:rowOff>
    </xdr:to>
    <xdr:sp macro="" textlink="">
      <xdr:nvSpPr>
        <xdr:cNvPr id="7379" name="Control 211" hidden="1">
          <a:extLst>
            <a:ext uri="{63B3BB69-23CF-44E3-9099-C40C66FF867C}">
              <a14:compatExt xmlns:a14="http://schemas.microsoft.com/office/drawing/2010/main" spid="_x0000_s7379"/>
            </a:ext>
            <a:ext uri="{FF2B5EF4-FFF2-40B4-BE49-F238E27FC236}">
              <a16:creationId xmlns:a16="http://schemas.microsoft.com/office/drawing/2014/main" xmlns="" id="{00000000-0008-0000-0600-0000D31C0000}"/>
            </a:ext>
          </a:extLst>
        </xdr:cNvPr>
        <xdr:cNvSpPr/>
      </xdr:nvSpPr>
      <xdr:spPr>
        <a:xfrm>
          <a:off x="0" y="0"/>
          <a:ext cx="0" cy="0"/>
        </a:xfrm>
        <a:prstGeom prst="rect">
          <a:avLst/>
        </a:prstGeom>
      </xdr:spPr>
    </xdr:sp>
    <xdr:clientData/>
  </xdr:twoCellAnchor>
  <xdr:twoCellAnchor editAs="oneCell">
    <xdr:from>
      <xdr:col>4</xdr:col>
      <xdr:colOff>0</xdr:colOff>
      <xdr:row>319</xdr:row>
      <xdr:rowOff>0</xdr:rowOff>
    </xdr:from>
    <xdr:to>
      <xdr:col>4</xdr:col>
      <xdr:colOff>152400</xdr:colOff>
      <xdr:row>319</xdr:row>
      <xdr:rowOff>152400</xdr:rowOff>
    </xdr:to>
    <xdr:pic>
      <xdr:nvPicPr>
        <xdr:cNvPr id="213" name="Picture 212" descr="Documents icon">
          <a:extLst>
            <a:ext uri="{FF2B5EF4-FFF2-40B4-BE49-F238E27FC236}">
              <a16:creationId xmlns:a16="http://schemas.microsoft.com/office/drawing/2014/main" xmlns="" id="{00000000-0008-0000-0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731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713</xdr:row>
      <xdr:rowOff>76200</xdr:rowOff>
    </xdr:from>
    <xdr:to>
      <xdr:col>3</xdr:col>
      <xdr:colOff>165100</xdr:colOff>
      <xdr:row>714</xdr:row>
      <xdr:rowOff>50800</xdr:rowOff>
    </xdr:to>
    <xdr:sp macro="" textlink="">
      <xdr:nvSpPr>
        <xdr:cNvPr id="7381" name="Control 213" hidden="1">
          <a:extLst>
            <a:ext uri="{63B3BB69-23CF-44E3-9099-C40C66FF867C}">
              <a14:compatExt xmlns:a14="http://schemas.microsoft.com/office/drawing/2010/main" spid="_x0000_s7381"/>
            </a:ext>
            <a:ext uri="{FF2B5EF4-FFF2-40B4-BE49-F238E27FC236}">
              <a16:creationId xmlns:a16="http://schemas.microsoft.com/office/drawing/2014/main" xmlns="" id="{00000000-0008-0000-0600-0000D51C0000}"/>
            </a:ext>
          </a:extLst>
        </xdr:cNvPr>
        <xdr:cNvSpPr/>
      </xdr:nvSpPr>
      <xdr:spPr>
        <a:xfrm>
          <a:off x="0" y="0"/>
          <a:ext cx="0" cy="0"/>
        </a:xfrm>
        <a:prstGeom prst="rect">
          <a:avLst/>
        </a:prstGeom>
      </xdr:spPr>
    </xdr:sp>
    <xdr:clientData/>
  </xdr:twoCellAnchor>
  <xdr:twoCellAnchor editAs="oneCell">
    <xdr:from>
      <xdr:col>4</xdr:col>
      <xdr:colOff>0</xdr:colOff>
      <xdr:row>322</xdr:row>
      <xdr:rowOff>0</xdr:rowOff>
    </xdr:from>
    <xdr:to>
      <xdr:col>4</xdr:col>
      <xdr:colOff>152400</xdr:colOff>
      <xdr:row>322</xdr:row>
      <xdr:rowOff>152400</xdr:rowOff>
    </xdr:to>
    <xdr:pic>
      <xdr:nvPicPr>
        <xdr:cNvPr id="215" name="Picture 214" descr="Documents icon">
          <a:extLst>
            <a:ext uri="{FF2B5EF4-FFF2-40B4-BE49-F238E27FC236}">
              <a16:creationId xmlns:a16="http://schemas.microsoft.com/office/drawing/2014/main" xmlns="" id="{00000000-0008-0000-0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273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720</xdr:row>
      <xdr:rowOff>38100</xdr:rowOff>
    </xdr:from>
    <xdr:to>
      <xdr:col>3</xdr:col>
      <xdr:colOff>165100</xdr:colOff>
      <xdr:row>721</xdr:row>
      <xdr:rowOff>0</xdr:rowOff>
    </xdr:to>
    <xdr:sp macro="" textlink="">
      <xdr:nvSpPr>
        <xdr:cNvPr id="7383" name="Control 215" hidden="1">
          <a:extLst>
            <a:ext uri="{63B3BB69-23CF-44E3-9099-C40C66FF867C}">
              <a14:compatExt xmlns:a14="http://schemas.microsoft.com/office/drawing/2010/main" spid="_x0000_s7383"/>
            </a:ext>
            <a:ext uri="{FF2B5EF4-FFF2-40B4-BE49-F238E27FC236}">
              <a16:creationId xmlns:a16="http://schemas.microsoft.com/office/drawing/2014/main" xmlns="" id="{00000000-0008-0000-0600-0000D71C0000}"/>
            </a:ext>
          </a:extLst>
        </xdr:cNvPr>
        <xdr:cNvSpPr/>
      </xdr:nvSpPr>
      <xdr:spPr>
        <a:xfrm>
          <a:off x="0" y="0"/>
          <a:ext cx="0" cy="0"/>
        </a:xfrm>
        <a:prstGeom prst="rect">
          <a:avLst/>
        </a:prstGeom>
      </xdr:spPr>
    </xdr:sp>
    <xdr:clientData/>
  </xdr:twoCellAnchor>
  <xdr:twoCellAnchor editAs="oneCell">
    <xdr:from>
      <xdr:col>4</xdr:col>
      <xdr:colOff>0</xdr:colOff>
      <xdr:row>325</xdr:row>
      <xdr:rowOff>0</xdr:rowOff>
    </xdr:from>
    <xdr:to>
      <xdr:col>4</xdr:col>
      <xdr:colOff>152400</xdr:colOff>
      <xdr:row>325</xdr:row>
      <xdr:rowOff>152400</xdr:rowOff>
    </xdr:to>
    <xdr:pic>
      <xdr:nvPicPr>
        <xdr:cNvPr id="217" name="Picture 216" descr="Documents icon">
          <a:extLst>
            <a:ext uri="{FF2B5EF4-FFF2-40B4-BE49-F238E27FC236}">
              <a16:creationId xmlns:a16="http://schemas.microsoft.com/office/drawing/2014/main" xmlns="" id="{00000000-0008-0000-0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816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726</xdr:row>
      <xdr:rowOff>152400</xdr:rowOff>
    </xdr:from>
    <xdr:to>
      <xdr:col>3</xdr:col>
      <xdr:colOff>165100</xdr:colOff>
      <xdr:row>727</xdr:row>
      <xdr:rowOff>114300</xdr:rowOff>
    </xdr:to>
    <xdr:sp macro="" textlink="">
      <xdr:nvSpPr>
        <xdr:cNvPr id="7385" name="Control 217" hidden="1">
          <a:extLst>
            <a:ext uri="{63B3BB69-23CF-44E3-9099-C40C66FF867C}">
              <a14:compatExt xmlns:a14="http://schemas.microsoft.com/office/drawing/2010/main" spid="_x0000_s7385"/>
            </a:ext>
            <a:ext uri="{FF2B5EF4-FFF2-40B4-BE49-F238E27FC236}">
              <a16:creationId xmlns:a16="http://schemas.microsoft.com/office/drawing/2014/main" xmlns="" id="{00000000-0008-0000-0600-0000D91C0000}"/>
            </a:ext>
          </a:extLst>
        </xdr:cNvPr>
        <xdr:cNvSpPr/>
      </xdr:nvSpPr>
      <xdr:spPr>
        <a:xfrm>
          <a:off x="0" y="0"/>
          <a:ext cx="0" cy="0"/>
        </a:xfrm>
        <a:prstGeom prst="rect">
          <a:avLst/>
        </a:prstGeom>
      </xdr:spPr>
    </xdr:sp>
    <xdr:clientData/>
  </xdr:twoCellAnchor>
  <xdr:twoCellAnchor editAs="oneCell">
    <xdr:from>
      <xdr:col>4</xdr:col>
      <xdr:colOff>0</xdr:colOff>
      <xdr:row>328</xdr:row>
      <xdr:rowOff>0</xdr:rowOff>
    </xdr:from>
    <xdr:to>
      <xdr:col>4</xdr:col>
      <xdr:colOff>152400</xdr:colOff>
      <xdr:row>328</xdr:row>
      <xdr:rowOff>152400</xdr:rowOff>
    </xdr:to>
    <xdr:pic>
      <xdr:nvPicPr>
        <xdr:cNvPr id="219" name="Picture 218" descr="Documents icon">
          <a:extLst>
            <a:ext uri="{FF2B5EF4-FFF2-40B4-BE49-F238E27FC236}">
              <a16:creationId xmlns:a16="http://schemas.microsoft.com/office/drawing/2014/main" xmlns="" id="{00000000-0008-0000-0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359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733</xdr:row>
      <xdr:rowOff>76200</xdr:rowOff>
    </xdr:from>
    <xdr:to>
      <xdr:col>3</xdr:col>
      <xdr:colOff>165100</xdr:colOff>
      <xdr:row>734</xdr:row>
      <xdr:rowOff>38100</xdr:rowOff>
    </xdr:to>
    <xdr:sp macro="" textlink="">
      <xdr:nvSpPr>
        <xdr:cNvPr id="7387" name="Control 219" hidden="1">
          <a:extLst>
            <a:ext uri="{63B3BB69-23CF-44E3-9099-C40C66FF867C}">
              <a14:compatExt xmlns:a14="http://schemas.microsoft.com/office/drawing/2010/main" spid="_x0000_s7387"/>
            </a:ext>
            <a:ext uri="{FF2B5EF4-FFF2-40B4-BE49-F238E27FC236}">
              <a16:creationId xmlns:a16="http://schemas.microsoft.com/office/drawing/2014/main" xmlns="" id="{00000000-0008-0000-0600-0000DB1C0000}"/>
            </a:ext>
          </a:extLst>
        </xdr:cNvPr>
        <xdr:cNvSpPr/>
      </xdr:nvSpPr>
      <xdr:spPr>
        <a:xfrm>
          <a:off x="0" y="0"/>
          <a:ext cx="0" cy="0"/>
        </a:xfrm>
        <a:prstGeom prst="rect">
          <a:avLst/>
        </a:prstGeom>
      </xdr:spPr>
    </xdr:sp>
    <xdr:clientData/>
  </xdr:twoCellAnchor>
  <xdr:twoCellAnchor editAs="oneCell">
    <xdr:from>
      <xdr:col>4</xdr:col>
      <xdr:colOff>0</xdr:colOff>
      <xdr:row>331</xdr:row>
      <xdr:rowOff>0</xdr:rowOff>
    </xdr:from>
    <xdr:to>
      <xdr:col>4</xdr:col>
      <xdr:colOff>152400</xdr:colOff>
      <xdr:row>331</xdr:row>
      <xdr:rowOff>152400</xdr:rowOff>
    </xdr:to>
    <xdr:pic>
      <xdr:nvPicPr>
        <xdr:cNvPr id="221" name="Picture 220" descr="Documents icon">
          <a:extLst>
            <a:ext uri="{FF2B5EF4-FFF2-40B4-BE49-F238E27FC236}">
              <a16:creationId xmlns:a16="http://schemas.microsoft.com/office/drawing/2014/main" xmlns="" id="{00000000-0008-0000-0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902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739</xdr:row>
      <xdr:rowOff>177800</xdr:rowOff>
    </xdr:from>
    <xdr:to>
      <xdr:col>3</xdr:col>
      <xdr:colOff>165100</xdr:colOff>
      <xdr:row>740</xdr:row>
      <xdr:rowOff>139700</xdr:rowOff>
    </xdr:to>
    <xdr:sp macro="" textlink="">
      <xdr:nvSpPr>
        <xdr:cNvPr id="7389" name="Control 221" hidden="1">
          <a:extLst>
            <a:ext uri="{63B3BB69-23CF-44E3-9099-C40C66FF867C}">
              <a14:compatExt xmlns:a14="http://schemas.microsoft.com/office/drawing/2010/main" spid="_x0000_s7389"/>
            </a:ext>
            <a:ext uri="{FF2B5EF4-FFF2-40B4-BE49-F238E27FC236}">
              <a16:creationId xmlns:a16="http://schemas.microsoft.com/office/drawing/2014/main" xmlns="" id="{00000000-0008-0000-0600-0000DD1C0000}"/>
            </a:ext>
          </a:extLst>
        </xdr:cNvPr>
        <xdr:cNvSpPr/>
      </xdr:nvSpPr>
      <xdr:spPr>
        <a:xfrm>
          <a:off x="0" y="0"/>
          <a:ext cx="0" cy="0"/>
        </a:xfrm>
        <a:prstGeom prst="rect">
          <a:avLst/>
        </a:prstGeom>
      </xdr:spPr>
    </xdr:sp>
    <xdr:clientData/>
  </xdr:twoCellAnchor>
  <xdr:twoCellAnchor editAs="oneCell">
    <xdr:from>
      <xdr:col>4</xdr:col>
      <xdr:colOff>0</xdr:colOff>
      <xdr:row>334</xdr:row>
      <xdr:rowOff>0</xdr:rowOff>
    </xdr:from>
    <xdr:to>
      <xdr:col>4</xdr:col>
      <xdr:colOff>152400</xdr:colOff>
      <xdr:row>334</xdr:row>
      <xdr:rowOff>152400</xdr:rowOff>
    </xdr:to>
    <xdr:pic>
      <xdr:nvPicPr>
        <xdr:cNvPr id="223" name="Picture 222" descr="Documents icon">
          <a:extLst>
            <a:ext uri="{FF2B5EF4-FFF2-40B4-BE49-F238E27FC236}">
              <a16:creationId xmlns:a16="http://schemas.microsoft.com/office/drawing/2014/main" xmlns="" id="{00000000-0008-0000-0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45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746</xdr:row>
      <xdr:rowOff>177800</xdr:rowOff>
    </xdr:from>
    <xdr:to>
      <xdr:col>3</xdr:col>
      <xdr:colOff>165100</xdr:colOff>
      <xdr:row>747</xdr:row>
      <xdr:rowOff>139700</xdr:rowOff>
    </xdr:to>
    <xdr:sp macro="" textlink="">
      <xdr:nvSpPr>
        <xdr:cNvPr id="7391" name="Control 223" hidden="1">
          <a:extLst>
            <a:ext uri="{63B3BB69-23CF-44E3-9099-C40C66FF867C}">
              <a14:compatExt xmlns:a14="http://schemas.microsoft.com/office/drawing/2010/main" spid="_x0000_s7391"/>
            </a:ext>
            <a:ext uri="{FF2B5EF4-FFF2-40B4-BE49-F238E27FC236}">
              <a16:creationId xmlns:a16="http://schemas.microsoft.com/office/drawing/2014/main" xmlns="" id="{00000000-0008-0000-0600-0000DF1C0000}"/>
            </a:ext>
          </a:extLst>
        </xdr:cNvPr>
        <xdr:cNvSpPr/>
      </xdr:nvSpPr>
      <xdr:spPr>
        <a:xfrm>
          <a:off x="0" y="0"/>
          <a:ext cx="0" cy="0"/>
        </a:xfrm>
        <a:prstGeom prst="rect">
          <a:avLst/>
        </a:prstGeom>
      </xdr:spPr>
    </xdr:sp>
    <xdr:clientData/>
  </xdr:twoCellAnchor>
  <xdr:twoCellAnchor editAs="oneCell">
    <xdr:from>
      <xdr:col>4</xdr:col>
      <xdr:colOff>0</xdr:colOff>
      <xdr:row>337</xdr:row>
      <xdr:rowOff>0</xdr:rowOff>
    </xdr:from>
    <xdr:to>
      <xdr:col>4</xdr:col>
      <xdr:colOff>152400</xdr:colOff>
      <xdr:row>337</xdr:row>
      <xdr:rowOff>152400</xdr:rowOff>
    </xdr:to>
    <xdr:pic>
      <xdr:nvPicPr>
        <xdr:cNvPr id="225" name="Picture 224" descr="Documents icon">
          <a:extLst>
            <a:ext uri="{FF2B5EF4-FFF2-40B4-BE49-F238E27FC236}">
              <a16:creationId xmlns:a16="http://schemas.microsoft.com/office/drawing/2014/main" xmlns="" id="{00000000-0008-0000-0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988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753</xdr:row>
      <xdr:rowOff>63500</xdr:rowOff>
    </xdr:from>
    <xdr:to>
      <xdr:col>3</xdr:col>
      <xdr:colOff>165100</xdr:colOff>
      <xdr:row>754</xdr:row>
      <xdr:rowOff>25400</xdr:rowOff>
    </xdr:to>
    <xdr:sp macro="" textlink="">
      <xdr:nvSpPr>
        <xdr:cNvPr id="7393" name="Control 225" hidden="1">
          <a:extLst>
            <a:ext uri="{63B3BB69-23CF-44E3-9099-C40C66FF867C}">
              <a14:compatExt xmlns:a14="http://schemas.microsoft.com/office/drawing/2010/main" spid="_x0000_s7393"/>
            </a:ext>
            <a:ext uri="{FF2B5EF4-FFF2-40B4-BE49-F238E27FC236}">
              <a16:creationId xmlns:a16="http://schemas.microsoft.com/office/drawing/2014/main" xmlns="" id="{00000000-0008-0000-0600-0000E11C0000}"/>
            </a:ext>
          </a:extLst>
        </xdr:cNvPr>
        <xdr:cNvSpPr/>
      </xdr:nvSpPr>
      <xdr:spPr>
        <a:xfrm>
          <a:off x="0" y="0"/>
          <a:ext cx="0" cy="0"/>
        </a:xfrm>
        <a:prstGeom prst="rect">
          <a:avLst/>
        </a:prstGeom>
      </xdr:spPr>
    </xdr:sp>
    <xdr:clientData/>
  </xdr:twoCellAnchor>
  <xdr:twoCellAnchor editAs="oneCell">
    <xdr:from>
      <xdr:col>4</xdr:col>
      <xdr:colOff>0</xdr:colOff>
      <xdr:row>340</xdr:row>
      <xdr:rowOff>0</xdr:rowOff>
    </xdr:from>
    <xdr:to>
      <xdr:col>4</xdr:col>
      <xdr:colOff>152400</xdr:colOff>
      <xdr:row>340</xdr:row>
      <xdr:rowOff>152400</xdr:rowOff>
    </xdr:to>
    <xdr:pic>
      <xdr:nvPicPr>
        <xdr:cNvPr id="227" name="Picture 226" descr="Documents icon">
          <a:extLst>
            <a:ext uri="{FF2B5EF4-FFF2-40B4-BE49-F238E27FC236}">
              <a16:creationId xmlns:a16="http://schemas.microsoft.com/office/drawing/2014/main" xmlns="" id="{00000000-0008-0000-0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53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760</xdr:row>
      <xdr:rowOff>50800</xdr:rowOff>
    </xdr:from>
    <xdr:to>
      <xdr:col>3</xdr:col>
      <xdr:colOff>165100</xdr:colOff>
      <xdr:row>761</xdr:row>
      <xdr:rowOff>25400</xdr:rowOff>
    </xdr:to>
    <xdr:sp macro="" textlink="">
      <xdr:nvSpPr>
        <xdr:cNvPr id="7395" name="Control 227" hidden="1">
          <a:extLst>
            <a:ext uri="{63B3BB69-23CF-44E3-9099-C40C66FF867C}">
              <a14:compatExt xmlns:a14="http://schemas.microsoft.com/office/drawing/2010/main" spid="_x0000_s7395"/>
            </a:ext>
            <a:ext uri="{FF2B5EF4-FFF2-40B4-BE49-F238E27FC236}">
              <a16:creationId xmlns:a16="http://schemas.microsoft.com/office/drawing/2014/main" xmlns="" id="{00000000-0008-0000-0600-0000E31C0000}"/>
            </a:ext>
          </a:extLst>
        </xdr:cNvPr>
        <xdr:cNvSpPr/>
      </xdr:nvSpPr>
      <xdr:spPr>
        <a:xfrm>
          <a:off x="0" y="0"/>
          <a:ext cx="0" cy="0"/>
        </a:xfrm>
        <a:prstGeom prst="rect">
          <a:avLst/>
        </a:prstGeom>
      </xdr:spPr>
    </xdr:sp>
    <xdr:clientData/>
  </xdr:twoCellAnchor>
  <xdr:twoCellAnchor editAs="oneCell">
    <xdr:from>
      <xdr:col>4</xdr:col>
      <xdr:colOff>0</xdr:colOff>
      <xdr:row>343</xdr:row>
      <xdr:rowOff>0</xdr:rowOff>
    </xdr:from>
    <xdr:to>
      <xdr:col>4</xdr:col>
      <xdr:colOff>152400</xdr:colOff>
      <xdr:row>343</xdr:row>
      <xdr:rowOff>152400</xdr:rowOff>
    </xdr:to>
    <xdr:pic>
      <xdr:nvPicPr>
        <xdr:cNvPr id="229" name="Picture 228" descr="Documents icon">
          <a:extLst>
            <a:ext uri="{FF2B5EF4-FFF2-40B4-BE49-F238E27FC236}">
              <a16:creationId xmlns:a16="http://schemas.microsoft.com/office/drawing/2014/main" xmlns="" id="{00000000-0008-0000-0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074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766</xdr:row>
      <xdr:rowOff>114300</xdr:rowOff>
    </xdr:from>
    <xdr:to>
      <xdr:col>3</xdr:col>
      <xdr:colOff>165100</xdr:colOff>
      <xdr:row>767</xdr:row>
      <xdr:rowOff>76200</xdr:rowOff>
    </xdr:to>
    <xdr:sp macro="" textlink="">
      <xdr:nvSpPr>
        <xdr:cNvPr id="7397" name="Control 229" hidden="1">
          <a:extLst>
            <a:ext uri="{63B3BB69-23CF-44E3-9099-C40C66FF867C}">
              <a14:compatExt xmlns:a14="http://schemas.microsoft.com/office/drawing/2010/main" spid="_x0000_s7397"/>
            </a:ext>
            <a:ext uri="{FF2B5EF4-FFF2-40B4-BE49-F238E27FC236}">
              <a16:creationId xmlns:a16="http://schemas.microsoft.com/office/drawing/2014/main" xmlns="" id="{00000000-0008-0000-0600-0000E51C0000}"/>
            </a:ext>
          </a:extLst>
        </xdr:cNvPr>
        <xdr:cNvSpPr/>
      </xdr:nvSpPr>
      <xdr:spPr>
        <a:xfrm>
          <a:off x="0" y="0"/>
          <a:ext cx="0" cy="0"/>
        </a:xfrm>
        <a:prstGeom prst="rect">
          <a:avLst/>
        </a:prstGeom>
      </xdr:spPr>
    </xdr:sp>
    <xdr:clientData/>
  </xdr:twoCellAnchor>
  <xdr:twoCellAnchor editAs="oneCell">
    <xdr:from>
      <xdr:col>4</xdr:col>
      <xdr:colOff>0</xdr:colOff>
      <xdr:row>346</xdr:row>
      <xdr:rowOff>0</xdr:rowOff>
    </xdr:from>
    <xdr:to>
      <xdr:col>4</xdr:col>
      <xdr:colOff>152400</xdr:colOff>
      <xdr:row>346</xdr:row>
      <xdr:rowOff>152400</xdr:rowOff>
    </xdr:to>
    <xdr:pic>
      <xdr:nvPicPr>
        <xdr:cNvPr id="231" name="Picture 230" descr="Documents icon">
          <a:extLst>
            <a:ext uri="{FF2B5EF4-FFF2-40B4-BE49-F238E27FC236}">
              <a16:creationId xmlns:a16="http://schemas.microsoft.com/office/drawing/2014/main" xmlns="" id="{00000000-0008-0000-0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617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773</xdr:row>
      <xdr:rowOff>76200</xdr:rowOff>
    </xdr:from>
    <xdr:to>
      <xdr:col>3</xdr:col>
      <xdr:colOff>165100</xdr:colOff>
      <xdr:row>774</xdr:row>
      <xdr:rowOff>38100</xdr:rowOff>
    </xdr:to>
    <xdr:sp macro="" textlink="">
      <xdr:nvSpPr>
        <xdr:cNvPr id="7399" name="Control 231" hidden="1">
          <a:extLst>
            <a:ext uri="{63B3BB69-23CF-44E3-9099-C40C66FF867C}">
              <a14:compatExt xmlns:a14="http://schemas.microsoft.com/office/drawing/2010/main" spid="_x0000_s7399"/>
            </a:ext>
            <a:ext uri="{FF2B5EF4-FFF2-40B4-BE49-F238E27FC236}">
              <a16:creationId xmlns:a16="http://schemas.microsoft.com/office/drawing/2014/main" xmlns="" id="{00000000-0008-0000-0600-0000E71C0000}"/>
            </a:ext>
          </a:extLst>
        </xdr:cNvPr>
        <xdr:cNvSpPr/>
      </xdr:nvSpPr>
      <xdr:spPr>
        <a:xfrm>
          <a:off x="0" y="0"/>
          <a:ext cx="0" cy="0"/>
        </a:xfrm>
        <a:prstGeom prst="rect">
          <a:avLst/>
        </a:prstGeom>
      </xdr:spPr>
    </xdr:sp>
    <xdr:clientData/>
  </xdr:twoCellAnchor>
  <xdr:twoCellAnchor editAs="oneCell">
    <xdr:from>
      <xdr:col>4</xdr:col>
      <xdr:colOff>0</xdr:colOff>
      <xdr:row>349</xdr:row>
      <xdr:rowOff>0</xdr:rowOff>
    </xdr:from>
    <xdr:to>
      <xdr:col>4</xdr:col>
      <xdr:colOff>152400</xdr:colOff>
      <xdr:row>349</xdr:row>
      <xdr:rowOff>152400</xdr:rowOff>
    </xdr:to>
    <xdr:pic>
      <xdr:nvPicPr>
        <xdr:cNvPr id="233" name="Picture 232" descr="Documents icon">
          <a:extLst>
            <a:ext uri="{FF2B5EF4-FFF2-40B4-BE49-F238E27FC236}">
              <a16:creationId xmlns:a16="http://schemas.microsoft.com/office/drawing/2014/main" xmlns="" id="{00000000-0008-0000-0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160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780</xdr:row>
      <xdr:rowOff>12700</xdr:rowOff>
    </xdr:from>
    <xdr:to>
      <xdr:col>3</xdr:col>
      <xdr:colOff>165100</xdr:colOff>
      <xdr:row>780</xdr:row>
      <xdr:rowOff>165100</xdr:rowOff>
    </xdr:to>
    <xdr:sp macro="" textlink="">
      <xdr:nvSpPr>
        <xdr:cNvPr id="7401" name="Control 233" hidden="1">
          <a:extLst>
            <a:ext uri="{63B3BB69-23CF-44E3-9099-C40C66FF867C}">
              <a14:compatExt xmlns:a14="http://schemas.microsoft.com/office/drawing/2010/main" spid="_x0000_s7401"/>
            </a:ext>
            <a:ext uri="{FF2B5EF4-FFF2-40B4-BE49-F238E27FC236}">
              <a16:creationId xmlns:a16="http://schemas.microsoft.com/office/drawing/2014/main" xmlns="" id="{00000000-0008-0000-0600-0000E91C0000}"/>
            </a:ext>
          </a:extLst>
        </xdr:cNvPr>
        <xdr:cNvSpPr/>
      </xdr:nvSpPr>
      <xdr:spPr>
        <a:xfrm>
          <a:off x="0" y="0"/>
          <a:ext cx="0" cy="0"/>
        </a:xfrm>
        <a:prstGeom prst="rect">
          <a:avLst/>
        </a:prstGeom>
      </xdr:spPr>
    </xdr:sp>
    <xdr:clientData/>
  </xdr:twoCellAnchor>
  <xdr:twoCellAnchor editAs="oneCell">
    <xdr:from>
      <xdr:col>4</xdr:col>
      <xdr:colOff>0</xdr:colOff>
      <xdr:row>352</xdr:row>
      <xdr:rowOff>0</xdr:rowOff>
    </xdr:from>
    <xdr:to>
      <xdr:col>4</xdr:col>
      <xdr:colOff>152400</xdr:colOff>
      <xdr:row>352</xdr:row>
      <xdr:rowOff>152400</xdr:rowOff>
    </xdr:to>
    <xdr:pic>
      <xdr:nvPicPr>
        <xdr:cNvPr id="235" name="Picture 234" descr="Documents icon">
          <a:extLst>
            <a:ext uri="{FF2B5EF4-FFF2-40B4-BE49-F238E27FC236}">
              <a16:creationId xmlns:a16="http://schemas.microsoft.com/office/drawing/2014/main" xmlns="" id="{00000000-0008-0000-0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786</xdr:row>
      <xdr:rowOff>139700</xdr:rowOff>
    </xdr:from>
    <xdr:to>
      <xdr:col>3</xdr:col>
      <xdr:colOff>165100</xdr:colOff>
      <xdr:row>787</xdr:row>
      <xdr:rowOff>101600</xdr:rowOff>
    </xdr:to>
    <xdr:sp macro="" textlink="">
      <xdr:nvSpPr>
        <xdr:cNvPr id="7403" name="Control 235" hidden="1">
          <a:extLst>
            <a:ext uri="{63B3BB69-23CF-44E3-9099-C40C66FF867C}">
              <a14:compatExt xmlns:a14="http://schemas.microsoft.com/office/drawing/2010/main" spid="_x0000_s7403"/>
            </a:ext>
            <a:ext uri="{FF2B5EF4-FFF2-40B4-BE49-F238E27FC236}">
              <a16:creationId xmlns:a16="http://schemas.microsoft.com/office/drawing/2014/main" xmlns="" id="{00000000-0008-0000-0600-0000EB1C0000}"/>
            </a:ext>
          </a:extLst>
        </xdr:cNvPr>
        <xdr:cNvSpPr/>
      </xdr:nvSpPr>
      <xdr:spPr>
        <a:xfrm>
          <a:off x="0" y="0"/>
          <a:ext cx="0" cy="0"/>
        </a:xfrm>
        <a:prstGeom prst="rect">
          <a:avLst/>
        </a:prstGeom>
      </xdr:spPr>
    </xdr:sp>
    <xdr:clientData/>
  </xdr:twoCellAnchor>
  <xdr:twoCellAnchor editAs="oneCell">
    <xdr:from>
      <xdr:col>4</xdr:col>
      <xdr:colOff>0</xdr:colOff>
      <xdr:row>355</xdr:row>
      <xdr:rowOff>0</xdr:rowOff>
    </xdr:from>
    <xdr:to>
      <xdr:col>4</xdr:col>
      <xdr:colOff>152400</xdr:colOff>
      <xdr:row>355</xdr:row>
      <xdr:rowOff>152400</xdr:rowOff>
    </xdr:to>
    <xdr:pic>
      <xdr:nvPicPr>
        <xdr:cNvPr id="237" name="Picture 236" descr="Documents icon">
          <a:extLst>
            <a:ext uri="{FF2B5EF4-FFF2-40B4-BE49-F238E27FC236}">
              <a16:creationId xmlns:a16="http://schemas.microsoft.com/office/drawing/2014/main" xmlns="" id="{00000000-0008-0000-0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246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793</xdr:row>
      <xdr:rowOff>63500</xdr:rowOff>
    </xdr:from>
    <xdr:to>
      <xdr:col>3</xdr:col>
      <xdr:colOff>165100</xdr:colOff>
      <xdr:row>794</xdr:row>
      <xdr:rowOff>25400</xdr:rowOff>
    </xdr:to>
    <xdr:sp macro="" textlink="">
      <xdr:nvSpPr>
        <xdr:cNvPr id="7405" name="Control 237" hidden="1">
          <a:extLst>
            <a:ext uri="{63B3BB69-23CF-44E3-9099-C40C66FF867C}">
              <a14:compatExt xmlns:a14="http://schemas.microsoft.com/office/drawing/2010/main" spid="_x0000_s7405"/>
            </a:ext>
            <a:ext uri="{FF2B5EF4-FFF2-40B4-BE49-F238E27FC236}">
              <a16:creationId xmlns:a16="http://schemas.microsoft.com/office/drawing/2014/main" xmlns="" id="{00000000-0008-0000-0600-0000ED1C0000}"/>
            </a:ext>
          </a:extLst>
        </xdr:cNvPr>
        <xdr:cNvSpPr/>
      </xdr:nvSpPr>
      <xdr:spPr>
        <a:xfrm>
          <a:off x="0" y="0"/>
          <a:ext cx="0" cy="0"/>
        </a:xfrm>
        <a:prstGeom prst="rect">
          <a:avLst/>
        </a:prstGeom>
      </xdr:spPr>
    </xdr:sp>
    <xdr:clientData/>
  </xdr:twoCellAnchor>
  <xdr:twoCellAnchor editAs="oneCell">
    <xdr:from>
      <xdr:col>4</xdr:col>
      <xdr:colOff>0</xdr:colOff>
      <xdr:row>358</xdr:row>
      <xdr:rowOff>0</xdr:rowOff>
    </xdr:from>
    <xdr:to>
      <xdr:col>4</xdr:col>
      <xdr:colOff>152400</xdr:colOff>
      <xdr:row>358</xdr:row>
      <xdr:rowOff>152400</xdr:rowOff>
    </xdr:to>
    <xdr:pic>
      <xdr:nvPicPr>
        <xdr:cNvPr id="239" name="Picture 238" descr="Documents icon">
          <a:extLst>
            <a:ext uri="{FF2B5EF4-FFF2-40B4-BE49-F238E27FC236}">
              <a16:creationId xmlns:a16="http://schemas.microsoft.com/office/drawing/2014/main" xmlns="" id="{00000000-0008-0000-0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789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799</xdr:row>
      <xdr:rowOff>127000</xdr:rowOff>
    </xdr:from>
    <xdr:to>
      <xdr:col>3</xdr:col>
      <xdr:colOff>165100</xdr:colOff>
      <xdr:row>800</xdr:row>
      <xdr:rowOff>101600</xdr:rowOff>
    </xdr:to>
    <xdr:sp macro="" textlink="">
      <xdr:nvSpPr>
        <xdr:cNvPr id="7407" name="Control 239" hidden="1">
          <a:extLst>
            <a:ext uri="{63B3BB69-23CF-44E3-9099-C40C66FF867C}">
              <a14:compatExt xmlns:a14="http://schemas.microsoft.com/office/drawing/2010/main" spid="_x0000_s7407"/>
            </a:ext>
            <a:ext uri="{FF2B5EF4-FFF2-40B4-BE49-F238E27FC236}">
              <a16:creationId xmlns:a16="http://schemas.microsoft.com/office/drawing/2014/main" xmlns="" id="{00000000-0008-0000-0600-0000EF1C0000}"/>
            </a:ext>
          </a:extLst>
        </xdr:cNvPr>
        <xdr:cNvSpPr/>
      </xdr:nvSpPr>
      <xdr:spPr>
        <a:xfrm>
          <a:off x="0" y="0"/>
          <a:ext cx="0" cy="0"/>
        </a:xfrm>
        <a:prstGeom prst="rect">
          <a:avLst/>
        </a:prstGeom>
      </xdr:spPr>
    </xdr:sp>
    <xdr:clientData/>
  </xdr:twoCellAnchor>
  <xdr:twoCellAnchor editAs="oneCell">
    <xdr:from>
      <xdr:col>4</xdr:col>
      <xdr:colOff>0</xdr:colOff>
      <xdr:row>361</xdr:row>
      <xdr:rowOff>0</xdr:rowOff>
    </xdr:from>
    <xdr:to>
      <xdr:col>4</xdr:col>
      <xdr:colOff>152400</xdr:colOff>
      <xdr:row>361</xdr:row>
      <xdr:rowOff>152400</xdr:rowOff>
    </xdr:to>
    <xdr:pic>
      <xdr:nvPicPr>
        <xdr:cNvPr id="241" name="Picture 240" descr="Documents icon">
          <a:extLst>
            <a:ext uri="{FF2B5EF4-FFF2-40B4-BE49-F238E27FC236}">
              <a16:creationId xmlns:a16="http://schemas.microsoft.com/office/drawing/2014/main" xmlns="" id="{00000000-0008-0000-0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31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806</xdr:row>
      <xdr:rowOff>139700</xdr:rowOff>
    </xdr:from>
    <xdr:to>
      <xdr:col>3</xdr:col>
      <xdr:colOff>165100</xdr:colOff>
      <xdr:row>807</xdr:row>
      <xdr:rowOff>101600</xdr:rowOff>
    </xdr:to>
    <xdr:sp macro="" textlink="">
      <xdr:nvSpPr>
        <xdr:cNvPr id="7409" name="Control 241" hidden="1">
          <a:extLst>
            <a:ext uri="{63B3BB69-23CF-44E3-9099-C40C66FF867C}">
              <a14:compatExt xmlns:a14="http://schemas.microsoft.com/office/drawing/2010/main" spid="_x0000_s7409"/>
            </a:ext>
            <a:ext uri="{FF2B5EF4-FFF2-40B4-BE49-F238E27FC236}">
              <a16:creationId xmlns:a16="http://schemas.microsoft.com/office/drawing/2014/main" xmlns="" id="{00000000-0008-0000-0600-0000F11C0000}"/>
            </a:ext>
          </a:extLst>
        </xdr:cNvPr>
        <xdr:cNvSpPr/>
      </xdr:nvSpPr>
      <xdr:spPr>
        <a:xfrm>
          <a:off x="0" y="0"/>
          <a:ext cx="0" cy="0"/>
        </a:xfrm>
        <a:prstGeom prst="rect">
          <a:avLst/>
        </a:prstGeom>
      </xdr:spPr>
    </xdr:sp>
    <xdr:clientData/>
  </xdr:twoCellAnchor>
  <xdr:twoCellAnchor editAs="oneCell">
    <xdr:from>
      <xdr:col>4</xdr:col>
      <xdr:colOff>0</xdr:colOff>
      <xdr:row>364</xdr:row>
      <xdr:rowOff>0</xdr:rowOff>
    </xdr:from>
    <xdr:to>
      <xdr:col>4</xdr:col>
      <xdr:colOff>152400</xdr:colOff>
      <xdr:row>364</xdr:row>
      <xdr:rowOff>152400</xdr:rowOff>
    </xdr:to>
    <xdr:pic>
      <xdr:nvPicPr>
        <xdr:cNvPr id="243" name="Picture 242" descr="Documents icon">
          <a:extLst>
            <a:ext uri="{FF2B5EF4-FFF2-40B4-BE49-F238E27FC236}">
              <a16:creationId xmlns:a16="http://schemas.microsoft.com/office/drawing/2014/main" xmlns="" id="{00000000-0008-0000-0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874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813</xdr:row>
      <xdr:rowOff>38100</xdr:rowOff>
    </xdr:from>
    <xdr:to>
      <xdr:col>3</xdr:col>
      <xdr:colOff>165100</xdr:colOff>
      <xdr:row>814</xdr:row>
      <xdr:rowOff>12700</xdr:rowOff>
    </xdr:to>
    <xdr:sp macro="" textlink="">
      <xdr:nvSpPr>
        <xdr:cNvPr id="7411" name="Control 243" hidden="1">
          <a:extLst>
            <a:ext uri="{63B3BB69-23CF-44E3-9099-C40C66FF867C}">
              <a14:compatExt xmlns:a14="http://schemas.microsoft.com/office/drawing/2010/main" spid="_x0000_s7411"/>
            </a:ext>
            <a:ext uri="{FF2B5EF4-FFF2-40B4-BE49-F238E27FC236}">
              <a16:creationId xmlns:a16="http://schemas.microsoft.com/office/drawing/2014/main" xmlns="" id="{00000000-0008-0000-0600-0000F31C0000}"/>
            </a:ext>
          </a:extLst>
        </xdr:cNvPr>
        <xdr:cNvSpPr/>
      </xdr:nvSpPr>
      <xdr:spPr>
        <a:xfrm>
          <a:off x="0" y="0"/>
          <a:ext cx="0" cy="0"/>
        </a:xfrm>
        <a:prstGeom prst="rect">
          <a:avLst/>
        </a:prstGeom>
      </xdr:spPr>
    </xdr:sp>
    <xdr:clientData/>
  </xdr:twoCellAnchor>
  <xdr:twoCellAnchor editAs="oneCell">
    <xdr:from>
      <xdr:col>4</xdr:col>
      <xdr:colOff>0</xdr:colOff>
      <xdr:row>367</xdr:row>
      <xdr:rowOff>0</xdr:rowOff>
    </xdr:from>
    <xdr:to>
      <xdr:col>4</xdr:col>
      <xdr:colOff>152400</xdr:colOff>
      <xdr:row>367</xdr:row>
      <xdr:rowOff>152400</xdr:rowOff>
    </xdr:to>
    <xdr:pic>
      <xdr:nvPicPr>
        <xdr:cNvPr id="245" name="Picture 244" descr="Documents icon">
          <a:extLst>
            <a:ext uri="{FF2B5EF4-FFF2-40B4-BE49-F238E27FC236}">
              <a16:creationId xmlns:a16="http://schemas.microsoft.com/office/drawing/2014/main" xmlns="" id="{00000000-0008-0000-0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417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819</xdr:row>
      <xdr:rowOff>152400</xdr:rowOff>
    </xdr:from>
    <xdr:to>
      <xdr:col>3</xdr:col>
      <xdr:colOff>165100</xdr:colOff>
      <xdr:row>820</xdr:row>
      <xdr:rowOff>127000</xdr:rowOff>
    </xdr:to>
    <xdr:sp macro="" textlink="">
      <xdr:nvSpPr>
        <xdr:cNvPr id="7413" name="Control 245" hidden="1">
          <a:extLst>
            <a:ext uri="{63B3BB69-23CF-44E3-9099-C40C66FF867C}">
              <a14:compatExt xmlns:a14="http://schemas.microsoft.com/office/drawing/2010/main" spid="_x0000_s7413"/>
            </a:ext>
            <a:ext uri="{FF2B5EF4-FFF2-40B4-BE49-F238E27FC236}">
              <a16:creationId xmlns:a16="http://schemas.microsoft.com/office/drawing/2014/main" xmlns="" id="{00000000-0008-0000-0600-0000F51C0000}"/>
            </a:ext>
          </a:extLst>
        </xdr:cNvPr>
        <xdr:cNvSpPr/>
      </xdr:nvSpPr>
      <xdr:spPr>
        <a:xfrm>
          <a:off x="0" y="0"/>
          <a:ext cx="0" cy="0"/>
        </a:xfrm>
        <a:prstGeom prst="rect">
          <a:avLst/>
        </a:prstGeom>
      </xdr:spPr>
    </xdr:sp>
    <xdr:clientData/>
  </xdr:twoCellAnchor>
  <xdr:twoCellAnchor editAs="oneCell">
    <xdr:from>
      <xdr:col>4</xdr:col>
      <xdr:colOff>0</xdr:colOff>
      <xdr:row>370</xdr:row>
      <xdr:rowOff>0</xdr:rowOff>
    </xdr:from>
    <xdr:to>
      <xdr:col>4</xdr:col>
      <xdr:colOff>152400</xdr:colOff>
      <xdr:row>370</xdr:row>
      <xdr:rowOff>152400</xdr:rowOff>
    </xdr:to>
    <xdr:pic>
      <xdr:nvPicPr>
        <xdr:cNvPr id="247" name="Picture 246" descr="Documents icon">
          <a:extLst>
            <a:ext uri="{FF2B5EF4-FFF2-40B4-BE49-F238E27FC236}">
              <a16:creationId xmlns:a16="http://schemas.microsoft.com/office/drawing/2014/main" xmlns="" id="{00000000-0008-0000-0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60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826</xdr:row>
      <xdr:rowOff>152400</xdr:rowOff>
    </xdr:from>
    <xdr:to>
      <xdr:col>3</xdr:col>
      <xdr:colOff>165100</xdr:colOff>
      <xdr:row>827</xdr:row>
      <xdr:rowOff>114300</xdr:rowOff>
    </xdr:to>
    <xdr:sp macro="" textlink="">
      <xdr:nvSpPr>
        <xdr:cNvPr id="7415" name="Control 247" hidden="1">
          <a:extLst>
            <a:ext uri="{63B3BB69-23CF-44E3-9099-C40C66FF867C}">
              <a14:compatExt xmlns:a14="http://schemas.microsoft.com/office/drawing/2010/main" spid="_x0000_s7415"/>
            </a:ext>
            <a:ext uri="{FF2B5EF4-FFF2-40B4-BE49-F238E27FC236}">
              <a16:creationId xmlns:a16="http://schemas.microsoft.com/office/drawing/2014/main" xmlns="" id="{00000000-0008-0000-0600-0000F71C0000}"/>
            </a:ext>
          </a:extLst>
        </xdr:cNvPr>
        <xdr:cNvSpPr/>
      </xdr:nvSpPr>
      <xdr:spPr>
        <a:xfrm>
          <a:off x="0" y="0"/>
          <a:ext cx="0" cy="0"/>
        </a:xfrm>
        <a:prstGeom prst="rect">
          <a:avLst/>
        </a:prstGeom>
      </xdr:spPr>
    </xdr:sp>
    <xdr:clientData/>
  </xdr:twoCellAnchor>
  <xdr:twoCellAnchor editAs="oneCell">
    <xdr:from>
      <xdr:col>4</xdr:col>
      <xdr:colOff>0</xdr:colOff>
      <xdr:row>373</xdr:row>
      <xdr:rowOff>0</xdr:rowOff>
    </xdr:from>
    <xdr:to>
      <xdr:col>4</xdr:col>
      <xdr:colOff>152400</xdr:colOff>
      <xdr:row>373</xdr:row>
      <xdr:rowOff>152400</xdr:rowOff>
    </xdr:to>
    <xdr:pic>
      <xdr:nvPicPr>
        <xdr:cNvPr id="249" name="Picture 248" descr="Documents icon">
          <a:extLst>
            <a:ext uri="{FF2B5EF4-FFF2-40B4-BE49-F238E27FC236}">
              <a16:creationId xmlns:a16="http://schemas.microsoft.com/office/drawing/2014/main" xmlns="" id="{00000000-0008-0000-0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503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833</xdr:row>
      <xdr:rowOff>25400</xdr:rowOff>
    </xdr:from>
    <xdr:to>
      <xdr:col>3</xdr:col>
      <xdr:colOff>165100</xdr:colOff>
      <xdr:row>833</xdr:row>
      <xdr:rowOff>165100</xdr:rowOff>
    </xdr:to>
    <xdr:sp macro="" textlink="">
      <xdr:nvSpPr>
        <xdr:cNvPr id="7417" name="Control 249" hidden="1">
          <a:extLst>
            <a:ext uri="{63B3BB69-23CF-44E3-9099-C40C66FF867C}">
              <a14:compatExt xmlns:a14="http://schemas.microsoft.com/office/drawing/2010/main" spid="_x0000_s7417"/>
            </a:ext>
            <a:ext uri="{FF2B5EF4-FFF2-40B4-BE49-F238E27FC236}">
              <a16:creationId xmlns:a16="http://schemas.microsoft.com/office/drawing/2014/main" xmlns="" id="{00000000-0008-0000-0600-0000F91C0000}"/>
            </a:ext>
          </a:extLst>
        </xdr:cNvPr>
        <xdr:cNvSpPr/>
      </xdr:nvSpPr>
      <xdr:spPr>
        <a:xfrm>
          <a:off x="0" y="0"/>
          <a:ext cx="0" cy="0"/>
        </a:xfrm>
        <a:prstGeom prst="rect">
          <a:avLst/>
        </a:prstGeom>
      </xdr:spPr>
    </xdr:sp>
    <xdr:clientData/>
  </xdr:twoCellAnchor>
  <xdr:twoCellAnchor editAs="oneCell">
    <xdr:from>
      <xdr:col>4</xdr:col>
      <xdr:colOff>0</xdr:colOff>
      <xdr:row>376</xdr:row>
      <xdr:rowOff>0</xdr:rowOff>
    </xdr:from>
    <xdr:to>
      <xdr:col>4</xdr:col>
      <xdr:colOff>152400</xdr:colOff>
      <xdr:row>376</xdr:row>
      <xdr:rowOff>152400</xdr:rowOff>
    </xdr:to>
    <xdr:pic>
      <xdr:nvPicPr>
        <xdr:cNvPr id="251" name="Picture 250" descr="Documents icon">
          <a:extLst>
            <a:ext uri="{FF2B5EF4-FFF2-40B4-BE49-F238E27FC236}">
              <a16:creationId xmlns:a16="http://schemas.microsoft.com/office/drawing/2014/main" xmlns="" id="{00000000-0008-0000-0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046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839</xdr:row>
      <xdr:rowOff>152400</xdr:rowOff>
    </xdr:from>
    <xdr:to>
      <xdr:col>3</xdr:col>
      <xdr:colOff>165100</xdr:colOff>
      <xdr:row>840</xdr:row>
      <xdr:rowOff>127000</xdr:rowOff>
    </xdr:to>
    <xdr:sp macro="" textlink="">
      <xdr:nvSpPr>
        <xdr:cNvPr id="7419" name="Control 251" hidden="1">
          <a:extLst>
            <a:ext uri="{63B3BB69-23CF-44E3-9099-C40C66FF867C}">
              <a14:compatExt xmlns:a14="http://schemas.microsoft.com/office/drawing/2010/main" spid="_x0000_s7419"/>
            </a:ext>
            <a:ext uri="{FF2B5EF4-FFF2-40B4-BE49-F238E27FC236}">
              <a16:creationId xmlns:a16="http://schemas.microsoft.com/office/drawing/2014/main" xmlns="" id="{00000000-0008-0000-0600-0000FB1C0000}"/>
            </a:ext>
          </a:extLst>
        </xdr:cNvPr>
        <xdr:cNvSpPr/>
      </xdr:nvSpPr>
      <xdr:spPr>
        <a:xfrm>
          <a:off x="0" y="0"/>
          <a:ext cx="0" cy="0"/>
        </a:xfrm>
        <a:prstGeom prst="rect">
          <a:avLst/>
        </a:prstGeom>
      </xdr:spPr>
    </xdr:sp>
    <xdr:clientData/>
  </xdr:twoCellAnchor>
  <xdr:twoCellAnchor editAs="oneCell">
    <xdr:from>
      <xdr:col>4</xdr:col>
      <xdr:colOff>0</xdr:colOff>
      <xdr:row>379</xdr:row>
      <xdr:rowOff>0</xdr:rowOff>
    </xdr:from>
    <xdr:to>
      <xdr:col>4</xdr:col>
      <xdr:colOff>152400</xdr:colOff>
      <xdr:row>379</xdr:row>
      <xdr:rowOff>152400</xdr:rowOff>
    </xdr:to>
    <xdr:pic>
      <xdr:nvPicPr>
        <xdr:cNvPr id="253" name="Picture 252" descr="Documents icon">
          <a:extLst>
            <a:ext uri="{FF2B5EF4-FFF2-40B4-BE49-F238E27FC236}">
              <a16:creationId xmlns:a16="http://schemas.microsoft.com/office/drawing/2014/main" xmlns="" id="{00000000-0008-0000-0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589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846</xdr:row>
      <xdr:rowOff>63500</xdr:rowOff>
    </xdr:from>
    <xdr:to>
      <xdr:col>3</xdr:col>
      <xdr:colOff>165100</xdr:colOff>
      <xdr:row>847</xdr:row>
      <xdr:rowOff>25400</xdr:rowOff>
    </xdr:to>
    <xdr:sp macro="" textlink="">
      <xdr:nvSpPr>
        <xdr:cNvPr id="7421" name="Control 253" hidden="1">
          <a:extLst>
            <a:ext uri="{63B3BB69-23CF-44E3-9099-C40C66FF867C}">
              <a14:compatExt xmlns:a14="http://schemas.microsoft.com/office/drawing/2010/main" spid="_x0000_s7421"/>
            </a:ext>
            <a:ext uri="{FF2B5EF4-FFF2-40B4-BE49-F238E27FC236}">
              <a16:creationId xmlns:a16="http://schemas.microsoft.com/office/drawing/2014/main" xmlns="" id="{00000000-0008-0000-0600-0000FD1C0000}"/>
            </a:ext>
          </a:extLst>
        </xdr:cNvPr>
        <xdr:cNvSpPr/>
      </xdr:nvSpPr>
      <xdr:spPr>
        <a:xfrm>
          <a:off x="0" y="0"/>
          <a:ext cx="0" cy="0"/>
        </a:xfrm>
        <a:prstGeom prst="rect">
          <a:avLst/>
        </a:prstGeom>
      </xdr:spPr>
    </xdr:sp>
    <xdr:clientData/>
  </xdr:twoCellAnchor>
  <xdr:twoCellAnchor editAs="oneCell">
    <xdr:from>
      <xdr:col>4</xdr:col>
      <xdr:colOff>0</xdr:colOff>
      <xdr:row>382</xdr:row>
      <xdr:rowOff>0</xdr:rowOff>
    </xdr:from>
    <xdr:to>
      <xdr:col>4</xdr:col>
      <xdr:colOff>152400</xdr:colOff>
      <xdr:row>382</xdr:row>
      <xdr:rowOff>152400</xdr:rowOff>
    </xdr:to>
    <xdr:pic>
      <xdr:nvPicPr>
        <xdr:cNvPr id="255" name="Picture 254" descr="Documents icon">
          <a:extLst>
            <a:ext uri="{FF2B5EF4-FFF2-40B4-BE49-F238E27FC236}">
              <a16:creationId xmlns:a16="http://schemas.microsoft.com/office/drawing/2014/main" xmlns="" id="{00000000-0008-0000-0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132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853</xdr:row>
      <xdr:rowOff>50800</xdr:rowOff>
    </xdr:from>
    <xdr:to>
      <xdr:col>3</xdr:col>
      <xdr:colOff>165100</xdr:colOff>
      <xdr:row>854</xdr:row>
      <xdr:rowOff>50800</xdr:rowOff>
    </xdr:to>
    <xdr:sp macro="" textlink="">
      <xdr:nvSpPr>
        <xdr:cNvPr id="7423" name="Control 255" hidden="1">
          <a:extLst>
            <a:ext uri="{63B3BB69-23CF-44E3-9099-C40C66FF867C}">
              <a14:compatExt xmlns:a14="http://schemas.microsoft.com/office/drawing/2010/main" spid="_x0000_s7423"/>
            </a:ext>
            <a:ext uri="{FF2B5EF4-FFF2-40B4-BE49-F238E27FC236}">
              <a16:creationId xmlns:a16="http://schemas.microsoft.com/office/drawing/2014/main" xmlns="" id="{00000000-0008-0000-0600-0000FF1C0000}"/>
            </a:ext>
          </a:extLst>
        </xdr:cNvPr>
        <xdr:cNvSpPr/>
      </xdr:nvSpPr>
      <xdr:spPr>
        <a:xfrm>
          <a:off x="0" y="0"/>
          <a:ext cx="0" cy="0"/>
        </a:xfrm>
        <a:prstGeom prst="rect">
          <a:avLst/>
        </a:prstGeom>
      </xdr:spPr>
    </xdr:sp>
    <xdr:clientData/>
  </xdr:twoCellAnchor>
  <xdr:twoCellAnchor editAs="oneCell">
    <xdr:from>
      <xdr:col>4</xdr:col>
      <xdr:colOff>0</xdr:colOff>
      <xdr:row>385</xdr:row>
      <xdr:rowOff>0</xdr:rowOff>
    </xdr:from>
    <xdr:to>
      <xdr:col>4</xdr:col>
      <xdr:colOff>152400</xdr:colOff>
      <xdr:row>385</xdr:row>
      <xdr:rowOff>152400</xdr:rowOff>
    </xdr:to>
    <xdr:pic>
      <xdr:nvPicPr>
        <xdr:cNvPr id="257" name="Picture 256" descr="Documents icon">
          <a:extLst>
            <a:ext uri="{FF2B5EF4-FFF2-40B4-BE49-F238E27FC236}">
              <a16:creationId xmlns:a16="http://schemas.microsoft.com/office/drawing/2014/main" xmlns="" id="{00000000-0008-0000-0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75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859</xdr:row>
      <xdr:rowOff>177800</xdr:rowOff>
    </xdr:from>
    <xdr:to>
      <xdr:col>3</xdr:col>
      <xdr:colOff>165100</xdr:colOff>
      <xdr:row>860</xdr:row>
      <xdr:rowOff>177800</xdr:rowOff>
    </xdr:to>
    <xdr:sp macro="" textlink="">
      <xdr:nvSpPr>
        <xdr:cNvPr id="7425" name="Control 257" hidden="1">
          <a:extLst>
            <a:ext uri="{63B3BB69-23CF-44E3-9099-C40C66FF867C}">
              <a14:compatExt xmlns:a14="http://schemas.microsoft.com/office/drawing/2010/main" spid="_x0000_s7425"/>
            </a:ext>
            <a:ext uri="{FF2B5EF4-FFF2-40B4-BE49-F238E27FC236}">
              <a16:creationId xmlns:a16="http://schemas.microsoft.com/office/drawing/2014/main" xmlns="" id="{00000000-0008-0000-0600-0000011D0000}"/>
            </a:ext>
          </a:extLst>
        </xdr:cNvPr>
        <xdr:cNvSpPr/>
      </xdr:nvSpPr>
      <xdr:spPr>
        <a:xfrm>
          <a:off x="0" y="0"/>
          <a:ext cx="0" cy="0"/>
        </a:xfrm>
        <a:prstGeom prst="rect">
          <a:avLst/>
        </a:prstGeom>
      </xdr:spPr>
    </xdr:sp>
    <xdr:clientData/>
  </xdr:twoCellAnchor>
  <xdr:twoCellAnchor editAs="oneCell">
    <xdr:from>
      <xdr:col>4</xdr:col>
      <xdr:colOff>0</xdr:colOff>
      <xdr:row>388</xdr:row>
      <xdr:rowOff>0</xdr:rowOff>
    </xdr:from>
    <xdr:to>
      <xdr:col>4</xdr:col>
      <xdr:colOff>152400</xdr:colOff>
      <xdr:row>388</xdr:row>
      <xdr:rowOff>152400</xdr:rowOff>
    </xdr:to>
    <xdr:pic>
      <xdr:nvPicPr>
        <xdr:cNvPr id="259" name="Picture 258" descr="Documents icon">
          <a:extLst>
            <a:ext uri="{FF2B5EF4-FFF2-40B4-BE49-F238E27FC236}">
              <a16:creationId xmlns:a16="http://schemas.microsoft.com/office/drawing/2014/main" xmlns="" id="{00000000-0008-0000-0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218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866</xdr:row>
      <xdr:rowOff>114300</xdr:rowOff>
    </xdr:from>
    <xdr:to>
      <xdr:col>3</xdr:col>
      <xdr:colOff>165100</xdr:colOff>
      <xdr:row>867</xdr:row>
      <xdr:rowOff>114300</xdr:rowOff>
    </xdr:to>
    <xdr:sp macro="" textlink="">
      <xdr:nvSpPr>
        <xdr:cNvPr id="7427" name="Control 259" hidden="1">
          <a:extLst>
            <a:ext uri="{63B3BB69-23CF-44E3-9099-C40C66FF867C}">
              <a14:compatExt xmlns:a14="http://schemas.microsoft.com/office/drawing/2010/main" spid="_x0000_s7427"/>
            </a:ext>
            <a:ext uri="{FF2B5EF4-FFF2-40B4-BE49-F238E27FC236}">
              <a16:creationId xmlns:a16="http://schemas.microsoft.com/office/drawing/2014/main" xmlns="" id="{00000000-0008-0000-0600-0000031D0000}"/>
            </a:ext>
          </a:extLst>
        </xdr:cNvPr>
        <xdr:cNvSpPr/>
      </xdr:nvSpPr>
      <xdr:spPr>
        <a:xfrm>
          <a:off x="0" y="0"/>
          <a:ext cx="0" cy="0"/>
        </a:xfrm>
        <a:prstGeom prst="rect">
          <a:avLst/>
        </a:prstGeom>
      </xdr:spPr>
    </xdr:sp>
    <xdr:clientData/>
  </xdr:twoCellAnchor>
  <xdr:twoCellAnchor editAs="oneCell">
    <xdr:from>
      <xdr:col>4</xdr:col>
      <xdr:colOff>0</xdr:colOff>
      <xdr:row>391</xdr:row>
      <xdr:rowOff>0</xdr:rowOff>
    </xdr:from>
    <xdr:to>
      <xdr:col>4</xdr:col>
      <xdr:colOff>152400</xdr:colOff>
      <xdr:row>391</xdr:row>
      <xdr:rowOff>152400</xdr:rowOff>
    </xdr:to>
    <xdr:pic>
      <xdr:nvPicPr>
        <xdr:cNvPr id="261" name="Picture 260" descr="Documents icon">
          <a:extLst>
            <a:ext uri="{FF2B5EF4-FFF2-40B4-BE49-F238E27FC236}">
              <a16:creationId xmlns:a16="http://schemas.microsoft.com/office/drawing/2014/main" xmlns="" id="{00000000-0008-0000-0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761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873</xdr:row>
      <xdr:rowOff>38100</xdr:rowOff>
    </xdr:from>
    <xdr:to>
      <xdr:col>3</xdr:col>
      <xdr:colOff>165100</xdr:colOff>
      <xdr:row>874</xdr:row>
      <xdr:rowOff>38100</xdr:rowOff>
    </xdr:to>
    <xdr:sp macro="" textlink="">
      <xdr:nvSpPr>
        <xdr:cNvPr id="7429" name="Control 261" hidden="1">
          <a:extLst>
            <a:ext uri="{63B3BB69-23CF-44E3-9099-C40C66FF867C}">
              <a14:compatExt xmlns:a14="http://schemas.microsoft.com/office/drawing/2010/main" spid="_x0000_s7429"/>
            </a:ext>
            <a:ext uri="{FF2B5EF4-FFF2-40B4-BE49-F238E27FC236}">
              <a16:creationId xmlns:a16="http://schemas.microsoft.com/office/drawing/2014/main" xmlns="" id="{00000000-0008-0000-0600-0000051D0000}"/>
            </a:ext>
          </a:extLst>
        </xdr:cNvPr>
        <xdr:cNvSpPr/>
      </xdr:nvSpPr>
      <xdr:spPr>
        <a:xfrm>
          <a:off x="0" y="0"/>
          <a:ext cx="0" cy="0"/>
        </a:xfrm>
        <a:prstGeom prst="rect">
          <a:avLst/>
        </a:prstGeom>
      </xdr:spPr>
    </xdr:sp>
    <xdr:clientData/>
  </xdr:twoCellAnchor>
  <xdr:twoCellAnchor editAs="oneCell">
    <xdr:from>
      <xdr:col>4</xdr:col>
      <xdr:colOff>0</xdr:colOff>
      <xdr:row>394</xdr:row>
      <xdr:rowOff>0</xdr:rowOff>
    </xdr:from>
    <xdr:to>
      <xdr:col>4</xdr:col>
      <xdr:colOff>152400</xdr:colOff>
      <xdr:row>394</xdr:row>
      <xdr:rowOff>152400</xdr:rowOff>
    </xdr:to>
    <xdr:pic>
      <xdr:nvPicPr>
        <xdr:cNvPr id="263" name="Picture 262" descr="Documents icon">
          <a:extLst>
            <a:ext uri="{FF2B5EF4-FFF2-40B4-BE49-F238E27FC236}">
              <a16:creationId xmlns:a16="http://schemas.microsoft.com/office/drawing/2014/main" xmlns="" id="{00000000-0008-0000-0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304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879</xdr:row>
      <xdr:rowOff>152400</xdr:rowOff>
    </xdr:from>
    <xdr:to>
      <xdr:col>3</xdr:col>
      <xdr:colOff>165100</xdr:colOff>
      <xdr:row>880</xdr:row>
      <xdr:rowOff>152400</xdr:rowOff>
    </xdr:to>
    <xdr:sp macro="" textlink="">
      <xdr:nvSpPr>
        <xdr:cNvPr id="7431" name="Control 263" hidden="1">
          <a:extLst>
            <a:ext uri="{63B3BB69-23CF-44E3-9099-C40C66FF867C}">
              <a14:compatExt xmlns:a14="http://schemas.microsoft.com/office/drawing/2010/main" spid="_x0000_s7431"/>
            </a:ext>
            <a:ext uri="{FF2B5EF4-FFF2-40B4-BE49-F238E27FC236}">
              <a16:creationId xmlns:a16="http://schemas.microsoft.com/office/drawing/2014/main" xmlns="" id="{00000000-0008-0000-0600-0000071D0000}"/>
            </a:ext>
          </a:extLst>
        </xdr:cNvPr>
        <xdr:cNvSpPr/>
      </xdr:nvSpPr>
      <xdr:spPr>
        <a:xfrm>
          <a:off x="0" y="0"/>
          <a:ext cx="0" cy="0"/>
        </a:xfrm>
        <a:prstGeom prst="rect">
          <a:avLst/>
        </a:prstGeom>
      </xdr:spPr>
    </xdr:sp>
    <xdr:clientData/>
  </xdr:twoCellAnchor>
  <xdr:twoCellAnchor editAs="oneCell">
    <xdr:from>
      <xdr:col>4</xdr:col>
      <xdr:colOff>0</xdr:colOff>
      <xdr:row>397</xdr:row>
      <xdr:rowOff>0</xdr:rowOff>
    </xdr:from>
    <xdr:to>
      <xdr:col>4</xdr:col>
      <xdr:colOff>152400</xdr:colOff>
      <xdr:row>397</xdr:row>
      <xdr:rowOff>152400</xdr:rowOff>
    </xdr:to>
    <xdr:pic>
      <xdr:nvPicPr>
        <xdr:cNvPr id="265" name="Picture 264" descr="Documents icon">
          <a:extLst>
            <a:ext uri="{FF2B5EF4-FFF2-40B4-BE49-F238E27FC236}">
              <a16:creationId xmlns:a16="http://schemas.microsoft.com/office/drawing/2014/main" xmlns="" id="{00000000-0008-0000-0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47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886</xdr:row>
      <xdr:rowOff>114300</xdr:rowOff>
    </xdr:from>
    <xdr:to>
      <xdr:col>3</xdr:col>
      <xdr:colOff>165100</xdr:colOff>
      <xdr:row>887</xdr:row>
      <xdr:rowOff>114300</xdr:rowOff>
    </xdr:to>
    <xdr:sp macro="" textlink="">
      <xdr:nvSpPr>
        <xdr:cNvPr id="7433" name="Control 265" hidden="1">
          <a:extLst>
            <a:ext uri="{63B3BB69-23CF-44E3-9099-C40C66FF867C}">
              <a14:compatExt xmlns:a14="http://schemas.microsoft.com/office/drawing/2010/main" spid="_x0000_s7433"/>
            </a:ext>
            <a:ext uri="{FF2B5EF4-FFF2-40B4-BE49-F238E27FC236}">
              <a16:creationId xmlns:a16="http://schemas.microsoft.com/office/drawing/2014/main" xmlns="" id="{00000000-0008-0000-0600-0000091D0000}"/>
            </a:ext>
          </a:extLst>
        </xdr:cNvPr>
        <xdr:cNvSpPr/>
      </xdr:nvSpPr>
      <xdr:spPr>
        <a:xfrm>
          <a:off x="0" y="0"/>
          <a:ext cx="0" cy="0"/>
        </a:xfrm>
        <a:prstGeom prst="rect">
          <a:avLst/>
        </a:prstGeom>
      </xdr:spPr>
    </xdr:sp>
    <xdr:clientData/>
  </xdr:twoCellAnchor>
  <xdr:twoCellAnchor editAs="oneCell">
    <xdr:from>
      <xdr:col>4</xdr:col>
      <xdr:colOff>0</xdr:colOff>
      <xdr:row>400</xdr:row>
      <xdr:rowOff>0</xdr:rowOff>
    </xdr:from>
    <xdr:to>
      <xdr:col>4</xdr:col>
      <xdr:colOff>152400</xdr:colOff>
      <xdr:row>400</xdr:row>
      <xdr:rowOff>152400</xdr:rowOff>
    </xdr:to>
    <xdr:pic>
      <xdr:nvPicPr>
        <xdr:cNvPr id="267" name="Picture 266" descr="Documents icon">
          <a:extLst>
            <a:ext uri="{FF2B5EF4-FFF2-40B4-BE49-F238E27FC236}">
              <a16:creationId xmlns:a16="http://schemas.microsoft.com/office/drawing/2014/main" xmlns="" id="{00000000-0008-0000-0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39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893</xdr:row>
      <xdr:rowOff>38100</xdr:rowOff>
    </xdr:from>
    <xdr:to>
      <xdr:col>3</xdr:col>
      <xdr:colOff>165100</xdr:colOff>
      <xdr:row>894</xdr:row>
      <xdr:rowOff>38100</xdr:rowOff>
    </xdr:to>
    <xdr:sp macro="" textlink="">
      <xdr:nvSpPr>
        <xdr:cNvPr id="7435" name="Control 267" hidden="1">
          <a:extLst>
            <a:ext uri="{63B3BB69-23CF-44E3-9099-C40C66FF867C}">
              <a14:compatExt xmlns:a14="http://schemas.microsoft.com/office/drawing/2010/main" spid="_x0000_s7435"/>
            </a:ext>
            <a:ext uri="{FF2B5EF4-FFF2-40B4-BE49-F238E27FC236}">
              <a16:creationId xmlns:a16="http://schemas.microsoft.com/office/drawing/2014/main" xmlns="" id="{00000000-0008-0000-0600-00000B1D0000}"/>
            </a:ext>
          </a:extLst>
        </xdr:cNvPr>
        <xdr:cNvSpPr/>
      </xdr:nvSpPr>
      <xdr:spPr>
        <a:xfrm>
          <a:off x="0" y="0"/>
          <a:ext cx="0" cy="0"/>
        </a:xfrm>
        <a:prstGeom prst="rect">
          <a:avLst/>
        </a:prstGeom>
      </xdr:spPr>
    </xdr:sp>
    <xdr:clientData/>
  </xdr:twoCellAnchor>
  <xdr:twoCellAnchor editAs="oneCell">
    <xdr:from>
      <xdr:col>4</xdr:col>
      <xdr:colOff>0</xdr:colOff>
      <xdr:row>403</xdr:row>
      <xdr:rowOff>0</xdr:rowOff>
    </xdr:from>
    <xdr:to>
      <xdr:col>4</xdr:col>
      <xdr:colOff>152400</xdr:colOff>
      <xdr:row>403</xdr:row>
      <xdr:rowOff>152400</xdr:rowOff>
    </xdr:to>
    <xdr:pic>
      <xdr:nvPicPr>
        <xdr:cNvPr id="269" name="Picture 268" descr="Documents icon">
          <a:extLst>
            <a:ext uri="{FF2B5EF4-FFF2-40B4-BE49-F238E27FC236}">
              <a16:creationId xmlns:a16="http://schemas.microsoft.com/office/drawing/2014/main" xmlns="" id="{00000000-0008-0000-0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932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899</xdr:row>
      <xdr:rowOff>152400</xdr:rowOff>
    </xdr:from>
    <xdr:to>
      <xdr:col>3</xdr:col>
      <xdr:colOff>165100</xdr:colOff>
      <xdr:row>900</xdr:row>
      <xdr:rowOff>152400</xdr:rowOff>
    </xdr:to>
    <xdr:sp macro="" textlink="">
      <xdr:nvSpPr>
        <xdr:cNvPr id="7437" name="Control 269" hidden="1">
          <a:extLst>
            <a:ext uri="{63B3BB69-23CF-44E3-9099-C40C66FF867C}">
              <a14:compatExt xmlns:a14="http://schemas.microsoft.com/office/drawing/2010/main" spid="_x0000_s7437"/>
            </a:ext>
            <a:ext uri="{FF2B5EF4-FFF2-40B4-BE49-F238E27FC236}">
              <a16:creationId xmlns:a16="http://schemas.microsoft.com/office/drawing/2014/main" xmlns="" id="{00000000-0008-0000-0600-00000D1D0000}"/>
            </a:ext>
          </a:extLst>
        </xdr:cNvPr>
        <xdr:cNvSpPr/>
      </xdr:nvSpPr>
      <xdr:spPr>
        <a:xfrm>
          <a:off x="0" y="0"/>
          <a:ext cx="0" cy="0"/>
        </a:xfrm>
        <a:prstGeom prst="rect">
          <a:avLst/>
        </a:prstGeom>
      </xdr:spPr>
    </xdr:sp>
    <xdr:clientData/>
  </xdr:twoCellAnchor>
  <xdr:twoCellAnchor editAs="oneCell">
    <xdr:from>
      <xdr:col>4</xdr:col>
      <xdr:colOff>0</xdr:colOff>
      <xdr:row>406</xdr:row>
      <xdr:rowOff>0</xdr:rowOff>
    </xdr:from>
    <xdr:to>
      <xdr:col>4</xdr:col>
      <xdr:colOff>152400</xdr:colOff>
      <xdr:row>406</xdr:row>
      <xdr:rowOff>152400</xdr:rowOff>
    </xdr:to>
    <xdr:pic>
      <xdr:nvPicPr>
        <xdr:cNvPr id="271" name="Picture 270" descr="Documents icon">
          <a:extLst>
            <a:ext uri="{FF2B5EF4-FFF2-40B4-BE49-F238E27FC236}">
              <a16:creationId xmlns:a16="http://schemas.microsoft.com/office/drawing/2014/main" xmlns="" id="{00000000-0008-0000-0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475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906</xdr:row>
      <xdr:rowOff>114300</xdr:rowOff>
    </xdr:from>
    <xdr:to>
      <xdr:col>3</xdr:col>
      <xdr:colOff>165100</xdr:colOff>
      <xdr:row>907</xdr:row>
      <xdr:rowOff>114300</xdr:rowOff>
    </xdr:to>
    <xdr:sp macro="" textlink="">
      <xdr:nvSpPr>
        <xdr:cNvPr id="7439" name="Control 271" hidden="1">
          <a:extLst>
            <a:ext uri="{63B3BB69-23CF-44E3-9099-C40C66FF867C}">
              <a14:compatExt xmlns:a14="http://schemas.microsoft.com/office/drawing/2010/main" spid="_x0000_s7439"/>
            </a:ext>
            <a:ext uri="{FF2B5EF4-FFF2-40B4-BE49-F238E27FC236}">
              <a16:creationId xmlns:a16="http://schemas.microsoft.com/office/drawing/2014/main" xmlns="" id="{00000000-0008-0000-0600-00000F1D0000}"/>
            </a:ext>
          </a:extLst>
        </xdr:cNvPr>
        <xdr:cNvSpPr/>
      </xdr:nvSpPr>
      <xdr:spPr>
        <a:xfrm>
          <a:off x="0" y="0"/>
          <a:ext cx="0" cy="0"/>
        </a:xfrm>
        <a:prstGeom prst="rect">
          <a:avLst/>
        </a:prstGeom>
      </xdr:spPr>
    </xdr:sp>
    <xdr:clientData/>
  </xdr:twoCellAnchor>
  <xdr:twoCellAnchor editAs="oneCell">
    <xdr:from>
      <xdr:col>4</xdr:col>
      <xdr:colOff>0</xdr:colOff>
      <xdr:row>409</xdr:row>
      <xdr:rowOff>0</xdr:rowOff>
    </xdr:from>
    <xdr:to>
      <xdr:col>4</xdr:col>
      <xdr:colOff>152400</xdr:colOff>
      <xdr:row>409</xdr:row>
      <xdr:rowOff>152400</xdr:rowOff>
    </xdr:to>
    <xdr:pic>
      <xdr:nvPicPr>
        <xdr:cNvPr id="273" name="Picture 272" descr="Documents icon">
          <a:extLst>
            <a:ext uri="{FF2B5EF4-FFF2-40B4-BE49-F238E27FC236}">
              <a16:creationId xmlns:a16="http://schemas.microsoft.com/office/drawing/2014/main" xmlns="" id="{00000000-0008-0000-0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018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913</xdr:row>
      <xdr:rowOff>38100</xdr:rowOff>
    </xdr:from>
    <xdr:to>
      <xdr:col>3</xdr:col>
      <xdr:colOff>165100</xdr:colOff>
      <xdr:row>914</xdr:row>
      <xdr:rowOff>38100</xdr:rowOff>
    </xdr:to>
    <xdr:sp macro="" textlink="">
      <xdr:nvSpPr>
        <xdr:cNvPr id="7441" name="Control 273" hidden="1">
          <a:extLst>
            <a:ext uri="{63B3BB69-23CF-44E3-9099-C40C66FF867C}">
              <a14:compatExt xmlns:a14="http://schemas.microsoft.com/office/drawing/2010/main" spid="_x0000_s7441"/>
            </a:ext>
            <a:ext uri="{FF2B5EF4-FFF2-40B4-BE49-F238E27FC236}">
              <a16:creationId xmlns:a16="http://schemas.microsoft.com/office/drawing/2014/main" xmlns="" id="{00000000-0008-0000-0600-0000111D0000}"/>
            </a:ext>
          </a:extLst>
        </xdr:cNvPr>
        <xdr:cNvSpPr/>
      </xdr:nvSpPr>
      <xdr:spPr>
        <a:xfrm>
          <a:off x="0" y="0"/>
          <a:ext cx="0" cy="0"/>
        </a:xfrm>
        <a:prstGeom prst="rect">
          <a:avLst/>
        </a:prstGeom>
      </xdr:spPr>
    </xdr:sp>
    <xdr:clientData/>
  </xdr:twoCellAnchor>
  <xdr:twoCellAnchor editAs="oneCell">
    <xdr:from>
      <xdr:col>4</xdr:col>
      <xdr:colOff>0</xdr:colOff>
      <xdr:row>412</xdr:row>
      <xdr:rowOff>0</xdr:rowOff>
    </xdr:from>
    <xdr:to>
      <xdr:col>4</xdr:col>
      <xdr:colOff>152400</xdr:colOff>
      <xdr:row>412</xdr:row>
      <xdr:rowOff>152400</xdr:rowOff>
    </xdr:to>
    <xdr:pic>
      <xdr:nvPicPr>
        <xdr:cNvPr id="275" name="Picture 274" descr="Documents icon">
          <a:extLst>
            <a:ext uri="{FF2B5EF4-FFF2-40B4-BE49-F238E27FC236}">
              <a16:creationId xmlns:a16="http://schemas.microsoft.com/office/drawing/2014/main" xmlns="" id="{00000000-0008-0000-0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561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919</xdr:row>
      <xdr:rowOff>139700</xdr:rowOff>
    </xdr:from>
    <xdr:to>
      <xdr:col>3</xdr:col>
      <xdr:colOff>165100</xdr:colOff>
      <xdr:row>920</xdr:row>
      <xdr:rowOff>139700</xdr:rowOff>
    </xdr:to>
    <xdr:sp macro="" textlink="">
      <xdr:nvSpPr>
        <xdr:cNvPr id="7443" name="Control 275" hidden="1">
          <a:extLst>
            <a:ext uri="{63B3BB69-23CF-44E3-9099-C40C66FF867C}">
              <a14:compatExt xmlns:a14="http://schemas.microsoft.com/office/drawing/2010/main" spid="_x0000_s7443"/>
            </a:ext>
            <a:ext uri="{FF2B5EF4-FFF2-40B4-BE49-F238E27FC236}">
              <a16:creationId xmlns:a16="http://schemas.microsoft.com/office/drawing/2014/main" xmlns="" id="{00000000-0008-0000-0600-0000131D0000}"/>
            </a:ext>
          </a:extLst>
        </xdr:cNvPr>
        <xdr:cNvSpPr/>
      </xdr:nvSpPr>
      <xdr:spPr>
        <a:xfrm>
          <a:off x="0" y="0"/>
          <a:ext cx="0" cy="0"/>
        </a:xfrm>
        <a:prstGeom prst="rect">
          <a:avLst/>
        </a:prstGeom>
      </xdr:spPr>
    </xdr:sp>
    <xdr:clientData/>
  </xdr:twoCellAnchor>
  <xdr:twoCellAnchor editAs="oneCell">
    <xdr:from>
      <xdr:col>4</xdr:col>
      <xdr:colOff>0</xdr:colOff>
      <xdr:row>415</xdr:row>
      <xdr:rowOff>0</xdr:rowOff>
    </xdr:from>
    <xdr:to>
      <xdr:col>4</xdr:col>
      <xdr:colOff>152400</xdr:colOff>
      <xdr:row>415</xdr:row>
      <xdr:rowOff>152400</xdr:rowOff>
    </xdr:to>
    <xdr:pic>
      <xdr:nvPicPr>
        <xdr:cNvPr id="277" name="Picture 276" descr="Documents icon">
          <a:extLst>
            <a:ext uri="{FF2B5EF4-FFF2-40B4-BE49-F238E27FC236}">
              <a16:creationId xmlns:a16="http://schemas.microsoft.com/office/drawing/2014/main" xmlns="" id="{00000000-0008-0000-0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104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926</xdr:row>
      <xdr:rowOff>76200</xdr:rowOff>
    </xdr:from>
    <xdr:to>
      <xdr:col>3</xdr:col>
      <xdr:colOff>165100</xdr:colOff>
      <xdr:row>927</xdr:row>
      <xdr:rowOff>76200</xdr:rowOff>
    </xdr:to>
    <xdr:sp macro="" textlink="">
      <xdr:nvSpPr>
        <xdr:cNvPr id="7445" name="Control 277" hidden="1">
          <a:extLst>
            <a:ext uri="{63B3BB69-23CF-44E3-9099-C40C66FF867C}">
              <a14:compatExt xmlns:a14="http://schemas.microsoft.com/office/drawing/2010/main" spid="_x0000_s7445"/>
            </a:ext>
            <a:ext uri="{FF2B5EF4-FFF2-40B4-BE49-F238E27FC236}">
              <a16:creationId xmlns:a16="http://schemas.microsoft.com/office/drawing/2014/main" xmlns="" id="{00000000-0008-0000-0600-0000151D0000}"/>
            </a:ext>
          </a:extLst>
        </xdr:cNvPr>
        <xdr:cNvSpPr/>
      </xdr:nvSpPr>
      <xdr:spPr>
        <a:xfrm>
          <a:off x="0" y="0"/>
          <a:ext cx="0" cy="0"/>
        </a:xfrm>
        <a:prstGeom prst="rect">
          <a:avLst/>
        </a:prstGeom>
      </xdr:spPr>
    </xdr:sp>
    <xdr:clientData/>
  </xdr:twoCellAnchor>
  <xdr:twoCellAnchor editAs="oneCell">
    <xdr:from>
      <xdr:col>4</xdr:col>
      <xdr:colOff>0</xdr:colOff>
      <xdr:row>418</xdr:row>
      <xdr:rowOff>0</xdr:rowOff>
    </xdr:from>
    <xdr:to>
      <xdr:col>4</xdr:col>
      <xdr:colOff>152400</xdr:colOff>
      <xdr:row>418</xdr:row>
      <xdr:rowOff>152400</xdr:rowOff>
    </xdr:to>
    <xdr:pic>
      <xdr:nvPicPr>
        <xdr:cNvPr id="279" name="Picture 278" descr="Documents icon">
          <a:extLst>
            <a:ext uri="{FF2B5EF4-FFF2-40B4-BE49-F238E27FC236}">
              <a16:creationId xmlns:a16="http://schemas.microsoft.com/office/drawing/2014/main" xmlns="" id="{00000000-0008-0000-0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647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932</xdr:row>
      <xdr:rowOff>165100</xdr:rowOff>
    </xdr:from>
    <xdr:to>
      <xdr:col>3</xdr:col>
      <xdr:colOff>165100</xdr:colOff>
      <xdr:row>933</xdr:row>
      <xdr:rowOff>165100</xdr:rowOff>
    </xdr:to>
    <xdr:sp macro="" textlink="">
      <xdr:nvSpPr>
        <xdr:cNvPr id="7447" name="Control 279" hidden="1">
          <a:extLst>
            <a:ext uri="{63B3BB69-23CF-44E3-9099-C40C66FF867C}">
              <a14:compatExt xmlns:a14="http://schemas.microsoft.com/office/drawing/2010/main" spid="_x0000_s7447"/>
            </a:ext>
            <a:ext uri="{FF2B5EF4-FFF2-40B4-BE49-F238E27FC236}">
              <a16:creationId xmlns:a16="http://schemas.microsoft.com/office/drawing/2014/main" xmlns="" id="{00000000-0008-0000-0600-0000171D0000}"/>
            </a:ext>
          </a:extLst>
        </xdr:cNvPr>
        <xdr:cNvSpPr/>
      </xdr:nvSpPr>
      <xdr:spPr>
        <a:xfrm>
          <a:off x="0" y="0"/>
          <a:ext cx="0" cy="0"/>
        </a:xfrm>
        <a:prstGeom prst="rect">
          <a:avLst/>
        </a:prstGeom>
      </xdr:spPr>
    </xdr:sp>
    <xdr:clientData/>
  </xdr:twoCellAnchor>
  <xdr:twoCellAnchor editAs="oneCell">
    <xdr:from>
      <xdr:col>4</xdr:col>
      <xdr:colOff>0</xdr:colOff>
      <xdr:row>421</xdr:row>
      <xdr:rowOff>0</xdr:rowOff>
    </xdr:from>
    <xdr:to>
      <xdr:col>4</xdr:col>
      <xdr:colOff>152400</xdr:colOff>
      <xdr:row>421</xdr:row>
      <xdr:rowOff>152400</xdr:rowOff>
    </xdr:to>
    <xdr:pic>
      <xdr:nvPicPr>
        <xdr:cNvPr id="281" name="Picture 280" descr="Documents icon">
          <a:extLst>
            <a:ext uri="{FF2B5EF4-FFF2-40B4-BE49-F238E27FC236}">
              <a16:creationId xmlns:a16="http://schemas.microsoft.com/office/drawing/2014/main" xmlns="" id="{00000000-0008-0000-0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190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940</xdr:row>
      <xdr:rowOff>12700</xdr:rowOff>
    </xdr:from>
    <xdr:to>
      <xdr:col>3</xdr:col>
      <xdr:colOff>165100</xdr:colOff>
      <xdr:row>941</xdr:row>
      <xdr:rowOff>12700</xdr:rowOff>
    </xdr:to>
    <xdr:sp macro="" textlink="">
      <xdr:nvSpPr>
        <xdr:cNvPr id="7449" name="Control 281" hidden="1">
          <a:extLst>
            <a:ext uri="{63B3BB69-23CF-44E3-9099-C40C66FF867C}">
              <a14:compatExt xmlns:a14="http://schemas.microsoft.com/office/drawing/2010/main" spid="_x0000_s7449"/>
            </a:ext>
            <a:ext uri="{FF2B5EF4-FFF2-40B4-BE49-F238E27FC236}">
              <a16:creationId xmlns:a16="http://schemas.microsoft.com/office/drawing/2014/main" xmlns="" id="{00000000-0008-0000-0600-0000191D0000}"/>
            </a:ext>
          </a:extLst>
        </xdr:cNvPr>
        <xdr:cNvSpPr/>
      </xdr:nvSpPr>
      <xdr:spPr>
        <a:xfrm>
          <a:off x="0" y="0"/>
          <a:ext cx="0" cy="0"/>
        </a:xfrm>
        <a:prstGeom prst="rect">
          <a:avLst/>
        </a:prstGeom>
      </xdr:spPr>
    </xdr:sp>
    <xdr:clientData/>
  </xdr:twoCellAnchor>
  <xdr:twoCellAnchor editAs="oneCell">
    <xdr:from>
      <xdr:col>4</xdr:col>
      <xdr:colOff>0</xdr:colOff>
      <xdr:row>424</xdr:row>
      <xdr:rowOff>0</xdr:rowOff>
    </xdr:from>
    <xdr:to>
      <xdr:col>4</xdr:col>
      <xdr:colOff>152400</xdr:colOff>
      <xdr:row>424</xdr:row>
      <xdr:rowOff>152400</xdr:rowOff>
    </xdr:to>
    <xdr:pic>
      <xdr:nvPicPr>
        <xdr:cNvPr id="283" name="Picture 282" descr="Documents icon">
          <a:extLst>
            <a:ext uri="{FF2B5EF4-FFF2-40B4-BE49-F238E27FC236}">
              <a16:creationId xmlns:a16="http://schemas.microsoft.com/office/drawing/2014/main" xmlns="" id="{00000000-0008-0000-0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33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946</xdr:row>
      <xdr:rowOff>114300</xdr:rowOff>
    </xdr:from>
    <xdr:to>
      <xdr:col>3</xdr:col>
      <xdr:colOff>165100</xdr:colOff>
      <xdr:row>947</xdr:row>
      <xdr:rowOff>114300</xdr:rowOff>
    </xdr:to>
    <xdr:sp macro="" textlink="">
      <xdr:nvSpPr>
        <xdr:cNvPr id="7451" name="Control 283" hidden="1">
          <a:extLst>
            <a:ext uri="{63B3BB69-23CF-44E3-9099-C40C66FF867C}">
              <a14:compatExt xmlns:a14="http://schemas.microsoft.com/office/drawing/2010/main" spid="_x0000_s7451"/>
            </a:ext>
            <a:ext uri="{FF2B5EF4-FFF2-40B4-BE49-F238E27FC236}">
              <a16:creationId xmlns:a16="http://schemas.microsoft.com/office/drawing/2014/main" xmlns="" id="{00000000-0008-0000-0600-00001B1D0000}"/>
            </a:ext>
          </a:extLst>
        </xdr:cNvPr>
        <xdr:cNvSpPr/>
      </xdr:nvSpPr>
      <xdr:spPr>
        <a:xfrm>
          <a:off x="0" y="0"/>
          <a:ext cx="0" cy="0"/>
        </a:xfrm>
        <a:prstGeom prst="rect">
          <a:avLst/>
        </a:prstGeom>
      </xdr:spPr>
    </xdr:sp>
    <xdr:clientData/>
  </xdr:twoCellAnchor>
  <xdr:twoCellAnchor editAs="oneCell">
    <xdr:from>
      <xdr:col>4</xdr:col>
      <xdr:colOff>0</xdr:colOff>
      <xdr:row>427</xdr:row>
      <xdr:rowOff>0</xdr:rowOff>
    </xdr:from>
    <xdr:to>
      <xdr:col>4</xdr:col>
      <xdr:colOff>152400</xdr:colOff>
      <xdr:row>427</xdr:row>
      <xdr:rowOff>152400</xdr:rowOff>
    </xdr:to>
    <xdr:pic>
      <xdr:nvPicPr>
        <xdr:cNvPr id="285" name="Picture 284" descr="Documents icon">
          <a:extLst>
            <a:ext uri="{FF2B5EF4-FFF2-40B4-BE49-F238E27FC236}">
              <a16:creationId xmlns:a16="http://schemas.microsoft.com/office/drawing/2014/main" xmlns="" id="{00000000-0008-0000-0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76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952</xdr:row>
      <xdr:rowOff>165100</xdr:rowOff>
    </xdr:from>
    <xdr:to>
      <xdr:col>3</xdr:col>
      <xdr:colOff>165100</xdr:colOff>
      <xdr:row>953</xdr:row>
      <xdr:rowOff>165100</xdr:rowOff>
    </xdr:to>
    <xdr:sp macro="" textlink="">
      <xdr:nvSpPr>
        <xdr:cNvPr id="7453" name="Control 285" hidden="1">
          <a:extLst>
            <a:ext uri="{63B3BB69-23CF-44E3-9099-C40C66FF867C}">
              <a14:compatExt xmlns:a14="http://schemas.microsoft.com/office/drawing/2010/main" spid="_x0000_s7453"/>
            </a:ext>
            <a:ext uri="{FF2B5EF4-FFF2-40B4-BE49-F238E27FC236}">
              <a16:creationId xmlns:a16="http://schemas.microsoft.com/office/drawing/2014/main" xmlns="" id="{00000000-0008-0000-0600-00001D1D0000}"/>
            </a:ext>
          </a:extLst>
        </xdr:cNvPr>
        <xdr:cNvSpPr/>
      </xdr:nvSpPr>
      <xdr:spPr>
        <a:xfrm>
          <a:off x="0" y="0"/>
          <a:ext cx="0" cy="0"/>
        </a:xfrm>
        <a:prstGeom prst="rect">
          <a:avLst/>
        </a:prstGeom>
      </xdr:spPr>
    </xdr:sp>
    <xdr:clientData/>
  </xdr:twoCellAnchor>
  <xdr:twoCellAnchor editAs="oneCell">
    <xdr:from>
      <xdr:col>4</xdr:col>
      <xdr:colOff>0</xdr:colOff>
      <xdr:row>430</xdr:row>
      <xdr:rowOff>0</xdr:rowOff>
    </xdr:from>
    <xdr:to>
      <xdr:col>4</xdr:col>
      <xdr:colOff>152400</xdr:colOff>
      <xdr:row>430</xdr:row>
      <xdr:rowOff>152400</xdr:rowOff>
    </xdr:to>
    <xdr:pic>
      <xdr:nvPicPr>
        <xdr:cNvPr id="287" name="Picture 286" descr="Documents icon">
          <a:extLst>
            <a:ext uri="{FF2B5EF4-FFF2-40B4-BE49-F238E27FC236}">
              <a16:creationId xmlns:a16="http://schemas.microsoft.com/office/drawing/2014/main" xmlns="" id="{00000000-0008-0000-0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819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959</xdr:row>
      <xdr:rowOff>114300</xdr:rowOff>
    </xdr:from>
    <xdr:to>
      <xdr:col>3</xdr:col>
      <xdr:colOff>165100</xdr:colOff>
      <xdr:row>960</xdr:row>
      <xdr:rowOff>114300</xdr:rowOff>
    </xdr:to>
    <xdr:sp macro="" textlink="">
      <xdr:nvSpPr>
        <xdr:cNvPr id="7455" name="Control 287" hidden="1">
          <a:extLst>
            <a:ext uri="{63B3BB69-23CF-44E3-9099-C40C66FF867C}">
              <a14:compatExt xmlns:a14="http://schemas.microsoft.com/office/drawing/2010/main" spid="_x0000_s7455"/>
            </a:ext>
            <a:ext uri="{FF2B5EF4-FFF2-40B4-BE49-F238E27FC236}">
              <a16:creationId xmlns:a16="http://schemas.microsoft.com/office/drawing/2014/main" xmlns="" id="{00000000-0008-0000-0600-00001F1D0000}"/>
            </a:ext>
          </a:extLst>
        </xdr:cNvPr>
        <xdr:cNvSpPr/>
      </xdr:nvSpPr>
      <xdr:spPr>
        <a:xfrm>
          <a:off x="0" y="0"/>
          <a:ext cx="0" cy="0"/>
        </a:xfrm>
        <a:prstGeom prst="rect">
          <a:avLst/>
        </a:prstGeom>
      </xdr:spPr>
    </xdr:sp>
    <xdr:clientData/>
  </xdr:twoCellAnchor>
  <xdr:twoCellAnchor editAs="oneCell">
    <xdr:from>
      <xdr:col>4</xdr:col>
      <xdr:colOff>0</xdr:colOff>
      <xdr:row>433</xdr:row>
      <xdr:rowOff>0</xdr:rowOff>
    </xdr:from>
    <xdr:to>
      <xdr:col>4</xdr:col>
      <xdr:colOff>152400</xdr:colOff>
      <xdr:row>433</xdr:row>
      <xdr:rowOff>152400</xdr:rowOff>
    </xdr:to>
    <xdr:pic>
      <xdr:nvPicPr>
        <xdr:cNvPr id="289" name="Picture 288" descr="Documents icon">
          <a:extLst>
            <a:ext uri="{FF2B5EF4-FFF2-40B4-BE49-F238E27FC236}">
              <a16:creationId xmlns:a16="http://schemas.microsoft.com/office/drawing/2014/main" xmlns="" id="{00000000-0008-0000-0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362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966</xdr:row>
      <xdr:rowOff>12700</xdr:rowOff>
    </xdr:from>
    <xdr:to>
      <xdr:col>3</xdr:col>
      <xdr:colOff>165100</xdr:colOff>
      <xdr:row>967</xdr:row>
      <xdr:rowOff>12700</xdr:rowOff>
    </xdr:to>
    <xdr:sp macro="" textlink="">
      <xdr:nvSpPr>
        <xdr:cNvPr id="7457" name="Control 289" hidden="1">
          <a:extLst>
            <a:ext uri="{63B3BB69-23CF-44E3-9099-C40C66FF867C}">
              <a14:compatExt xmlns:a14="http://schemas.microsoft.com/office/drawing/2010/main" spid="_x0000_s7457"/>
            </a:ext>
            <a:ext uri="{FF2B5EF4-FFF2-40B4-BE49-F238E27FC236}">
              <a16:creationId xmlns:a16="http://schemas.microsoft.com/office/drawing/2014/main" xmlns="" id="{00000000-0008-0000-0600-0000211D0000}"/>
            </a:ext>
          </a:extLst>
        </xdr:cNvPr>
        <xdr:cNvSpPr/>
      </xdr:nvSpPr>
      <xdr:spPr>
        <a:xfrm>
          <a:off x="0" y="0"/>
          <a:ext cx="0" cy="0"/>
        </a:xfrm>
        <a:prstGeom prst="rect">
          <a:avLst/>
        </a:prstGeom>
      </xdr:spPr>
    </xdr:sp>
    <xdr:clientData/>
  </xdr:twoCellAnchor>
  <xdr:twoCellAnchor editAs="oneCell">
    <xdr:from>
      <xdr:col>4</xdr:col>
      <xdr:colOff>0</xdr:colOff>
      <xdr:row>436</xdr:row>
      <xdr:rowOff>0</xdr:rowOff>
    </xdr:from>
    <xdr:to>
      <xdr:col>4</xdr:col>
      <xdr:colOff>152400</xdr:colOff>
      <xdr:row>436</xdr:row>
      <xdr:rowOff>152400</xdr:rowOff>
    </xdr:to>
    <xdr:pic>
      <xdr:nvPicPr>
        <xdr:cNvPr id="291" name="Picture 290" descr="Documents icon">
          <a:extLst>
            <a:ext uri="{FF2B5EF4-FFF2-40B4-BE49-F238E27FC236}">
              <a16:creationId xmlns:a16="http://schemas.microsoft.com/office/drawing/2014/main" xmlns="" id="{00000000-0008-0000-0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05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973</xdr:row>
      <xdr:rowOff>25400</xdr:rowOff>
    </xdr:from>
    <xdr:to>
      <xdr:col>3</xdr:col>
      <xdr:colOff>165100</xdr:colOff>
      <xdr:row>974</xdr:row>
      <xdr:rowOff>25400</xdr:rowOff>
    </xdr:to>
    <xdr:sp macro="" textlink="">
      <xdr:nvSpPr>
        <xdr:cNvPr id="7459" name="Control 291" hidden="1">
          <a:extLst>
            <a:ext uri="{63B3BB69-23CF-44E3-9099-C40C66FF867C}">
              <a14:compatExt xmlns:a14="http://schemas.microsoft.com/office/drawing/2010/main" spid="_x0000_s7459"/>
            </a:ext>
            <a:ext uri="{FF2B5EF4-FFF2-40B4-BE49-F238E27FC236}">
              <a16:creationId xmlns:a16="http://schemas.microsoft.com/office/drawing/2014/main" xmlns="" id="{00000000-0008-0000-0600-0000231D0000}"/>
            </a:ext>
          </a:extLst>
        </xdr:cNvPr>
        <xdr:cNvSpPr/>
      </xdr:nvSpPr>
      <xdr:spPr>
        <a:xfrm>
          <a:off x="0" y="0"/>
          <a:ext cx="0" cy="0"/>
        </a:xfrm>
        <a:prstGeom prst="rect">
          <a:avLst/>
        </a:prstGeom>
      </xdr:spPr>
    </xdr:sp>
    <xdr:clientData/>
  </xdr:twoCellAnchor>
  <xdr:twoCellAnchor editAs="oneCell">
    <xdr:from>
      <xdr:col>4</xdr:col>
      <xdr:colOff>0</xdr:colOff>
      <xdr:row>439</xdr:row>
      <xdr:rowOff>0</xdr:rowOff>
    </xdr:from>
    <xdr:to>
      <xdr:col>4</xdr:col>
      <xdr:colOff>152400</xdr:colOff>
      <xdr:row>439</xdr:row>
      <xdr:rowOff>152400</xdr:rowOff>
    </xdr:to>
    <xdr:pic>
      <xdr:nvPicPr>
        <xdr:cNvPr id="293" name="Picture 292" descr="Documents icon">
          <a:extLst>
            <a:ext uri="{FF2B5EF4-FFF2-40B4-BE49-F238E27FC236}">
              <a16:creationId xmlns:a16="http://schemas.microsoft.com/office/drawing/2014/main" xmlns="" id="{00000000-0008-0000-0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448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979</xdr:row>
      <xdr:rowOff>114300</xdr:rowOff>
    </xdr:from>
    <xdr:to>
      <xdr:col>3</xdr:col>
      <xdr:colOff>165100</xdr:colOff>
      <xdr:row>980</xdr:row>
      <xdr:rowOff>114300</xdr:rowOff>
    </xdr:to>
    <xdr:sp macro="" textlink="">
      <xdr:nvSpPr>
        <xdr:cNvPr id="7461" name="Control 293" hidden="1">
          <a:extLst>
            <a:ext uri="{63B3BB69-23CF-44E3-9099-C40C66FF867C}">
              <a14:compatExt xmlns:a14="http://schemas.microsoft.com/office/drawing/2010/main" spid="_x0000_s7461"/>
            </a:ext>
            <a:ext uri="{FF2B5EF4-FFF2-40B4-BE49-F238E27FC236}">
              <a16:creationId xmlns:a16="http://schemas.microsoft.com/office/drawing/2014/main" xmlns="" id="{00000000-0008-0000-0600-0000251D0000}"/>
            </a:ext>
          </a:extLst>
        </xdr:cNvPr>
        <xdr:cNvSpPr/>
      </xdr:nvSpPr>
      <xdr:spPr>
        <a:xfrm>
          <a:off x="0" y="0"/>
          <a:ext cx="0" cy="0"/>
        </a:xfrm>
        <a:prstGeom prst="rect">
          <a:avLst/>
        </a:prstGeom>
      </xdr:spPr>
    </xdr:sp>
    <xdr:clientData/>
  </xdr:twoCellAnchor>
  <xdr:twoCellAnchor editAs="oneCell">
    <xdr:from>
      <xdr:col>4</xdr:col>
      <xdr:colOff>0</xdr:colOff>
      <xdr:row>442</xdr:row>
      <xdr:rowOff>0</xdr:rowOff>
    </xdr:from>
    <xdr:to>
      <xdr:col>4</xdr:col>
      <xdr:colOff>152400</xdr:colOff>
      <xdr:row>442</xdr:row>
      <xdr:rowOff>152400</xdr:rowOff>
    </xdr:to>
    <xdr:pic>
      <xdr:nvPicPr>
        <xdr:cNvPr id="295" name="Picture 294" descr="Documents icon">
          <a:extLst>
            <a:ext uri="{FF2B5EF4-FFF2-40B4-BE49-F238E27FC236}">
              <a16:creationId xmlns:a16="http://schemas.microsoft.com/office/drawing/2014/main" xmlns="" id="{00000000-0008-0000-0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990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986</xdr:row>
      <xdr:rowOff>114300</xdr:rowOff>
    </xdr:from>
    <xdr:to>
      <xdr:col>3</xdr:col>
      <xdr:colOff>165100</xdr:colOff>
      <xdr:row>987</xdr:row>
      <xdr:rowOff>114300</xdr:rowOff>
    </xdr:to>
    <xdr:sp macro="" textlink="">
      <xdr:nvSpPr>
        <xdr:cNvPr id="7463" name="Control 295" hidden="1">
          <a:extLst>
            <a:ext uri="{63B3BB69-23CF-44E3-9099-C40C66FF867C}">
              <a14:compatExt xmlns:a14="http://schemas.microsoft.com/office/drawing/2010/main" spid="_x0000_s7463"/>
            </a:ext>
            <a:ext uri="{FF2B5EF4-FFF2-40B4-BE49-F238E27FC236}">
              <a16:creationId xmlns:a16="http://schemas.microsoft.com/office/drawing/2014/main" xmlns="" id="{00000000-0008-0000-0600-0000271D0000}"/>
            </a:ext>
          </a:extLst>
        </xdr:cNvPr>
        <xdr:cNvSpPr/>
      </xdr:nvSpPr>
      <xdr:spPr>
        <a:xfrm>
          <a:off x="0" y="0"/>
          <a:ext cx="0" cy="0"/>
        </a:xfrm>
        <a:prstGeom prst="rect">
          <a:avLst/>
        </a:prstGeom>
      </xdr:spPr>
    </xdr:sp>
    <xdr:clientData/>
  </xdr:twoCellAnchor>
  <xdr:twoCellAnchor editAs="oneCell">
    <xdr:from>
      <xdr:col>4</xdr:col>
      <xdr:colOff>0</xdr:colOff>
      <xdr:row>445</xdr:row>
      <xdr:rowOff>0</xdr:rowOff>
    </xdr:from>
    <xdr:to>
      <xdr:col>4</xdr:col>
      <xdr:colOff>152400</xdr:colOff>
      <xdr:row>445</xdr:row>
      <xdr:rowOff>152400</xdr:rowOff>
    </xdr:to>
    <xdr:pic>
      <xdr:nvPicPr>
        <xdr:cNvPr id="297" name="Picture 296" descr="Documents icon">
          <a:extLst>
            <a:ext uri="{FF2B5EF4-FFF2-40B4-BE49-F238E27FC236}">
              <a16:creationId xmlns:a16="http://schemas.microsoft.com/office/drawing/2014/main" xmlns="" id="{00000000-0008-0000-0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533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992</xdr:row>
      <xdr:rowOff>177800</xdr:rowOff>
    </xdr:from>
    <xdr:to>
      <xdr:col>3</xdr:col>
      <xdr:colOff>165100</xdr:colOff>
      <xdr:row>993</xdr:row>
      <xdr:rowOff>177800</xdr:rowOff>
    </xdr:to>
    <xdr:sp macro="" textlink="">
      <xdr:nvSpPr>
        <xdr:cNvPr id="7465" name="Control 297" hidden="1">
          <a:extLst>
            <a:ext uri="{63B3BB69-23CF-44E3-9099-C40C66FF867C}">
              <a14:compatExt xmlns:a14="http://schemas.microsoft.com/office/drawing/2010/main" spid="_x0000_s7465"/>
            </a:ext>
            <a:ext uri="{FF2B5EF4-FFF2-40B4-BE49-F238E27FC236}">
              <a16:creationId xmlns:a16="http://schemas.microsoft.com/office/drawing/2014/main" xmlns="" id="{00000000-0008-0000-0600-0000291D0000}"/>
            </a:ext>
          </a:extLst>
        </xdr:cNvPr>
        <xdr:cNvSpPr/>
      </xdr:nvSpPr>
      <xdr:spPr>
        <a:xfrm>
          <a:off x="0" y="0"/>
          <a:ext cx="0" cy="0"/>
        </a:xfrm>
        <a:prstGeom prst="rect">
          <a:avLst/>
        </a:prstGeom>
      </xdr:spPr>
    </xdr:sp>
    <xdr:clientData/>
  </xdr:twoCellAnchor>
  <xdr:twoCellAnchor editAs="oneCell">
    <xdr:from>
      <xdr:col>4</xdr:col>
      <xdr:colOff>0</xdr:colOff>
      <xdr:row>448</xdr:row>
      <xdr:rowOff>0</xdr:rowOff>
    </xdr:from>
    <xdr:to>
      <xdr:col>4</xdr:col>
      <xdr:colOff>152400</xdr:colOff>
      <xdr:row>448</xdr:row>
      <xdr:rowOff>152400</xdr:rowOff>
    </xdr:to>
    <xdr:pic>
      <xdr:nvPicPr>
        <xdr:cNvPr id="299" name="Picture 298" descr="Documents icon">
          <a:extLst>
            <a:ext uri="{FF2B5EF4-FFF2-40B4-BE49-F238E27FC236}">
              <a16:creationId xmlns:a16="http://schemas.microsoft.com/office/drawing/2014/main" xmlns="" id="{00000000-0008-0000-0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76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999</xdr:row>
      <xdr:rowOff>88900</xdr:rowOff>
    </xdr:from>
    <xdr:to>
      <xdr:col>3</xdr:col>
      <xdr:colOff>165100</xdr:colOff>
      <xdr:row>1000</xdr:row>
      <xdr:rowOff>88900</xdr:rowOff>
    </xdr:to>
    <xdr:sp macro="" textlink="">
      <xdr:nvSpPr>
        <xdr:cNvPr id="7467" name="Control 299" hidden="1">
          <a:extLst>
            <a:ext uri="{63B3BB69-23CF-44E3-9099-C40C66FF867C}">
              <a14:compatExt xmlns:a14="http://schemas.microsoft.com/office/drawing/2010/main" spid="_x0000_s7467"/>
            </a:ext>
            <a:ext uri="{FF2B5EF4-FFF2-40B4-BE49-F238E27FC236}">
              <a16:creationId xmlns:a16="http://schemas.microsoft.com/office/drawing/2014/main" xmlns="" id="{00000000-0008-0000-0600-00002B1D0000}"/>
            </a:ext>
          </a:extLst>
        </xdr:cNvPr>
        <xdr:cNvSpPr/>
      </xdr:nvSpPr>
      <xdr:spPr>
        <a:xfrm>
          <a:off x="0" y="0"/>
          <a:ext cx="0" cy="0"/>
        </a:xfrm>
        <a:prstGeom prst="rect">
          <a:avLst/>
        </a:prstGeom>
      </xdr:spPr>
    </xdr:sp>
    <xdr:clientData/>
  </xdr:twoCellAnchor>
  <xdr:twoCellAnchor editAs="oneCell">
    <xdr:from>
      <xdr:col>4</xdr:col>
      <xdr:colOff>0</xdr:colOff>
      <xdr:row>451</xdr:row>
      <xdr:rowOff>0</xdr:rowOff>
    </xdr:from>
    <xdr:to>
      <xdr:col>4</xdr:col>
      <xdr:colOff>152400</xdr:colOff>
      <xdr:row>451</xdr:row>
      <xdr:rowOff>152400</xdr:rowOff>
    </xdr:to>
    <xdr:pic>
      <xdr:nvPicPr>
        <xdr:cNvPr id="301" name="Picture 300" descr="Documents icon">
          <a:extLst>
            <a:ext uri="{FF2B5EF4-FFF2-40B4-BE49-F238E27FC236}">
              <a16:creationId xmlns:a16="http://schemas.microsoft.com/office/drawing/2014/main" xmlns="" id="{00000000-0008-0000-0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619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1006</xdr:row>
      <xdr:rowOff>25400</xdr:rowOff>
    </xdr:from>
    <xdr:to>
      <xdr:col>3</xdr:col>
      <xdr:colOff>165100</xdr:colOff>
      <xdr:row>1007</xdr:row>
      <xdr:rowOff>25400</xdr:rowOff>
    </xdr:to>
    <xdr:sp macro="" textlink="">
      <xdr:nvSpPr>
        <xdr:cNvPr id="7469" name="Control 301" hidden="1">
          <a:extLst>
            <a:ext uri="{63B3BB69-23CF-44E3-9099-C40C66FF867C}">
              <a14:compatExt xmlns:a14="http://schemas.microsoft.com/office/drawing/2010/main" spid="_x0000_s7469"/>
            </a:ext>
            <a:ext uri="{FF2B5EF4-FFF2-40B4-BE49-F238E27FC236}">
              <a16:creationId xmlns:a16="http://schemas.microsoft.com/office/drawing/2014/main" xmlns="" id="{00000000-0008-0000-0600-00002D1D0000}"/>
            </a:ext>
          </a:extLst>
        </xdr:cNvPr>
        <xdr:cNvSpPr/>
      </xdr:nvSpPr>
      <xdr:spPr>
        <a:xfrm>
          <a:off x="0" y="0"/>
          <a:ext cx="0" cy="0"/>
        </a:xfrm>
        <a:prstGeom prst="rect">
          <a:avLst/>
        </a:prstGeom>
      </xdr:spPr>
    </xdr:sp>
    <xdr:clientData/>
  </xdr:twoCellAnchor>
  <xdr:twoCellAnchor editAs="oneCell">
    <xdr:from>
      <xdr:col>4</xdr:col>
      <xdr:colOff>0</xdr:colOff>
      <xdr:row>454</xdr:row>
      <xdr:rowOff>0</xdr:rowOff>
    </xdr:from>
    <xdr:to>
      <xdr:col>4</xdr:col>
      <xdr:colOff>152400</xdr:colOff>
      <xdr:row>454</xdr:row>
      <xdr:rowOff>152400</xdr:rowOff>
    </xdr:to>
    <xdr:pic>
      <xdr:nvPicPr>
        <xdr:cNvPr id="303" name="Picture 302" descr="Documents icon">
          <a:extLst>
            <a:ext uri="{FF2B5EF4-FFF2-40B4-BE49-F238E27FC236}">
              <a16:creationId xmlns:a16="http://schemas.microsoft.com/office/drawing/2014/main" xmlns="" id="{00000000-0008-0000-0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162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1012</xdr:row>
      <xdr:rowOff>165100</xdr:rowOff>
    </xdr:from>
    <xdr:to>
      <xdr:col>3</xdr:col>
      <xdr:colOff>165100</xdr:colOff>
      <xdr:row>1013</xdr:row>
      <xdr:rowOff>165100</xdr:rowOff>
    </xdr:to>
    <xdr:sp macro="" textlink="">
      <xdr:nvSpPr>
        <xdr:cNvPr id="7471" name="Control 303" hidden="1">
          <a:extLst>
            <a:ext uri="{63B3BB69-23CF-44E3-9099-C40C66FF867C}">
              <a14:compatExt xmlns:a14="http://schemas.microsoft.com/office/drawing/2010/main" spid="_x0000_s7471"/>
            </a:ext>
            <a:ext uri="{FF2B5EF4-FFF2-40B4-BE49-F238E27FC236}">
              <a16:creationId xmlns:a16="http://schemas.microsoft.com/office/drawing/2014/main" xmlns="" id="{00000000-0008-0000-0600-00002F1D0000}"/>
            </a:ext>
          </a:extLst>
        </xdr:cNvPr>
        <xdr:cNvSpPr/>
      </xdr:nvSpPr>
      <xdr:spPr>
        <a:xfrm>
          <a:off x="0" y="0"/>
          <a:ext cx="0" cy="0"/>
        </a:xfrm>
        <a:prstGeom prst="rect">
          <a:avLst/>
        </a:prstGeom>
      </xdr:spPr>
    </xdr:sp>
    <xdr:clientData/>
  </xdr:twoCellAnchor>
  <xdr:twoCellAnchor editAs="oneCell">
    <xdr:from>
      <xdr:col>4</xdr:col>
      <xdr:colOff>0</xdr:colOff>
      <xdr:row>457</xdr:row>
      <xdr:rowOff>0</xdr:rowOff>
    </xdr:from>
    <xdr:to>
      <xdr:col>4</xdr:col>
      <xdr:colOff>152400</xdr:colOff>
      <xdr:row>457</xdr:row>
      <xdr:rowOff>152400</xdr:rowOff>
    </xdr:to>
    <xdr:pic>
      <xdr:nvPicPr>
        <xdr:cNvPr id="305" name="Picture 304" descr="Documents icon">
          <a:extLst>
            <a:ext uri="{FF2B5EF4-FFF2-40B4-BE49-F238E27FC236}">
              <a16:creationId xmlns:a16="http://schemas.microsoft.com/office/drawing/2014/main" xmlns="" id="{00000000-0008-0000-0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05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1019</xdr:row>
      <xdr:rowOff>88900</xdr:rowOff>
    </xdr:from>
    <xdr:to>
      <xdr:col>3</xdr:col>
      <xdr:colOff>165100</xdr:colOff>
      <xdr:row>1020</xdr:row>
      <xdr:rowOff>88900</xdr:rowOff>
    </xdr:to>
    <xdr:sp macro="" textlink="">
      <xdr:nvSpPr>
        <xdr:cNvPr id="7473" name="Control 305" hidden="1">
          <a:extLst>
            <a:ext uri="{63B3BB69-23CF-44E3-9099-C40C66FF867C}">
              <a14:compatExt xmlns:a14="http://schemas.microsoft.com/office/drawing/2010/main" spid="_x0000_s7473"/>
            </a:ext>
            <a:ext uri="{FF2B5EF4-FFF2-40B4-BE49-F238E27FC236}">
              <a16:creationId xmlns:a16="http://schemas.microsoft.com/office/drawing/2014/main" xmlns="" id="{00000000-0008-0000-0600-0000311D0000}"/>
            </a:ext>
          </a:extLst>
        </xdr:cNvPr>
        <xdr:cNvSpPr/>
      </xdr:nvSpPr>
      <xdr:spPr>
        <a:xfrm>
          <a:off x="0" y="0"/>
          <a:ext cx="0" cy="0"/>
        </a:xfrm>
        <a:prstGeom prst="rect">
          <a:avLst/>
        </a:prstGeom>
      </xdr:spPr>
    </xdr:sp>
    <xdr:clientData/>
  </xdr:twoCellAnchor>
  <xdr:twoCellAnchor editAs="oneCell">
    <xdr:from>
      <xdr:col>4</xdr:col>
      <xdr:colOff>0</xdr:colOff>
      <xdr:row>460</xdr:row>
      <xdr:rowOff>0</xdr:rowOff>
    </xdr:from>
    <xdr:to>
      <xdr:col>4</xdr:col>
      <xdr:colOff>152400</xdr:colOff>
      <xdr:row>460</xdr:row>
      <xdr:rowOff>152400</xdr:rowOff>
    </xdr:to>
    <xdr:pic>
      <xdr:nvPicPr>
        <xdr:cNvPr id="307" name="Picture 306" descr="Documents icon">
          <a:extLst>
            <a:ext uri="{FF2B5EF4-FFF2-40B4-BE49-F238E27FC236}">
              <a16:creationId xmlns:a16="http://schemas.microsoft.com/office/drawing/2014/main" xmlns="" id="{00000000-0008-0000-0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2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1026</xdr:row>
      <xdr:rowOff>76200</xdr:rowOff>
    </xdr:from>
    <xdr:to>
      <xdr:col>3</xdr:col>
      <xdr:colOff>165100</xdr:colOff>
      <xdr:row>1027</xdr:row>
      <xdr:rowOff>76200</xdr:rowOff>
    </xdr:to>
    <xdr:sp macro="" textlink="">
      <xdr:nvSpPr>
        <xdr:cNvPr id="7475" name="Control 307" hidden="1">
          <a:extLst>
            <a:ext uri="{63B3BB69-23CF-44E3-9099-C40C66FF867C}">
              <a14:compatExt xmlns:a14="http://schemas.microsoft.com/office/drawing/2010/main" spid="_x0000_s7475"/>
            </a:ext>
            <a:ext uri="{FF2B5EF4-FFF2-40B4-BE49-F238E27FC236}">
              <a16:creationId xmlns:a16="http://schemas.microsoft.com/office/drawing/2014/main" xmlns="" id="{00000000-0008-0000-0600-0000331D0000}"/>
            </a:ext>
          </a:extLst>
        </xdr:cNvPr>
        <xdr:cNvSpPr/>
      </xdr:nvSpPr>
      <xdr:spPr>
        <a:xfrm>
          <a:off x="0" y="0"/>
          <a:ext cx="0" cy="0"/>
        </a:xfrm>
        <a:prstGeom prst="rect">
          <a:avLst/>
        </a:prstGeom>
      </xdr:spPr>
    </xdr:sp>
    <xdr:clientData/>
  </xdr:twoCellAnchor>
  <xdr:twoCellAnchor editAs="oneCell">
    <xdr:from>
      <xdr:col>4</xdr:col>
      <xdr:colOff>0</xdr:colOff>
      <xdr:row>463</xdr:row>
      <xdr:rowOff>0</xdr:rowOff>
    </xdr:from>
    <xdr:to>
      <xdr:col>4</xdr:col>
      <xdr:colOff>152400</xdr:colOff>
      <xdr:row>463</xdr:row>
      <xdr:rowOff>152400</xdr:rowOff>
    </xdr:to>
    <xdr:pic>
      <xdr:nvPicPr>
        <xdr:cNvPr id="309" name="Picture 308" descr="Documents icon">
          <a:extLst>
            <a:ext uri="{FF2B5EF4-FFF2-40B4-BE49-F238E27FC236}">
              <a16:creationId xmlns:a16="http://schemas.microsoft.com/office/drawing/2014/main" xmlns="" id="{00000000-0008-0000-0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791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1032</xdr:row>
      <xdr:rowOff>165100</xdr:rowOff>
    </xdr:from>
    <xdr:to>
      <xdr:col>3</xdr:col>
      <xdr:colOff>165100</xdr:colOff>
      <xdr:row>1033</xdr:row>
      <xdr:rowOff>165100</xdr:rowOff>
    </xdr:to>
    <xdr:sp macro="" textlink="">
      <xdr:nvSpPr>
        <xdr:cNvPr id="7477" name="Control 309" hidden="1">
          <a:extLst>
            <a:ext uri="{63B3BB69-23CF-44E3-9099-C40C66FF867C}">
              <a14:compatExt xmlns:a14="http://schemas.microsoft.com/office/drawing/2010/main" spid="_x0000_s7477"/>
            </a:ext>
            <a:ext uri="{FF2B5EF4-FFF2-40B4-BE49-F238E27FC236}">
              <a16:creationId xmlns:a16="http://schemas.microsoft.com/office/drawing/2014/main" xmlns="" id="{00000000-0008-0000-0600-0000351D0000}"/>
            </a:ext>
          </a:extLst>
        </xdr:cNvPr>
        <xdr:cNvSpPr/>
      </xdr:nvSpPr>
      <xdr:spPr>
        <a:xfrm>
          <a:off x="0" y="0"/>
          <a:ext cx="0" cy="0"/>
        </a:xfrm>
        <a:prstGeom prst="rect">
          <a:avLst/>
        </a:prstGeom>
      </xdr:spPr>
    </xdr:sp>
    <xdr:clientData/>
  </xdr:twoCellAnchor>
  <xdr:twoCellAnchor editAs="oneCell">
    <xdr:from>
      <xdr:col>4</xdr:col>
      <xdr:colOff>0</xdr:colOff>
      <xdr:row>466</xdr:row>
      <xdr:rowOff>0</xdr:rowOff>
    </xdr:from>
    <xdr:to>
      <xdr:col>4</xdr:col>
      <xdr:colOff>152400</xdr:colOff>
      <xdr:row>466</xdr:row>
      <xdr:rowOff>152400</xdr:rowOff>
    </xdr:to>
    <xdr:pic>
      <xdr:nvPicPr>
        <xdr:cNvPr id="311" name="Picture 310" descr="Documents icon">
          <a:extLst>
            <a:ext uri="{FF2B5EF4-FFF2-40B4-BE49-F238E27FC236}">
              <a16:creationId xmlns:a16="http://schemas.microsoft.com/office/drawing/2014/main" xmlns="" id="{00000000-0008-0000-0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334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1039</xdr:row>
      <xdr:rowOff>152400</xdr:rowOff>
    </xdr:from>
    <xdr:to>
      <xdr:col>3</xdr:col>
      <xdr:colOff>165100</xdr:colOff>
      <xdr:row>1040</xdr:row>
      <xdr:rowOff>152400</xdr:rowOff>
    </xdr:to>
    <xdr:sp macro="" textlink="">
      <xdr:nvSpPr>
        <xdr:cNvPr id="7479" name="Control 311" hidden="1">
          <a:extLst>
            <a:ext uri="{63B3BB69-23CF-44E3-9099-C40C66FF867C}">
              <a14:compatExt xmlns:a14="http://schemas.microsoft.com/office/drawing/2010/main" spid="_x0000_s7479"/>
            </a:ext>
            <a:ext uri="{FF2B5EF4-FFF2-40B4-BE49-F238E27FC236}">
              <a16:creationId xmlns:a16="http://schemas.microsoft.com/office/drawing/2014/main" xmlns="" id="{00000000-0008-0000-0600-0000371D0000}"/>
            </a:ext>
          </a:extLst>
        </xdr:cNvPr>
        <xdr:cNvSpPr/>
      </xdr:nvSpPr>
      <xdr:spPr>
        <a:xfrm>
          <a:off x="0" y="0"/>
          <a:ext cx="0" cy="0"/>
        </a:xfrm>
        <a:prstGeom prst="rect">
          <a:avLst/>
        </a:prstGeom>
      </xdr:spPr>
    </xdr:sp>
    <xdr:clientData/>
  </xdr:twoCellAnchor>
  <xdr:twoCellAnchor editAs="oneCell">
    <xdr:from>
      <xdr:col>4</xdr:col>
      <xdr:colOff>0</xdr:colOff>
      <xdr:row>469</xdr:row>
      <xdr:rowOff>0</xdr:rowOff>
    </xdr:from>
    <xdr:to>
      <xdr:col>4</xdr:col>
      <xdr:colOff>152400</xdr:colOff>
      <xdr:row>469</xdr:row>
      <xdr:rowOff>152400</xdr:rowOff>
    </xdr:to>
    <xdr:pic>
      <xdr:nvPicPr>
        <xdr:cNvPr id="313" name="Picture 312" descr="Documents icon">
          <a:extLst>
            <a:ext uri="{FF2B5EF4-FFF2-40B4-BE49-F238E27FC236}">
              <a16:creationId xmlns:a16="http://schemas.microsoft.com/office/drawing/2014/main" xmlns="" id="{00000000-0008-0000-0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77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1046</xdr:row>
      <xdr:rowOff>38100</xdr:rowOff>
    </xdr:from>
    <xdr:to>
      <xdr:col>3</xdr:col>
      <xdr:colOff>165100</xdr:colOff>
      <xdr:row>1047</xdr:row>
      <xdr:rowOff>38100</xdr:rowOff>
    </xdr:to>
    <xdr:sp macro="" textlink="">
      <xdr:nvSpPr>
        <xdr:cNvPr id="7481" name="Control 313" hidden="1">
          <a:extLst>
            <a:ext uri="{63B3BB69-23CF-44E3-9099-C40C66FF867C}">
              <a14:compatExt xmlns:a14="http://schemas.microsoft.com/office/drawing/2010/main" spid="_x0000_s7481"/>
            </a:ext>
            <a:ext uri="{FF2B5EF4-FFF2-40B4-BE49-F238E27FC236}">
              <a16:creationId xmlns:a16="http://schemas.microsoft.com/office/drawing/2014/main" xmlns="" id="{00000000-0008-0000-0600-0000391D0000}"/>
            </a:ext>
          </a:extLst>
        </xdr:cNvPr>
        <xdr:cNvSpPr/>
      </xdr:nvSpPr>
      <xdr:spPr>
        <a:xfrm>
          <a:off x="0" y="0"/>
          <a:ext cx="0" cy="0"/>
        </a:xfrm>
        <a:prstGeom prst="rect">
          <a:avLst/>
        </a:prstGeom>
      </xdr:spPr>
    </xdr:sp>
    <xdr:clientData/>
  </xdr:twoCellAnchor>
  <xdr:twoCellAnchor editAs="oneCell">
    <xdr:from>
      <xdr:col>4</xdr:col>
      <xdr:colOff>0</xdr:colOff>
      <xdr:row>472</xdr:row>
      <xdr:rowOff>0</xdr:rowOff>
    </xdr:from>
    <xdr:to>
      <xdr:col>4</xdr:col>
      <xdr:colOff>152400</xdr:colOff>
      <xdr:row>472</xdr:row>
      <xdr:rowOff>152400</xdr:rowOff>
    </xdr:to>
    <xdr:pic>
      <xdr:nvPicPr>
        <xdr:cNvPr id="315" name="Picture 314" descr="Documents icon">
          <a:extLst>
            <a:ext uri="{FF2B5EF4-FFF2-40B4-BE49-F238E27FC236}">
              <a16:creationId xmlns:a16="http://schemas.microsoft.com/office/drawing/2014/main" xmlns="" id="{00000000-0008-0000-0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420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1052</xdr:row>
      <xdr:rowOff>177800</xdr:rowOff>
    </xdr:from>
    <xdr:to>
      <xdr:col>3</xdr:col>
      <xdr:colOff>165100</xdr:colOff>
      <xdr:row>1053</xdr:row>
      <xdr:rowOff>177800</xdr:rowOff>
    </xdr:to>
    <xdr:sp macro="" textlink="">
      <xdr:nvSpPr>
        <xdr:cNvPr id="7483" name="Control 315" hidden="1">
          <a:extLst>
            <a:ext uri="{63B3BB69-23CF-44E3-9099-C40C66FF867C}">
              <a14:compatExt xmlns:a14="http://schemas.microsoft.com/office/drawing/2010/main" spid="_x0000_s7483"/>
            </a:ext>
            <a:ext uri="{FF2B5EF4-FFF2-40B4-BE49-F238E27FC236}">
              <a16:creationId xmlns:a16="http://schemas.microsoft.com/office/drawing/2014/main" xmlns="" id="{00000000-0008-0000-0600-00003B1D0000}"/>
            </a:ext>
          </a:extLst>
        </xdr:cNvPr>
        <xdr:cNvSpPr/>
      </xdr:nvSpPr>
      <xdr:spPr>
        <a:xfrm>
          <a:off x="0" y="0"/>
          <a:ext cx="0" cy="0"/>
        </a:xfrm>
        <a:prstGeom prst="rect">
          <a:avLst/>
        </a:prstGeom>
      </xdr:spPr>
    </xdr:sp>
    <xdr:clientData/>
  </xdr:twoCellAnchor>
  <xdr:twoCellAnchor editAs="oneCell">
    <xdr:from>
      <xdr:col>4</xdr:col>
      <xdr:colOff>0</xdr:colOff>
      <xdr:row>475</xdr:row>
      <xdr:rowOff>0</xdr:rowOff>
    </xdr:from>
    <xdr:to>
      <xdr:col>4</xdr:col>
      <xdr:colOff>152400</xdr:colOff>
      <xdr:row>475</xdr:row>
      <xdr:rowOff>152400</xdr:rowOff>
    </xdr:to>
    <xdr:pic>
      <xdr:nvPicPr>
        <xdr:cNvPr id="317" name="Picture 316" descr="Documents icon">
          <a:extLst>
            <a:ext uri="{FF2B5EF4-FFF2-40B4-BE49-F238E27FC236}">
              <a16:creationId xmlns:a16="http://schemas.microsoft.com/office/drawing/2014/main" xmlns="" id="{00000000-0008-0000-0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5963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1059</xdr:row>
      <xdr:rowOff>101600</xdr:rowOff>
    </xdr:from>
    <xdr:to>
      <xdr:col>3</xdr:col>
      <xdr:colOff>165100</xdr:colOff>
      <xdr:row>1060</xdr:row>
      <xdr:rowOff>101600</xdr:rowOff>
    </xdr:to>
    <xdr:sp macro="" textlink="">
      <xdr:nvSpPr>
        <xdr:cNvPr id="7485" name="Control 317" hidden="1">
          <a:extLst>
            <a:ext uri="{63B3BB69-23CF-44E3-9099-C40C66FF867C}">
              <a14:compatExt xmlns:a14="http://schemas.microsoft.com/office/drawing/2010/main" spid="_x0000_s7485"/>
            </a:ext>
            <a:ext uri="{FF2B5EF4-FFF2-40B4-BE49-F238E27FC236}">
              <a16:creationId xmlns:a16="http://schemas.microsoft.com/office/drawing/2014/main" xmlns="" id="{00000000-0008-0000-0600-00003D1D0000}"/>
            </a:ext>
          </a:extLst>
        </xdr:cNvPr>
        <xdr:cNvSpPr/>
      </xdr:nvSpPr>
      <xdr:spPr>
        <a:xfrm>
          <a:off x="0" y="0"/>
          <a:ext cx="0" cy="0"/>
        </a:xfrm>
        <a:prstGeom prst="rect">
          <a:avLst/>
        </a:prstGeom>
      </xdr:spPr>
    </xdr:sp>
    <xdr:clientData/>
  </xdr:twoCellAnchor>
  <xdr:twoCellAnchor editAs="oneCell">
    <xdr:from>
      <xdr:col>4</xdr:col>
      <xdr:colOff>0</xdr:colOff>
      <xdr:row>478</xdr:row>
      <xdr:rowOff>0</xdr:rowOff>
    </xdr:from>
    <xdr:to>
      <xdr:col>4</xdr:col>
      <xdr:colOff>152400</xdr:colOff>
      <xdr:row>478</xdr:row>
      <xdr:rowOff>152400</xdr:rowOff>
    </xdr:to>
    <xdr:pic>
      <xdr:nvPicPr>
        <xdr:cNvPr id="319" name="Picture 318" descr="Documents icon">
          <a:extLst>
            <a:ext uri="{FF2B5EF4-FFF2-40B4-BE49-F238E27FC236}">
              <a16:creationId xmlns:a16="http://schemas.microsoft.com/office/drawing/2014/main" xmlns="" id="{00000000-0008-0000-0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506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1066</xdr:row>
      <xdr:rowOff>12700</xdr:rowOff>
    </xdr:from>
    <xdr:to>
      <xdr:col>3</xdr:col>
      <xdr:colOff>165100</xdr:colOff>
      <xdr:row>1067</xdr:row>
      <xdr:rowOff>12700</xdr:rowOff>
    </xdr:to>
    <xdr:sp macro="" textlink="">
      <xdr:nvSpPr>
        <xdr:cNvPr id="7487" name="Control 319" hidden="1">
          <a:extLst>
            <a:ext uri="{63B3BB69-23CF-44E3-9099-C40C66FF867C}">
              <a14:compatExt xmlns:a14="http://schemas.microsoft.com/office/drawing/2010/main" spid="_x0000_s7487"/>
            </a:ext>
            <a:ext uri="{FF2B5EF4-FFF2-40B4-BE49-F238E27FC236}">
              <a16:creationId xmlns:a16="http://schemas.microsoft.com/office/drawing/2014/main" xmlns="" id="{00000000-0008-0000-0600-00003F1D0000}"/>
            </a:ext>
          </a:extLst>
        </xdr:cNvPr>
        <xdr:cNvSpPr/>
      </xdr:nvSpPr>
      <xdr:spPr>
        <a:xfrm>
          <a:off x="0" y="0"/>
          <a:ext cx="0" cy="0"/>
        </a:xfrm>
        <a:prstGeom prst="rect">
          <a:avLst/>
        </a:prstGeom>
      </xdr:spPr>
    </xdr:sp>
    <xdr:clientData/>
  </xdr:twoCellAnchor>
  <xdr:twoCellAnchor editAs="oneCell">
    <xdr:from>
      <xdr:col>4</xdr:col>
      <xdr:colOff>0</xdr:colOff>
      <xdr:row>481</xdr:row>
      <xdr:rowOff>0</xdr:rowOff>
    </xdr:from>
    <xdr:to>
      <xdr:col>4</xdr:col>
      <xdr:colOff>152400</xdr:colOff>
      <xdr:row>481</xdr:row>
      <xdr:rowOff>152400</xdr:rowOff>
    </xdr:to>
    <xdr:pic>
      <xdr:nvPicPr>
        <xdr:cNvPr id="321" name="Picture 320" descr="Documents icon">
          <a:extLst>
            <a:ext uri="{FF2B5EF4-FFF2-40B4-BE49-F238E27FC236}">
              <a16:creationId xmlns:a16="http://schemas.microsoft.com/office/drawing/2014/main" xmlns="" id="{00000000-0008-0000-0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048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1072</xdr:row>
      <xdr:rowOff>127000</xdr:rowOff>
    </xdr:from>
    <xdr:to>
      <xdr:col>3</xdr:col>
      <xdr:colOff>165100</xdr:colOff>
      <xdr:row>1073</xdr:row>
      <xdr:rowOff>127000</xdr:rowOff>
    </xdr:to>
    <xdr:sp macro="" textlink="">
      <xdr:nvSpPr>
        <xdr:cNvPr id="7489" name="Control 321" hidden="1">
          <a:extLst>
            <a:ext uri="{63B3BB69-23CF-44E3-9099-C40C66FF867C}">
              <a14:compatExt xmlns:a14="http://schemas.microsoft.com/office/drawing/2010/main" spid="_x0000_s7489"/>
            </a:ext>
            <a:ext uri="{FF2B5EF4-FFF2-40B4-BE49-F238E27FC236}">
              <a16:creationId xmlns:a16="http://schemas.microsoft.com/office/drawing/2014/main" xmlns="" id="{00000000-0008-0000-0600-0000411D0000}"/>
            </a:ext>
          </a:extLst>
        </xdr:cNvPr>
        <xdr:cNvSpPr/>
      </xdr:nvSpPr>
      <xdr:spPr>
        <a:xfrm>
          <a:off x="0" y="0"/>
          <a:ext cx="0" cy="0"/>
        </a:xfrm>
        <a:prstGeom prst="rect">
          <a:avLst/>
        </a:prstGeom>
      </xdr:spPr>
    </xdr:sp>
    <xdr:clientData/>
  </xdr:twoCellAnchor>
  <xdr:twoCellAnchor editAs="oneCell">
    <xdr:from>
      <xdr:col>4</xdr:col>
      <xdr:colOff>0</xdr:colOff>
      <xdr:row>484</xdr:row>
      <xdr:rowOff>0</xdr:rowOff>
    </xdr:from>
    <xdr:to>
      <xdr:col>4</xdr:col>
      <xdr:colOff>152400</xdr:colOff>
      <xdr:row>484</xdr:row>
      <xdr:rowOff>152400</xdr:rowOff>
    </xdr:to>
    <xdr:pic>
      <xdr:nvPicPr>
        <xdr:cNvPr id="323" name="Picture 322" descr="Documents icon">
          <a:extLst>
            <a:ext uri="{FF2B5EF4-FFF2-40B4-BE49-F238E27FC236}">
              <a16:creationId xmlns:a16="http://schemas.microsoft.com/office/drawing/2014/main" xmlns="" id="{00000000-0008-0000-0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91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1079</xdr:row>
      <xdr:rowOff>76200</xdr:rowOff>
    </xdr:from>
    <xdr:to>
      <xdr:col>3</xdr:col>
      <xdr:colOff>165100</xdr:colOff>
      <xdr:row>1080</xdr:row>
      <xdr:rowOff>76200</xdr:rowOff>
    </xdr:to>
    <xdr:sp macro="" textlink="">
      <xdr:nvSpPr>
        <xdr:cNvPr id="7491" name="Control 323" hidden="1">
          <a:extLst>
            <a:ext uri="{63B3BB69-23CF-44E3-9099-C40C66FF867C}">
              <a14:compatExt xmlns:a14="http://schemas.microsoft.com/office/drawing/2010/main" spid="_x0000_s7491"/>
            </a:ext>
            <a:ext uri="{FF2B5EF4-FFF2-40B4-BE49-F238E27FC236}">
              <a16:creationId xmlns:a16="http://schemas.microsoft.com/office/drawing/2014/main" xmlns="" id="{00000000-0008-0000-0600-0000431D0000}"/>
            </a:ext>
          </a:extLst>
        </xdr:cNvPr>
        <xdr:cNvSpPr/>
      </xdr:nvSpPr>
      <xdr:spPr>
        <a:xfrm>
          <a:off x="0" y="0"/>
          <a:ext cx="0" cy="0"/>
        </a:xfrm>
        <a:prstGeom prst="rect">
          <a:avLst/>
        </a:prstGeom>
      </xdr:spPr>
    </xdr:sp>
    <xdr:clientData/>
  </xdr:twoCellAnchor>
  <xdr:twoCellAnchor editAs="oneCell">
    <xdr:from>
      <xdr:col>4</xdr:col>
      <xdr:colOff>0</xdr:colOff>
      <xdr:row>487</xdr:row>
      <xdr:rowOff>0</xdr:rowOff>
    </xdr:from>
    <xdr:to>
      <xdr:col>4</xdr:col>
      <xdr:colOff>152400</xdr:colOff>
      <xdr:row>487</xdr:row>
      <xdr:rowOff>152400</xdr:rowOff>
    </xdr:to>
    <xdr:pic>
      <xdr:nvPicPr>
        <xdr:cNvPr id="325" name="Picture 324" descr="Documents icon">
          <a:extLst>
            <a:ext uri="{FF2B5EF4-FFF2-40B4-BE49-F238E27FC236}">
              <a16:creationId xmlns:a16="http://schemas.microsoft.com/office/drawing/2014/main" xmlns="" id="{00000000-0008-0000-0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134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1085</xdr:row>
      <xdr:rowOff>152400</xdr:rowOff>
    </xdr:from>
    <xdr:to>
      <xdr:col>3</xdr:col>
      <xdr:colOff>165100</xdr:colOff>
      <xdr:row>1086</xdr:row>
      <xdr:rowOff>152400</xdr:rowOff>
    </xdr:to>
    <xdr:sp macro="" textlink="">
      <xdr:nvSpPr>
        <xdr:cNvPr id="7493" name="Control 325" hidden="1">
          <a:extLst>
            <a:ext uri="{63B3BB69-23CF-44E3-9099-C40C66FF867C}">
              <a14:compatExt xmlns:a14="http://schemas.microsoft.com/office/drawing/2010/main" spid="_x0000_s7493"/>
            </a:ext>
            <a:ext uri="{FF2B5EF4-FFF2-40B4-BE49-F238E27FC236}">
              <a16:creationId xmlns:a16="http://schemas.microsoft.com/office/drawing/2014/main" xmlns="" id="{00000000-0008-0000-0600-0000451D0000}"/>
            </a:ext>
          </a:extLst>
        </xdr:cNvPr>
        <xdr:cNvSpPr/>
      </xdr:nvSpPr>
      <xdr:spPr>
        <a:xfrm>
          <a:off x="0" y="0"/>
          <a:ext cx="0" cy="0"/>
        </a:xfrm>
        <a:prstGeom prst="rect">
          <a:avLst/>
        </a:prstGeom>
      </xdr:spPr>
    </xdr:sp>
    <xdr:clientData/>
  </xdr:twoCellAnchor>
  <xdr:twoCellAnchor editAs="oneCell">
    <xdr:from>
      <xdr:col>4</xdr:col>
      <xdr:colOff>0</xdr:colOff>
      <xdr:row>490</xdr:row>
      <xdr:rowOff>0</xdr:rowOff>
    </xdr:from>
    <xdr:to>
      <xdr:col>4</xdr:col>
      <xdr:colOff>152400</xdr:colOff>
      <xdr:row>490</xdr:row>
      <xdr:rowOff>152400</xdr:rowOff>
    </xdr:to>
    <xdr:pic>
      <xdr:nvPicPr>
        <xdr:cNvPr id="327" name="Picture 326" descr="Documents icon">
          <a:extLst>
            <a:ext uri="{FF2B5EF4-FFF2-40B4-BE49-F238E27FC236}">
              <a16:creationId xmlns:a16="http://schemas.microsoft.com/office/drawing/2014/main" xmlns="" id="{00000000-0008-0000-0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677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1092</xdr:row>
      <xdr:rowOff>114300</xdr:rowOff>
    </xdr:from>
    <xdr:to>
      <xdr:col>3</xdr:col>
      <xdr:colOff>165100</xdr:colOff>
      <xdr:row>1093</xdr:row>
      <xdr:rowOff>114300</xdr:rowOff>
    </xdr:to>
    <xdr:sp macro="" textlink="">
      <xdr:nvSpPr>
        <xdr:cNvPr id="7495" name="Control 327" hidden="1">
          <a:extLst>
            <a:ext uri="{63B3BB69-23CF-44E3-9099-C40C66FF867C}">
              <a14:compatExt xmlns:a14="http://schemas.microsoft.com/office/drawing/2010/main" spid="_x0000_s7495"/>
            </a:ext>
            <a:ext uri="{FF2B5EF4-FFF2-40B4-BE49-F238E27FC236}">
              <a16:creationId xmlns:a16="http://schemas.microsoft.com/office/drawing/2014/main" xmlns="" id="{00000000-0008-0000-0600-0000471D0000}"/>
            </a:ext>
          </a:extLst>
        </xdr:cNvPr>
        <xdr:cNvSpPr/>
      </xdr:nvSpPr>
      <xdr:spPr>
        <a:xfrm>
          <a:off x="0" y="0"/>
          <a:ext cx="0" cy="0"/>
        </a:xfrm>
        <a:prstGeom prst="rect">
          <a:avLst/>
        </a:prstGeom>
      </xdr:spPr>
    </xdr:sp>
    <xdr:clientData/>
  </xdr:twoCellAnchor>
  <xdr:twoCellAnchor editAs="oneCell">
    <xdr:from>
      <xdr:col>4</xdr:col>
      <xdr:colOff>0</xdr:colOff>
      <xdr:row>493</xdr:row>
      <xdr:rowOff>0</xdr:rowOff>
    </xdr:from>
    <xdr:to>
      <xdr:col>4</xdr:col>
      <xdr:colOff>152400</xdr:colOff>
      <xdr:row>493</xdr:row>
      <xdr:rowOff>152400</xdr:rowOff>
    </xdr:to>
    <xdr:pic>
      <xdr:nvPicPr>
        <xdr:cNvPr id="329" name="Picture 328" descr="Documents icon">
          <a:extLst>
            <a:ext uri="{FF2B5EF4-FFF2-40B4-BE49-F238E27FC236}">
              <a16:creationId xmlns:a16="http://schemas.microsoft.com/office/drawing/2014/main" xmlns="" id="{00000000-0008-0000-0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220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1099</xdr:row>
      <xdr:rowOff>38100</xdr:rowOff>
    </xdr:from>
    <xdr:to>
      <xdr:col>3</xdr:col>
      <xdr:colOff>165100</xdr:colOff>
      <xdr:row>1100</xdr:row>
      <xdr:rowOff>38100</xdr:rowOff>
    </xdr:to>
    <xdr:sp macro="" textlink="">
      <xdr:nvSpPr>
        <xdr:cNvPr id="7497" name="Control 329" hidden="1">
          <a:extLst>
            <a:ext uri="{63B3BB69-23CF-44E3-9099-C40C66FF867C}">
              <a14:compatExt xmlns:a14="http://schemas.microsoft.com/office/drawing/2010/main" spid="_x0000_s7497"/>
            </a:ext>
            <a:ext uri="{FF2B5EF4-FFF2-40B4-BE49-F238E27FC236}">
              <a16:creationId xmlns:a16="http://schemas.microsoft.com/office/drawing/2014/main" xmlns="" id="{00000000-0008-0000-0600-0000491D0000}"/>
            </a:ext>
          </a:extLst>
        </xdr:cNvPr>
        <xdr:cNvSpPr/>
      </xdr:nvSpPr>
      <xdr:spPr>
        <a:xfrm>
          <a:off x="0" y="0"/>
          <a:ext cx="0" cy="0"/>
        </a:xfrm>
        <a:prstGeom prst="rect">
          <a:avLst/>
        </a:prstGeom>
      </xdr:spPr>
    </xdr:sp>
    <xdr:clientData/>
  </xdr:twoCellAnchor>
  <xdr:twoCellAnchor editAs="oneCell">
    <xdr:from>
      <xdr:col>4</xdr:col>
      <xdr:colOff>0</xdr:colOff>
      <xdr:row>496</xdr:row>
      <xdr:rowOff>0</xdr:rowOff>
    </xdr:from>
    <xdr:to>
      <xdr:col>4</xdr:col>
      <xdr:colOff>152400</xdr:colOff>
      <xdr:row>496</xdr:row>
      <xdr:rowOff>152400</xdr:rowOff>
    </xdr:to>
    <xdr:pic>
      <xdr:nvPicPr>
        <xdr:cNvPr id="331" name="Picture 330" descr="Documents icon">
          <a:extLst>
            <a:ext uri="{FF2B5EF4-FFF2-40B4-BE49-F238E27FC236}">
              <a16:creationId xmlns:a16="http://schemas.microsoft.com/office/drawing/2014/main" xmlns="" id="{00000000-0008-0000-0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763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1106</xdr:row>
      <xdr:rowOff>12700</xdr:rowOff>
    </xdr:from>
    <xdr:to>
      <xdr:col>3</xdr:col>
      <xdr:colOff>165100</xdr:colOff>
      <xdr:row>1107</xdr:row>
      <xdr:rowOff>12700</xdr:rowOff>
    </xdr:to>
    <xdr:sp macro="" textlink="">
      <xdr:nvSpPr>
        <xdr:cNvPr id="7499" name="Control 331" hidden="1">
          <a:extLst>
            <a:ext uri="{63B3BB69-23CF-44E3-9099-C40C66FF867C}">
              <a14:compatExt xmlns:a14="http://schemas.microsoft.com/office/drawing/2010/main" spid="_x0000_s7499"/>
            </a:ext>
            <a:ext uri="{FF2B5EF4-FFF2-40B4-BE49-F238E27FC236}">
              <a16:creationId xmlns:a16="http://schemas.microsoft.com/office/drawing/2014/main" xmlns="" id="{00000000-0008-0000-0600-00004B1D0000}"/>
            </a:ext>
          </a:extLst>
        </xdr:cNvPr>
        <xdr:cNvSpPr/>
      </xdr:nvSpPr>
      <xdr:spPr>
        <a:xfrm>
          <a:off x="0" y="0"/>
          <a:ext cx="0" cy="0"/>
        </a:xfrm>
        <a:prstGeom prst="rect">
          <a:avLst/>
        </a:prstGeom>
      </xdr:spPr>
    </xdr:sp>
    <xdr:clientData/>
  </xdr:twoCellAnchor>
  <xdr:twoCellAnchor editAs="oneCell">
    <xdr:from>
      <xdr:col>4</xdr:col>
      <xdr:colOff>0</xdr:colOff>
      <xdr:row>499</xdr:row>
      <xdr:rowOff>0</xdr:rowOff>
    </xdr:from>
    <xdr:to>
      <xdr:col>4</xdr:col>
      <xdr:colOff>152400</xdr:colOff>
      <xdr:row>499</xdr:row>
      <xdr:rowOff>152400</xdr:rowOff>
    </xdr:to>
    <xdr:pic>
      <xdr:nvPicPr>
        <xdr:cNvPr id="333" name="Picture 332" descr="Documents icon">
          <a:extLst>
            <a:ext uri="{FF2B5EF4-FFF2-40B4-BE49-F238E27FC236}">
              <a16:creationId xmlns:a16="http://schemas.microsoft.com/office/drawing/2014/main" xmlns="" id="{00000000-0008-0000-0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06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1112</xdr:row>
      <xdr:rowOff>127000</xdr:rowOff>
    </xdr:from>
    <xdr:to>
      <xdr:col>3</xdr:col>
      <xdr:colOff>165100</xdr:colOff>
      <xdr:row>1113</xdr:row>
      <xdr:rowOff>127000</xdr:rowOff>
    </xdr:to>
    <xdr:sp macro="" textlink="">
      <xdr:nvSpPr>
        <xdr:cNvPr id="7501" name="Control 333" hidden="1">
          <a:extLst>
            <a:ext uri="{63B3BB69-23CF-44E3-9099-C40C66FF867C}">
              <a14:compatExt xmlns:a14="http://schemas.microsoft.com/office/drawing/2010/main" spid="_x0000_s7501"/>
            </a:ext>
            <a:ext uri="{FF2B5EF4-FFF2-40B4-BE49-F238E27FC236}">
              <a16:creationId xmlns:a16="http://schemas.microsoft.com/office/drawing/2014/main" xmlns="" id="{00000000-0008-0000-0600-00004D1D0000}"/>
            </a:ext>
          </a:extLst>
        </xdr:cNvPr>
        <xdr:cNvSpPr/>
      </xdr:nvSpPr>
      <xdr:spPr>
        <a:xfrm>
          <a:off x="0" y="0"/>
          <a:ext cx="0" cy="0"/>
        </a:xfrm>
        <a:prstGeom prst="rect">
          <a:avLst/>
        </a:prstGeom>
      </xdr:spPr>
    </xdr:sp>
    <xdr:clientData/>
  </xdr:twoCellAnchor>
  <xdr:twoCellAnchor editAs="oneCell">
    <xdr:from>
      <xdr:col>4</xdr:col>
      <xdr:colOff>0</xdr:colOff>
      <xdr:row>502</xdr:row>
      <xdr:rowOff>0</xdr:rowOff>
    </xdr:from>
    <xdr:to>
      <xdr:col>4</xdr:col>
      <xdr:colOff>152400</xdr:colOff>
      <xdr:row>502</xdr:row>
      <xdr:rowOff>152400</xdr:rowOff>
    </xdr:to>
    <xdr:pic>
      <xdr:nvPicPr>
        <xdr:cNvPr id="335" name="Picture 334" descr="Documents icon">
          <a:extLst>
            <a:ext uri="{FF2B5EF4-FFF2-40B4-BE49-F238E27FC236}">
              <a16:creationId xmlns:a16="http://schemas.microsoft.com/office/drawing/2014/main" xmlns="" id="{00000000-0008-0000-0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849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1119</xdr:row>
      <xdr:rowOff>25400</xdr:rowOff>
    </xdr:from>
    <xdr:to>
      <xdr:col>3</xdr:col>
      <xdr:colOff>165100</xdr:colOff>
      <xdr:row>1120</xdr:row>
      <xdr:rowOff>25400</xdr:rowOff>
    </xdr:to>
    <xdr:sp macro="" textlink="">
      <xdr:nvSpPr>
        <xdr:cNvPr id="7503" name="Control 335" hidden="1">
          <a:extLst>
            <a:ext uri="{63B3BB69-23CF-44E3-9099-C40C66FF867C}">
              <a14:compatExt xmlns:a14="http://schemas.microsoft.com/office/drawing/2010/main" spid="_x0000_s7503"/>
            </a:ext>
            <a:ext uri="{FF2B5EF4-FFF2-40B4-BE49-F238E27FC236}">
              <a16:creationId xmlns:a16="http://schemas.microsoft.com/office/drawing/2014/main" xmlns="" id="{00000000-0008-0000-0600-00004F1D0000}"/>
            </a:ext>
          </a:extLst>
        </xdr:cNvPr>
        <xdr:cNvSpPr/>
      </xdr:nvSpPr>
      <xdr:spPr>
        <a:xfrm>
          <a:off x="0" y="0"/>
          <a:ext cx="0" cy="0"/>
        </a:xfrm>
        <a:prstGeom prst="rect">
          <a:avLst/>
        </a:prstGeom>
      </xdr:spPr>
    </xdr:sp>
    <xdr:clientData/>
  </xdr:twoCellAnchor>
  <xdr:twoCellAnchor editAs="oneCell">
    <xdr:from>
      <xdr:col>4</xdr:col>
      <xdr:colOff>0</xdr:colOff>
      <xdr:row>505</xdr:row>
      <xdr:rowOff>0</xdr:rowOff>
    </xdr:from>
    <xdr:to>
      <xdr:col>4</xdr:col>
      <xdr:colOff>152400</xdr:colOff>
      <xdr:row>505</xdr:row>
      <xdr:rowOff>152400</xdr:rowOff>
    </xdr:to>
    <xdr:pic>
      <xdr:nvPicPr>
        <xdr:cNvPr id="337" name="Picture 336" descr="Documents icon">
          <a:extLst>
            <a:ext uri="{FF2B5EF4-FFF2-40B4-BE49-F238E27FC236}">
              <a16:creationId xmlns:a16="http://schemas.microsoft.com/office/drawing/2014/main" xmlns="" id="{00000000-0008-0000-0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392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1126</xdr:row>
      <xdr:rowOff>25400</xdr:rowOff>
    </xdr:from>
    <xdr:to>
      <xdr:col>3</xdr:col>
      <xdr:colOff>165100</xdr:colOff>
      <xdr:row>1127</xdr:row>
      <xdr:rowOff>25400</xdr:rowOff>
    </xdr:to>
    <xdr:sp macro="" textlink="">
      <xdr:nvSpPr>
        <xdr:cNvPr id="7505" name="Control 337" hidden="1">
          <a:extLst>
            <a:ext uri="{63B3BB69-23CF-44E3-9099-C40C66FF867C}">
              <a14:compatExt xmlns:a14="http://schemas.microsoft.com/office/drawing/2010/main" spid="_x0000_s7505"/>
            </a:ext>
            <a:ext uri="{FF2B5EF4-FFF2-40B4-BE49-F238E27FC236}">
              <a16:creationId xmlns:a16="http://schemas.microsoft.com/office/drawing/2014/main" xmlns="" id="{00000000-0008-0000-0600-0000511D0000}"/>
            </a:ext>
          </a:extLst>
        </xdr:cNvPr>
        <xdr:cNvSpPr/>
      </xdr:nvSpPr>
      <xdr:spPr>
        <a:xfrm>
          <a:off x="0" y="0"/>
          <a:ext cx="0" cy="0"/>
        </a:xfrm>
        <a:prstGeom prst="rect">
          <a:avLst/>
        </a:prstGeom>
      </xdr:spPr>
    </xdr:sp>
    <xdr:clientData/>
  </xdr:twoCellAnchor>
  <xdr:twoCellAnchor editAs="oneCell">
    <xdr:from>
      <xdr:col>4</xdr:col>
      <xdr:colOff>0</xdr:colOff>
      <xdr:row>508</xdr:row>
      <xdr:rowOff>0</xdr:rowOff>
    </xdr:from>
    <xdr:to>
      <xdr:col>4</xdr:col>
      <xdr:colOff>152400</xdr:colOff>
      <xdr:row>508</xdr:row>
      <xdr:rowOff>152400</xdr:rowOff>
    </xdr:to>
    <xdr:pic>
      <xdr:nvPicPr>
        <xdr:cNvPr id="339" name="Picture 338" descr="Documents icon">
          <a:extLst>
            <a:ext uri="{FF2B5EF4-FFF2-40B4-BE49-F238E27FC236}">
              <a16:creationId xmlns:a16="http://schemas.microsoft.com/office/drawing/2014/main" xmlns="" id="{00000000-0008-0000-0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1935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1132</xdr:row>
      <xdr:rowOff>114300</xdr:rowOff>
    </xdr:from>
    <xdr:to>
      <xdr:col>3</xdr:col>
      <xdr:colOff>165100</xdr:colOff>
      <xdr:row>1133</xdr:row>
      <xdr:rowOff>114300</xdr:rowOff>
    </xdr:to>
    <xdr:sp macro="" textlink="">
      <xdr:nvSpPr>
        <xdr:cNvPr id="7507" name="Control 339" hidden="1">
          <a:extLst>
            <a:ext uri="{63B3BB69-23CF-44E3-9099-C40C66FF867C}">
              <a14:compatExt xmlns:a14="http://schemas.microsoft.com/office/drawing/2010/main" spid="_x0000_s7507"/>
            </a:ext>
            <a:ext uri="{FF2B5EF4-FFF2-40B4-BE49-F238E27FC236}">
              <a16:creationId xmlns:a16="http://schemas.microsoft.com/office/drawing/2014/main" xmlns="" id="{00000000-0008-0000-0600-0000531D0000}"/>
            </a:ext>
          </a:extLst>
        </xdr:cNvPr>
        <xdr:cNvSpPr/>
      </xdr:nvSpPr>
      <xdr:spPr>
        <a:xfrm>
          <a:off x="0" y="0"/>
          <a:ext cx="0" cy="0"/>
        </a:xfrm>
        <a:prstGeom prst="rect">
          <a:avLst/>
        </a:prstGeom>
      </xdr:spPr>
    </xdr:sp>
    <xdr:clientData/>
  </xdr:twoCellAnchor>
  <xdr:twoCellAnchor editAs="oneCell">
    <xdr:from>
      <xdr:col>4</xdr:col>
      <xdr:colOff>0</xdr:colOff>
      <xdr:row>511</xdr:row>
      <xdr:rowOff>0</xdr:rowOff>
    </xdr:from>
    <xdr:to>
      <xdr:col>4</xdr:col>
      <xdr:colOff>152400</xdr:colOff>
      <xdr:row>511</xdr:row>
      <xdr:rowOff>152400</xdr:rowOff>
    </xdr:to>
    <xdr:pic>
      <xdr:nvPicPr>
        <xdr:cNvPr id="341" name="Picture 340" descr="Documents icon">
          <a:extLst>
            <a:ext uri="{FF2B5EF4-FFF2-40B4-BE49-F238E27FC236}">
              <a16:creationId xmlns:a16="http://schemas.microsoft.com/office/drawing/2014/main" xmlns="" id="{00000000-0008-0000-0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78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1139</xdr:row>
      <xdr:rowOff>25400</xdr:rowOff>
    </xdr:from>
    <xdr:to>
      <xdr:col>3</xdr:col>
      <xdr:colOff>165100</xdr:colOff>
      <xdr:row>1140</xdr:row>
      <xdr:rowOff>25400</xdr:rowOff>
    </xdr:to>
    <xdr:sp macro="" textlink="">
      <xdr:nvSpPr>
        <xdr:cNvPr id="7509" name="Control 341" hidden="1">
          <a:extLst>
            <a:ext uri="{63B3BB69-23CF-44E3-9099-C40C66FF867C}">
              <a14:compatExt xmlns:a14="http://schemas.microsoft.com/office/drawing/2010/main" spid="_x0000_s7509"/>
            </a:ext>
            <a:ext uri="{FF2B5EF4-FFF2-40B4-BE49-F238E27FC236}">
              <a16:creationId xmlns:a16="http://schemas.microsoft.com/office/drawing/2014/main" xmlns="" id="{00000000-0008-0000-0600-0000551D0000}"/>
            </a:ext>
          </a:extLst>
        </xdr:cNvPr>
        <xdr:cNvSpPr/>
      </xdr:nvSpPr>
      <xdr:spPr>
        <a:xfrm>
          <a:off x="0" y="0"/>
          <a:ext cx="0" cy="0"/>
        </a:xfrm>
        <a:prstGeom prst="rect">
          <a:avLst/>
        </a:prstGeom>
      </xdr:spPr>
    </xdr:sp>
    <xdr:clientData/>
  </xdr:twoCellAnchor>
  <xdr:twoCellAnchor editAs="oneCell">
    <xdr:from>
      <xdr:col>4</xdr:col>
      <xdr:colOff>0</xdr:colOff>
      <xdr:row>514</xdr:row>
      <xdr:rowOff>0</xdr:rowOff>
    </xdr:from>
    <xdr:to>
      <xdr:col>4</xdr:col>
      <xdr:colOff>152400</xdr:colOff>
      <xdr:row>514</xdr:row>
      <xdr:rowOff>152400</xdr:rowOff>
    </xdr:to>
    <xdr:pic>
      <xdr:nvPicPr>
        <xdr:cNvPr id="343" name="Picture 342" descr="Documents icon">
          <a:extLst>
            <a:ext uri="{FF2B5EF4-FFF2-40B4-BE49-F238E27FC236}">
              <a16:creationId xmlns:a16="http://schemas.microsoft.com/office/drawing/2014/main" xmlns="" id="{00000000-0008-0000-0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021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1146</xdr:row>
      <xdr:rowOff>25400</xdr:rowOff>
    </xdr:from>
    <xdr:to>
      <xdr:col>3</xdr:col>
      <xdr:colOff>165100</xdr:colOff>
      <xdr:row>1147</xdr:row>
      <xdr:rowOff>25400</xdr:rowOff>
    </xdr:to>
    <xdr:sp macro="" textlink="">
      <xdr:nvSpPr>
        <xdr:cNvPr id="7511" name="Control 343" hidden="1">
          <a:extLst>
            <a:ext uri="{63B3BB69-23CF-44E3-9099-C40C66FF867C}">
              <a14:compatExt xmlns:a14="http://schemas.microsoft.com/office/drawing/2010/main" spid="_x0000_s7511"/>
            </a:ext>
            <a:ext uri="{FF2B5EF4-FFF2-40B4-BE49-F238E27FC236}">
              <a16:creationId xmlns:a16="http://schemas.microsoft.com/office/drawing/2014/main" xmlns="" id="{00000000-0008-0000-0600-0000571D0000}"/>
            </a:ext>
          </a:extLst>
        </xdr:cNvPr>
        <xdr:cNvSpPr/>
      </xdr:nvSpPr>
      <xdr:spPr>
        <a:xfrm>
          <a:off x="0" y="0"/>
          <a:ext cx="0" cy="0"/>
        </a:xfrm>
        <a:prstGeom prst="rect">
          <a:avLst/>
        </a:prstGeom>
      </xdr:spPr>
    </xdr:sp>
    <xdr:clientData/>
  </xdr:twoCellAnchor>
  <xdr:twoCellAnchor editAs="oneCell">
    <xdr:from>
      <xdr:col>4</xdr:col>
      <xdr:colOff>0</xdr:colOff>
      <xdr:row>517</xdr:row>
      <xdr:rowOff>0</xdr:rowOff>
    </xdr:from>
    <xdr:to>
      <xdr:col>4</xdr:col>
      <xdr:colOff>152400</xdr:colOff>
      <xdr:row>517</xdr:row>
      <xdr:rowOff>152400</xdr:rowOff>
    </xdr:to>
    <xdr:pic>
      <xdr:nvPicPr>
        <xdr:cNvPr id="345" name="Picture 344" descr="Documents icon">
          <a:extLst>
            <a:ext uri="{FF2B5EF4-FFF2-40B4-BE49-F238E27FC236}">
              <a16:creationId xmlns:a16="http://schemas.microsoft.com/office/drawing/2014/main" xmlns="" id="{00000000-0008-0000-0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3564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1152</xdr:row>
      <xdr:rowOff>101600</xdr:rowOff>
    </xdr:from>
    <xdr:to>
      <xdr:col>3</xdr:col>
      <xdr:colOff>165100</xdr:colOff>
      <xdr:row>1153</xdr:row>
      <xdr:rowOff>101600</xdr:rowOff>
    </xdr:to>
    <xdr:sp macro="" textlink="">
      <xdr:nvSpPr>
        <xdr:cNvPr id="7513" name="Control 345" hidden="1">
          <a:extLst>
            <a:ext uri="{63B3BB69-23CF-44E3-9099-C40C66FF867C}">
              <a14:compatExt xmlns:a14="http://schemas.microsoft.com/office/drawing/2010/main" spid="_x0000_s7513"/>
            </a:ext>
            <a:ext uri="{FF2B5EF4-FFF2-40B4-BE49-F238E27FC236}">
              <a16:creationId xmlns:a16="http://schemas.microsoft.com/office/drawing/2014/main" xmlns="" id="{00000000-0008-0000-0600-0000591D0000}"/>
            </a:ext>
          </a:extLst>
        </xdr:cNvPr>
        <xdr:cNvSpPr/>
      </xdr:nvSpPr>
      <xdr:spPr>
        <a:xfrm>
          <a:off x="0" y="0"/>
          <a:ext cx="0" cy="0"/>
        </a:xfrm>
        <a:prstGeom prst="rect">
          <a:avLst/>
        </a:prstGeom>
      </xdr:spPr>
    </xdr:sp>
    <xdr:clientData/>
  </xdr:twoCellAnchor>
  <xdr:twoCellAnchor editAs="oneCell">
    <xdr:from>
      <xdr:col>4</xdr:col>
      <xdr:colOff>0</xdr:colOff>
      <xdr:row>520</xdr:row>
      <xdr:rowOff>0</xdr:rowOff>
    </xdr:from>
    <xdr:to>
      <xdr:col>4</xdr:col>
      <xdr:colOff>152400</xdr:colOff>
      <xdr:row>520</xdr:row>
      <xdr:rowOff>152400</xdr:rowOff>
    </xdr:to>
    <xdr:pic>
      <xdr:nvPicPr>
        <xdr:cNvPr id="347" name="Picture 346" descr="Documents icon">
          <a:extLst>
            <a:ext uri="{FF2B5EF4-FFF2-40B4-BE49-F238E27FC236}">
              <a16:creationId xmlns:a16="http://schemas.microsoft.com/office/drawing/2014/main" xmlns="" id="{00000000-0008-0000-0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0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1159</xdr:row>
      <xdr:rowOff>12700</xdr:rowOff>
    </xdr:from>
    <xdr:to>
      <xdr:col>3</xdr:col>
      <xdr:colOff>165100</xdr:colOff>
      <xdr:row>1160</xdr:row>
      <xdr:rowOff>12700</xdr:rowOff>
    </xdr:to>
    <xdr:sp macro="" textlink="">
      <xdr:nvSpPr>
        <xdr:cNvPr id="7515" name="Control 347" hidden="1">
          <a:extLst>
            <a:ext uri="{63B3BB69-23CF-44E3-9099-C40C66FF867C}">
              <a14:compatExt xmlns:a14="http://schemas.microsoft.com/office/drawing/2010/main" spid="_x0000_s7515"/>
            </a:ext>
            <a:ext uri="{FF2B5EF4-FFF2-40B4-BE49-F238E27FC236}">
              <a16:creationId xmlns:a16="http://schemas.microsoft.com/office/drawing/2014/main" xmlns="" id="{00000000-0008-0000-0600-00005B1D0000}"/>
            </a:ext>
          </a:extLst>
        </xdr:cNvPr>
        <xdr:cNvSpPr/>
      </xdr:nvSpPr>
      <xdr:spPr>
        <a:xfrm>
          <a:off x="0" y="0"/>
          <a:ext cx="0" cy="0"/>
        </a:xfrm>
        <a:prstGeom prst="rect">
          <a:avLst/>
        </a:prstGeom>
      </xdr:spPr>
    </xdr:sp>
    <xdr:clientData/>
  </xdr:twoCellAnchor>
  <xdr:twoCellAnchor editAs="oneCell">
    <xdr:from>
      <xdr:col>4</xdr:col>
      <xdr:colOff>0</xdr:colOff>
      <xdr:row>523</xdr:row>
      <xdr:rowOff>0</xdr:rowOff>
    </xdr:from>
    <xdr:to>
      <xdr:col>4</xdr:col>
      <xdr:colOff>152400</xdr:colOff>
      <xdr:row>523</xdr:row>
      <xdr:rowOff>152400</xdr:rowOff>
    </xdr:to>
    <xdr:pic>
      <xdr:nvPicPr>
        <xdr:cNvPr id="349" name="Picture 348" descr="Documents icon">
          <a:extLst>
            <a:ext uri="{FF2B5EF4-FFF2-40B4-BE49-F238E27FC236}">
              <a16:creationId xmlns:a16="http://schemas.microsoft.com/office/drawing/2014/main" xmlns="" id="{00000000-0008-0000-0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649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1165</xdr:row>
      <xdr:rowOff>152400</xdr:rowOff>
    </xdr:from>
    <xdr:to>
      <xdr:col>3</xdr:col>
      <xdr:colOff>165100</xdr:colOff>
      <xdr:row>1166</xdr:row>
      <xdr:rowOff>152400</xdr:rowOff>
    </xdr:to>
    <xdr:sp macro="" textlink="">
      <xdr:nvSpPr>
        <xdr:cNvPr id="7517" name="Control 349" hidden="1">
          <a:extLst>
            <a:ext uri="{63B3BB69-23CF-44E3-9099-C40C66FF867C}">
              <a14:compatExt xmlns:a14="http://schemas.microsoft.com/office/drawing/2010/main" spid="_x0000_s7517"/>
            </a:ext>
            <a:ext uri="{FF2B5EF4-FFF2-40B4-BE49-F238E27FC236}">
              <a16:creationId xmlns:a16="http://schemas.microsoft.com/office/drawing/2014/main" xmlns="" id="{00000000-0008-0000-0600-00005D1D0000}"/>
            </a:ext>
          </a:extLst>
        </xdr:cNvPr>
        <xdr:cNvSpPr/>
      </xdr:nvSpPr>
      <xdr:spPr>
        <a:xfrm>
          <a:off x="0" y="0"/>
          <a:ext cx="0" cy="0"/>
        </a:xfrm>
        <a:prstGeom prst="rect">
          <a:avLst/>
        </a:prstGeom>
      </xdr:spPr>
    </xdr:sp>
    <xdr:clientData/>
  </xdr:twoCellAnchor>
  <xdr:twoCellAnchor editAs="oneCell">
    <xdr:from>
      <xdr:col>4</xdr:col>
      <xdr:colOff>0</xdr:colOff>
      <xdr:row>526</xdr:row>
      <xdr:rowOff>0</xdr:rowOff>
    </xdr:from>
    <xdr:to>
      <xdr:col>4</xdr:col>
      <xdr:colOff>152400</xdr:colOff>
      <xdr:row>526</xdr:row>
      <xdr:rowOff>152400</xdr:rowOff>
    </xdr:to>
    <xdr:pic>
      <xdr:nvPicPr>
        <xdr:cNvPr id="351" name="Picture 350" descr="Documents icon">
          <a:extLst>
            <a:ext uri="{FF2B5EF4-FFF2-40B4-BE49-F238E27FC236}">
              <a16:creationId xmlns:a16="http://schemas.microsoft.com/office/drawing/2014/main" xmlns="" id="{00000000-0008-0000-0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192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1172</xdr:row>
      <xdr:rowOff>101600</xdr:rowOff>
    </xdr:from>
    <xdr:to>
      <xdr:col>3</xdr:col>
      <xdr:colOff>165100</xdr:colOff>
      <xdr:row>1173</xdr:row>
      <xdr:rowOff>101600</xdr:rowOff>
    </xdr:to>
    <xdr:sp macro="" textlink="">
      <xdr:nvSpPr>
        <xdr:cNvPr id="7519" name="Control 351" hidden="1">
          <a:extLst>
            <a:ext uri="{63B3BB69-23CF-44E3-9099-C40C66FF867C}">
              <a14:compatExt xmlns:a14="http://schemas.microsoft.com/office/drawing/2010/main" spid="_x0000_s7519"/>
            </a:ext>
            <a:ext uri="{FF2B5EF4-FFF2-40B4-BE49-F238E27FC236}">
              <a16:creationId xmlns:a16="http://schemas.microsoft.com/office/drawing/2014/main" xmlns="" id="{00000000-0008-0000-0600-00005F1D0000}"/>
            </a:ext>
          </a:extLst>
        </xdr:cNvPr>
        <xdr:cNvSpPr/>
      </xdr:nvSpPr>
      <xdr:spPr>
        <a:xfrm>
          <a:off x="0" y="0"/>
          <a:ext cx="0" cy="0"/>
        </a:xfrm>
        <a:prstGeom prst="rect">
          <a:avLst/>
        </a:prstGeom>
      </xdr:spPr>
    </xdr:sp>
    <xdr:clientData/>
  </xdr:twoCellAnchor>
  <xdr:twoCellAnchor editAs="oneCell">
    <xdr:from>
      <xdr:col>4</xdr:col>
      <xdr:colOff>0</xdr:colOff>
      <xdr:row>529</xdr:row>
      <xdr:rowOff>0</xdr:rowOff>
    </xdr:from>
    <xdr:to>
      <xdr:col>4</xdr:col>
      <xdr:colOff>152400</xdr:colOff>
      <xdr:row>529</xdr:row>
      <xdr:rowOff>152400</xdr:rowOff>
    </xdr:to>
    <xdr:pic>
      <xdr:nvPicPr>
        <xdr:cNvPr id="353" name="Picture 352" descr="Documents icon">
          <a:extLst>
            <a:ext uri="{FF2B5EF4-FFF2-40B4-BE49-F238E27FC236}">
              <a16:creationId xmlns:a16="http://schemas.microsoft.com/office/drawing/2014/main" xmlns="" id="{00000000-0008-0000-0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735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1179</xdr:row>
      <xdr:rowOff>50800</xdr:rowOff>
    </xdr:from>
    <xdr:to>
      <xdr:col>3</xdr:col>
      <xdr:colOff>165100</xdr:colOff>
      <xdr:row>1180</xdr:row>
      <xdr:rowOff>50800</xdr:rowOff>
    </xdr:to>
    <xdr:sp macro="" textlink="">
      <xdr:nvSpPr>
        <xdr:cNvPr id="7521" name="Control 353" hidden="1">
          <a:extLst>
            <a:ext uri="{63B3BB69-23CF-44E3-9099-C40C66FF867C}">
              <a14:compatExt xmlns:a14="http://schemas.microsoft.com/office/drawing/2010/main" spid="_x0000_s7521"/>
            </a:ext>
            <a:ext uri="{FF2B5EF4-FFF2-40B4-BE49-F238E27FC236}">
              <a16:creationId xmlns:a16="http://schemas.microsoft.com/office/drawing/2014/main" xmlns="" id="{00000000-0008-0000-0600-0000611D0000}"/>
            </a:ext>
          </a:extLst>
        </xdr:cNvPr>
        <xdr:cNvSpPr/>
      </xdr:nvSpPr>
      <xdr:spPr>
        <a:xfrm>
          <a:off x="0" y="0"/>
          <a:ext cx="0" cy="0"/>
        </a:xfrm>
        <a:prstGeom prst="rect">
          <a:avLst/>
        </a:prstGeom>
      </xdr:spPr>
    </xdr:sp>
    <xdr:clientData/>
  </xdr:twoCellAnchor>
  <xdr:twoCellAnchor editAs="oneCell">
    <xdr:from>
      <xdr:col>4</xdr:col>
      <xdr:colOff>0</xdr:colOff>
      <xdr:row>532</xdr:row>
      <xdr:rowOff>0</xdr:rowOff>
    </xdr:from>
    <xdr:to>
      <xdr:col>4</xdr:col>
      <xdr:colOff>152400</xdr:colOff>
      <xdr:row>532</xdr:row>
      <xdr:rowOff>152400</xdr:rowOff>
    </xdr:to>
    <xdr:pic>
      <xdr:nvPicPr>
        <xdr:cNvPr id="355" name="Picture 354" descr="Documents icon">
          <a:extLst>
            <a:ext uri="{FF2B5EF4-FFF2-40B4-BE49-F238E27FC236}">
              <a16:creationId xmlns:a16="http://schemas.microsoft.com/office/drawing/2014/main" xmlns="" id="{00000000-0008-0000-0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278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1185</xdr:row>
      <xdr:rowOff>114300</xdr:rowOff>
    </xdr:from>
    <xdr:to>
      <xdr:col>3</xdr:col>
      <xdr:colOff>165100</xdr:colOff>
      <xdr:row>1186</xdr:row>
      <xdr:rowOff>114300</xdr:rowOff>
    </xdr:to>
    <xdr:sp macro="" textlink="">
      <xdr:nvSpPr>
        <xdr:cNvPr id="7523" name="Control 355" hidden="1">
          <a:extLst>
            <a:ext uri="{63B3BB69-23CF-44E3-9099-C40C66FF867C}">
              <a14:compatExt xmlns:a14="http://schemas.microsoft.com/office/drawing/2010/main" spid="_x0000_s7523"/>
            </a:ext>
            <a:ext uri="{FF2B5EF4-FFF2-40B4-BE49-F238E27FC236}">
              <a16:creationId xmlns:a16="http://schemas.microsoft.com/office/drawing/2014/main" xmlns="" id="{00000000-0008-0000-0600-0000631D0000}"/>
            </a:ext>
          </a:extLst>
        </xdr:cNvPr>
        <xdr:cNvSpPr/>
      </xdr:nvSpPr>
      <xdr:spPr>
        <a:xfrm>
          <a:off x="0" y="0"/>
          <a:ext cx="0" cy="0"/>
        </a:xfrm>
        <a:prstGeom prst="rect">
          <a:avLst/>
        </a:prstGeom>
      </xdr:spPr>
    </xdr:sp>
    <xdr:clientData/>
  </xdr:twoCellAnchor>
  <xdr:twoCellAnchor editAs="oneCell">
    <xdr:from>
      <xdr:col>4</xdr:col>
      <xdr:colOff>0</xdr:colOff>
      <xdr:row>535</xdr:row>
      <xdr:rowOff>0</xdr:rowOff>
    </xdr:from>
    <xdr:to>
      <xdr:col>4</xdr:col>
      <xdr:colOff>152400</xdr:colOff>
      <xdr:row>535</xdr:row>
      <xdr:rowOff>152400</xdr:rowOff>
    </xdr:to>
    <xdr:pic>
      <xdr:nvPicPr>
        <xdr:cNvPr id="357" name="Picture 356" descr="Documents icon">
          <a:extLst>
            <a:ext uri="{FF2B5EF4-FFF2-40B4-BE49-F238E27FC236}">
              <a16:creationId xmlns:a16="http://schemas.microsoft.com/office/drawing/2014/main" xmlns="" id="{00000000-0008-0000-0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821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1192</xdr:row>
      <xdr:rowOff>114300</xdr:rowOff>
    </xdr:from>
    <xdr:to>
      <xdr:col>3</xdr:col>
      <xdr:colOff>165100</xdr:colOff>
      <xdr:row>1193</xdr:row>
      <xdr:rowOff>114300</xdr:rowOff>
    </xdr:to>
    <xdr:sp macro="" textlink="">
      <xdr:nvSpPr>
        <xdr:cNvPr id="7525" name="Control 357" hidden="1">
          <a:extLst>
            <a:ext uri="{63B3BB69-23CF-44E3-9099-C40C66FF867C}">
              <a14:compatExt xmlns:a14="http://schemas.microsoft.com/office/drawing/2010/main" spid="_x0000_s7525"/>
            </a:ext>
            <a:ext uri="{FF2B5EF4-FFF2-40B4-BE49-F238E27FC236}">
              <a16:creationId xmlns:a16="http://schemas.microsoft.com/office/drawing/2014/main" xmlns="" id="{00000000-0008-0000-0600-0000651D0000}"/>
            </a:ext>
          </a:extLst>
        </xdr:cNvPr>
        <xdr:cNvSpPr/>
      </xdr:nvSpPr>
      <xdr:spPr>
        <a:xfrm>
          <a:off x="0" y="0"/>
          <a:ext cx="0" cy="0"/>
        </a:xfrm>
        <a:prstGeom prst="rect">
          <a:avLst/>
        </a:prstGeom>
      </xdr:spPr>
    </xdr:sp>
    <xdr:clientData/>
  </xdr:twoCellAnchor>
  <xdr:twoCellAnchor editAs="oneCell">
    <xdr:from>
      <xdr:col>4</xdr:col>
      <xdr:colOff>0</xdr:colOff>
      <xdr:row>538</xdr:row>
      <xdr:rowOff>0</xdr:rowOff>
    </xdr:from>
    <xdr:to>
      <xdr:col>4</xdr:col>
      <xdr:colOff>152400</xdr:colOff>
      <xdr:row>538</xdr:row>
      <xdr:rowOff>152400</xdr:rowOff>
    </xdr:to>
    <xdr:pic>
      <xdr:nvPicPr>
        <xdr:cNvPr id="359" name="Picture 358" descr="Documents icon">
          <a:extLst>
            <a:ext uri="{FF2B5EF4-FFF2-40B4-BE49-F238E27FC236}">
              <a16:creationId xmlns:a16="http://schemas.microsoft.com/office/drawing/2014/main" xmlns="" id="{00000000-0008-0000-0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364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1199</xdr:row>
      <xdr:rowOff>50800</xdr:rowOff>
    </xdr:from>
    <xdr:to>
      <xdr:col>3</xdr:col>
      <xdr:colOff>165100</xdr:colOff>
      <xdr:row>1200</xdr:row>
      <xdr:rowOff>50800</xdr:rowOff>
    </xdr:to>
    <xdr:sp macro="" textlink="">
      <xdr:nvSpPr>
        <xdr:cNvPr id="7527" name="Control 359" hidden="1">
          <a:extLst>
            <a:ext uri="{63B3BB69-23CF-44E3-9099-C40C66FF867C}">
              <a14:compatExt xmlns:a14="http://schemas.microsoft.com/office/drawing/2010/main" spid="_x0000_s7527"/>
            </a:ext>
            <a:ext uri="{FF2B5EF4-FFF2-40B4-BE49-F238E27FC236}">
              <a16:creationId xmlns:a16="http://schemas.microsoft.com/office/drawing/2014/main" xmlns="" id="{00000000-0008-0000-0600-0000671D0000}"/>
            </a:ext>
          </a:extLst>
        </xdr:cNvPr>
        <xdr:cNvSpPr/>
      </xdr:nvSpPr>
      <xdr:spPr>
        <a:xfrm>
          <a:off x="0" y="0"/>
          <a:ext cx="0" cy="0"/>
        </a:xfrm>
        <a:prstGeom prst="rect">
          <a:avLst/>
        </a:prstGeom>
      </xdr:spPr>
    </xdr:sp>
    <xdr:clientData/>
  </xdr:twoCellAnchor>
  <xdr:twoCellAnchor editAs="oneCell">
    <xdr:from>
      <xdr:col>4</xdr:col>
      <xdr:colOff>0</xdr:colOff>
      <xdr:row>541</xdr:row>
      <xdr:rowOff>0</xdr:rowOff>
    </xdr:from>
    <xdr:to>
      <xdr:col>4</xdr:col>
      <xdr:colOff>152400</xdr:colOff>
      <xdr:row>541</xdr:row>
      <xdr:rowOff>152400</xdr:rowOff>
    </xdr:to>
    <xdr:pic>
      <xdr:nvPicPr>
        <xdr:cNvPr id="361" name="Picture 360" descr="Documents icon">
          <a:extLst>
            <a:ext uri="{FF2B5EF4-FFF2-40B4-BE49-F238E27FC236}">
              <a16:creationId xmlns:a16="http://schemas.microsoft.com/office/drawing/2014/main" xmlns="" id="{00000000-0008-0000-0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907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1205</xdr:row>
      <xdr:rowOff>152400</xdr:rowOff>
    </xdr:from>
    <xdr:to>
      <xdr:col>3</xdr:col>
      <xdr:colOff>165100</xdr:colOff>
      <xdr:row>1206</xdr:row>
      <xdr:rowOff>152400</xdr:rowOff>
    </xdr:to>
    <xdr:sp macro="" textlink="">
      <xdr:nvSpPr>
        <xdr:cNvPr id="7529" name="Control 361" hidden="1">
          <a:extLst>
            <a:ext uri="{63B3BB69-23CF-44E3-9099-C40C66FF867C}">
              <a14:compatExt xmlns:a14="http://schemas.microsoft.com/office/drawing/2010/main" spid="_x0000_s7529"/>
            </a:ext>
            <a:ext uri="{FF2B5EF4-FFF2-40B4-BE49-F238E27FC236}">
              <a16:creationId xmlns:a16="http://schemas.microsoft.com/office/drawing/2014/main" xmlns="" id="{00000000-0008-0000-0600-0000691D0000}"/>
            </a:ext>
          </a:extLst>
        </xdr:cNvPr>
        <xdr:cNvSpPr/>
      </xdr:nvSpPr>
      <xdr:spPr>
        <a:xfrm>
          <a:off x="0" y="0"/>
          <a:ext cx="0" cy="0"/>
        </a:xfrm>
        <a:prstGeom prst="rect">
          <a:avLst/>
        </a:prstGeom>
      </xdr:spPr>
    </xdr:sp>
    <xdr:clientData/>
  </xdr:twoCellAnchor>
  <xdr:twoCellAnchor editAs="oneCell">
    <xdr:from>
      <xdr:col>4</xdr:col>
      <xdr:colOff>0</xdr:colOff>
      <xdr:row>544</xdr:row>
      <xdr:rowOff>0</xdr:rowOff>
    </xdr:from>
    <xdr:to>
      <xdr:col>4</xdr:col>
      <xdr:colOff>152400</xdr:colOff>
      <xdr:row>544</xdr:row>
      <xdr:rowOff>152400</xdr:rowOff>
    </xdr:to>
    <xdr:pic>
      <xdr:nvPicPr>
        <xdr:cNvPr id="363" name="Picture 362" descr="Documents icon">
          <a:extLst>
            <a:ext uri="{FF2B5EF4-FFF2-40B4-BE49-F238E27FC236}">
              <a16:creationId xmlns:a16="http://schemas.microsoft.com/office/drawing/2014/main" xmlns="" id="{00000000-0008-0000-0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450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1212</xdr:row>
      <xdr:rowOff>127000</xdr:rowOff>
    </xdr:from>
    <xdr:to>
      <xdr:col>3</xdr:col>
      <xdr:colOff>165100</xdr:colOff>
      <xdr:row>1213</xdr:row>
      <xdr:rowOff>127000</xdr:rowOff>
    </xdr:to>
    <xdr:sp macro="" textlink="">
      <xdr:nvSpPr>
        <xdr:cNvPr id="7531" name="Control 363" hidden="1">
          <a:extLst>
            <a:ext uri="{63B3BB69-23CF-44E3-9099-C40C66FF867C}">
              <a14:compatExt xmlns:a14="http://schemas.microsoft.com/office/drawing/2010/main" spid="_x0000_s7531"/>
            </a:ext>
            <a:ext uri="{FF2B5EF4-FFF2-40B4-BE49-F238E27FC236}">
              <a16:creationId xmlns:a16="http://schemas.microsoft.com/office/drawing/2014/main" xmlns="" id="{00000000-0008-0000-0600-00006B1D0000}"/>
            </a:ext>
          </a:extLst>
        </xdr:cNvPr>
        <xdr:cNvSpPr/>
      </xdr:nvSpPr>
      <xdr:spPr>
        <a:xfrm>
          <a:off x="0" y="0"/>
          <a:ext cx="0" cy="0"/>
        </a:xfrm>
        <a:prstGeom prst="rect">
          <a:avLst/>
        </a:prstGeom>
      </xdr:spPr>
    </xdr:sp>
    <xdr:clientData/>
  </xdr:twoCellAnchor>
  <xdr:twoCellAnchor editAs="oneCell">
    <xdr:from>
      <xdr:col>4</xdr:col>
      <xdr:colOff>0</xdr:colOff>
      <xdr:row>547</xdr:row>
      <xdr:rowOff>0</xdr:rowOff>
    </xdr:from>
    <xdr:to>
      <xdr:col>4</xdr:col>
      <xdr:colOff>152400</xdr:colOff>
      <xdr:row>547</xdr:row>
      <xdr:rowOff>152400</xdr:rowOff>
    </xdr:to>
    <xdr:pic>
      <xdr:nvPicPr>
        <xdr:cNvPr id="365" name="Picture 364" descr="Documents icon">
          <a:extLst>
            <a:ext uri="{FF2B5EF4-FFF2-40B4-BE49-F238E27FC236}">
              <a16:creationId xmlns:a16="http://schemas.microsoft.com/office/drawing/2014/main" xmlns="" id="{00000000-0008-0000-0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993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1219</xdr:row>
      <xdr:rowOff>38100</xdr:rowOff>
    </xdr:from>
    <xdr:to>
      <xdr:col>3</xdr:col>
      <xdr:colOff>165100</xdr:colOff>
      <xdr:row>1220</xdr:row>
      <xdr:rowOff>38100</xdr:rowOff>
    </xdr:to>
    <xdr:sp macro="" textlink="">
      <xdr:nvSpPr>
        <xdr:cNvPr id="7533" name="Control 365" hidden="1">
          <a:extLst>
            <a:ext uri="{63B3BB69-23CF-44E3-9099-C40C66FF867C}">
              <a14:compatExt xmlns:a14="http://schemas.microsoft.com/office/drawing/2010/main" spid="_x0000_s7533"/>
            </a:ext>
            <a:ext uri="{FF2B5EF4-FFF2-40B4-BE49-F238E27FC236}">
              <a16:creationId xmlns:a16="http://schemas.microsoft.com/office/drawing/2014/main" xmlns="" id="{00000000-0008-0000-0600-00006D1D0000}"/>
            </a:ext>
          </a:extLst>
        </xdr:cNvPr>
        <xdr:cNvSpPr/>
      </xdr:nvSpPr>
      <xdr:spPr>
        <a:xfrm>
          <a:off x="0" y="0"/>
          <a:ext cx="0" cy="0"/>
        </a:xfrm>
        <a:prstGeom prst="rect">
          <a:avLst/>
        </a:prstGeom>
      </xdr:spPr>
    </xdr:sp>
    <xdr:clientData/>
  </xdr:twoCellAnchor>
  <xdr:twoCellAnchor editAs="oneCell">
    <xdr:from>
      <xdr:col>4</xdr:col>
      <xdr:colOff>0</xdr:colOff>
      <xdr:row>550</xdr:row>
      <xdr:rowOff>0</xdr:rowOff>
    </xdr:from>
    <xdr:to>
      <xdr:col>4</xdr:col>
      <xdr:colOff>152400</xdr:colOff>
      <xdr:row>550</xdr:row>
      <xdr:rowOff>152400</xdr:rowOff>
    </xdr:to>
    <xdr:pic>
      <xdr:nvPicPr>
        <xdr:cNvPr id="367" name="Picture 366" descr="Documents icon">
          <a:extLst>
            <a:ext uri="{FF2B5EF4-FFF2-40B4-BE49-F238E27FC236}">
              <a16:creationId xmlns:a16="http://schemas.microsoft.com/office/drawing/2014/main" xmlns="" id="{00000000-0008-0000-0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536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1225</xdr:row>
      <xdr:rowOff>114300</xdr:rowOff>
    </xdr:from>
    <xdr:to>
      <xdr:col>3</xdr:col>
      <xdr:colOff>165100</xdr:colOff>
      <xdr:row>1226</xdr:row>
      <xdr:rowOff>114300</xdr:rowOff>
    </xdr:to>
    <xdr:sp macro="" textlink="">
      <xdr:nvSpPr>
        <xdr:cNvPr id="7535" name="Control 367" hidden="1">
          <a:extLst>
            <a:ext uri="{63B3BB69-23CF-44E3-9099-C40C66FF867C}">
              <a14:compatExt xmlns:a14="http://schemas.microsoft.com/office/drawing/2010/main" spid="_x0000_s7535"/>
            </a:ext>
            <a:ext uri="{FF2B5EF4-FFF2-40B4-BE49-F238E27FC236}">
              <a16:creationId xmlns:a16="http://schemas.microsoft.com/office/drawing/2014/main" xmlns="" id="{00000000-0008-0000-0600-00006F1D0000}"/>
            </a:ext>
          </a:extLst>
        </xdr:cNvPr>
        <xdr:cNvSpPr/>
      </xdr:nvSpPr>
      <xdr:spPr>
        <a:xfrm>
          <a:off x="0" y="0"/>
          <a:ext cx="0" cy="0"/>
        </a:xfrm>
        <a:prstGeom prst="rect">
          <a:avLst/>
        </a:prstGeom>
      </xdr:spPr>
    </xdr:sp>
    <xdr:clientData/>
  </xdr:twoCellAnchor>
  <xdr:twoCellAnchor editAs="oneCell">
    <xdr:from>
      <xdr:col>4</xdr:col>
      <xdr:colOff>0</xdr:colOff>
      <xdr:row>553</xdr:row>
      <xdr:rowOff>0</xdr:rowOff>
    </xdr:from>
    <xdr:to>
      <xdr:col>4</xdr:col>
      <xdr:colOff>152400</xdr:colOff>
      <xdr:row>553</xdr:row>
      <xdr:rowOff>152400</xdr:rowOff>
    </xdr:to>
    <xdr:pic>
      <xdr:nvPicPr>
        <xdr:cNvPr id="369" name="Picture 368" descr="Documents icon">
          <a:extLst>
            <a:ext uri="{FF2B5EF4-FFF2-40B4-BE49-F238E27FC236}">
              <a16:creationId xmlns:a16="http://schemas.microsoft.com/office/drawing/2014/main" xmlns="" id="{00000000-0008-0000-0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079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1232</xdr:row>
      <xdr:rowOff>50800</xdr:rowOff>
    </xdr:from>
    <xdr:to>
      <xdr:col>3</xdr:col>
      <xdr:colOff>165100</xdr:colOff>
      <xdr:row>1233</xdr:row>
      <xdr:rowOff>50800</xdr:rowOff>
    </xdr:to>
    <xdr:sp macro="" textlink="">
      <xdr:nvSpPr>
        <xdr:cNvPr id="7537" name="Control 369" hidden="1">
          <a:extLst>
            <a:ext uri="{63B3BB69-23CF-44E3-9099-C40C66FF867C}">
              <a14:compatExt xmlns:a14="http://schemas.microsoft.com/office/drawing/2010/main" spid="_x0000_s7537"/>
            </a:ext>
            <a:ext uri="{FF2B5EF4-FFF2-40B4-BE49-F238E27FC236}">
              <a16:creationId xmlns:a16="http://schemas.microsoft.com/office/drawing/2014/main" xmlns="" id="{00000000-0008-0000-0600-0000711D0000}"/>
            </a:ext>
          </a:extLst>
        </xdr:cNvPr>
        <xdr:cNvSpPr/>
      </xdr:nvSpPr>
      <xdr:spPr>
        <a:xfrm>
          <a:off x="0" y="0"/>
          <a:ext cx="0" cy="0"/>
        </a:xfrm>
        <a:prstGeom prst="rect">
          <a:avLst/>
        </a:prstGeom>
      </xdr:spPr>
    </xdr:sp>
    <xdr:clientData/>
  </xdr:twoCellAnchor>
  <xdr:twoCellAnchor editAs="oneCell">
    <xdr:from>
      <xdr:col>4</xdr:col>
      <xdr:colOff>0</xdr:colOff>
      <xdr:row>556</xdr:row>
      <xdr:rowOff>0</xdr:rowOff>
    </xdr:from>
    <xdr:to>
      <xdr:col>4</xdr:col>
      <xdr:colOff>152400</xdr:colOff>
      <xdr:row>556</xdr:row>
      <xdr:rowOff>152400</xdr:rowOff>
    </xdr:to>
    <xdr:pic>
      <xdr:nvPicPr>
        <xdr:cNvPr id="371" name="Picture 370" descr="Documents icon">
          <a:extLst>
            <a:ext uri="{FF2B5EF4-FFF2-40B4-BE49-F238E27FC236}">
              <a16:creationId xmlns:a16="http://schemas.microsoft.com/office/drawing/2014/main" xmlns="" id="{00000000-0008-0000-0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22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1239</xdr:row>
      <xdr:rowOff>0</xdr:rowOff>
    </xdr:from>
    <xdr:to>
      <xdr:col>3</xdr:col>
      <xdr:colOff>165100</xdr:colOff>
      <xdr:row>1240</xdr:row>
      <xdr:rowOff>0</xdr:rowOff>
    </xdr:to>
    <xdr:sp macro="" textlink="">
      <xdr:nvSpPr>
        <xdr:cNvPr id="7539" name="Control 371" hidden="1">
          <a:extLst>
            <a:ext uri="{63B3BB69-23CF-44E3-9099-C40C66FF867C}">
              <a14:compatExt xmlns:a14="http://schemas.microsoft.com/office/drawing/2010/main" spid="_x0000_s7539"/>
            </a:ext>
            <a:ext uri="{FF2B5EF4-FFF2-40B4-BE49-F238E27FC236}">
              <a16:creationId xmlns:a16="http://schemas.microsoft.com/office/drawing/2014/main" xmlns="" id="{00000000-0008-0000-0600-0000731D0000}"/>
            </a:ext>
          </a:extLst>
        </xdr:cNvPr>
        <xdr:cNvSpPr/>
      </xdr:nvSpPr>
      <xdr:spPr>
        <a:xfrm>
          <a:off x="0" y="0"/>
          <a:ext cx="0" cy="0"/>
        </a:xfrm>
        <a:prstGeom prst="rect">
          <a:avLst/>
        </a:prstGeom>
      </xdr:spPr>
    </xdr:sp>
    <xdr:clientData/>
  </xdr:twoCellAnchor>
  <xdr:twoCellAnchor editAs="oneCell">
    <xdr:from>
      <xdr:col>4</xdr:col>
      <xdr:colOff>0</xdr:colOff>
      <xdr:row>559</xdr:row>
      <xdr:rowOff>0</xdr:rowOff>
    </xdr:from>
    <xdr:to>
      <xdr:col>4</xdr:col>
      <xdr:colOff>152400</xdr:colOff>
      <xdr:row>559</xdr:row>
      <xdr:rowOff>152400</xdr:rowOff>
    </xdr:to>
    <xdr:pic>
      <xdr:nvPicPr>
        <xdr:cNvPr id="373" name="Picture 372" descr="Documents icon">
          <a:extLst>
            <a:ext uri="{FF2B5EF4-FFF2-40B4-BE49-F238E27FC236}">
              <a16:creationId xmlns:a16="http://schemas.microsoft.com/office/drawing/2014/main" xmlns="" id="{00000000-0008-0000-0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165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1245</xdr:row>
      <xdr:rowOff>127000</xdr:rowOff>
    </xdr:from>
    <xdr:to>
      <xdr:col>3</xdr:col>
      <xdr:colOff>165100</xdr:colOff>
      <xdr:row>1246</xdr:row>
      <xdr:rowOff>127000</xdr:rowOff>
    </xdr:to>
    <xdr:sp macro="" textlink="">
      <xdr:nvSpPr>
        <xdr:cNvPr id="7541" name="Control 373" hidden="1">
          <a:extLst>
            <a:ext uri="{63B3BB69-23CF-44E3-9099-C40C66FF867C}">
              <a14:compatExt xmlns:a14="http://schemas.microsoft.com/office/drawing/2010/main" spid="_x0000_s7541"/>
            </a:ext>
            <a:ext uri="{FF2B5EF4-FFF2-40B4-BE49-F238E27FC236}">
              <a16:creationId xmlns:a16="http://schemas.microsoft.com/office/drawing/2014/main" xmlns="" id="{00000000-0008-0000-0600-0000751D0000}"/>
            </a:ext>
          </a:extLst>
        </xdr:cNvPr>
        <xdr:cNvSpPr/>
      </xdr:nvSpPr>
      <xdr:spPr>
        <a:xfrm>
          <a:off x="0" y="0"/>
          <a:ext cx="0" cy="0"/>
        </a:xfrm>
        <a:prstGeom prst="rect">
          <a:avLst/>
        </a:prstGeom>
      </xdr:spPr>
    </xdr:sp>
    <xdr:clientData/>
  </xdr:twoCellAnchor>
  <xdr:twoCellAnchor editAs="oneCell">
    <xdr:from>
      <xdr:col>4</xdr:col>
      <xdr:colOff>0</xdr:colOff>
      <xdr:row>562</xdr:row>
      <xdr:rowOff>0</xdr:rowOff>
    </xdr:from>
    <xdr:to>
      <xdr:col>4</xdr:col>
      <xdr:colOff>152400</xdr:colOff>
      <xdr:row>562</xdr:row>
      <xdr:rowOff>152400</xdr:rowOff>
    </xdr:to>
    <xdr:pic>
      <xdr:nvPicPr>
        <xdr:cNvPr id="375" name="Picture 374" descr="Documents icon">
          <a:extLst>
            <a:ext uri="{FF2B5EF4-FFF2-40B4-BE49-F238E27FC236}">
              <a16:creationId xmlns:a16="http://schemas.microsoft.com/office/drawing/2014/main" xmlns="" id="{00000000-0008-0000-0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707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1252</xdr:row>
      <xdr:rowOff>114300</xdr:rowOff>
    </xdr:from>
    <xdr:to>
      <xdr:col>3</xdr:col>
      <xdr:colOff>165100</xdr:colOff>
      <xdr:row>1253</xdr:row>
      <xdr:rowOff>114300</xdr:rowOff>
    </xdr:to>
    <xdr:sp macro="" textlink="">
      <xdr:nvSpPr>
        <xdr:cNvPr id="7543" name="Control 375" hidden="1">
          <a:extLst>
            <a:ext uri="{63B3BB69-23CF-44E3-9099-C40C66FF867C}">
              <a14:compatExt xmlns:a14="http://schemas.microsoft.com/office/drawing/2010/main" spid="_x0000_s7543"/>
            </a:ext>
            <a:ext uri="{FF2B5EF4-FFF2-40B4-BE49-F238E27FC236}">
              <a16:creationId xmlns:a16="http://schemas.microsoft.com/office/drawing/2014/main" xmlns="" id="{00000000-0008-0000-0600-0000771D0000}"/>
            </a:ext>
          </a:extLst>
        </xdr:cNvPr>
        <xdr:cNvSpPr/>
      </xdr:nvSpPr>
      <xdr:spPr>
        <a:xfrm>
          <a:off x="0" y="0"/>
          <a:ext cx="0" cy="0"/>
        </a:xfrm>
        <a:prstGeom prst="rect">
          <a:avLst/>
        </a:prstGeom>
      </xdr:spPr>
    </xdr:sp>
    <xdr:clientData/>
  </xdr:twoCellAnchor>
  <xdr:twoCellAnchor editAs="oneCell">
    <xdr:from>
      <xdr:col>4</xdr:col>
      <xdr:colOff>0</xdr:colOff>
      <xdr:row>565</xdr:row>
      <xdr:rowOff>0</xdr:rowOff>
    </xdr:from>
    <xdr:to>
      <xdr:col>4</xdr:col>
      <xdr:colOff>152400</xdr:colOff>
      <xdr:row>565</xdr:row>
      <xdr:rowOff>152400</xdr:rowOff>
    </xdr:to>
    <xdr:pic>
      <xdr:nvPicPr>
        <xdr:cNvPr id="377" name="Picture 376" descr="Documents icon">
          <a:extLst>
            <a:ext uri="{FF2B5EF4-FFF2-40B4-BE49-F238E27FC236}">
              <a16:creationId xmlns:a16="http://schemas.microsoft.com/office/drawing/2014/main" xmlns="" id="{00000000-0008-0000-0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250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1259</xdr:row>
      <xdr:rowOff>12700</xdr:rowOff>
    </xdr:from>
    <xdr:to>
      <xdr:col>3</xdr:col>
      <xdr:colOff>165100</xdr:colOff>
      <xdr:row>1260</xdr:row>
      <xdr:rowOff>12700</xdr:rowOff>
    </xdr:to>
    <xdr:sp macro="" textlink="">
      <xdr:nvSpPr>
        <xdr:cNvPr id="7545" name="Control 377" hidden="1">
          <a:extLst>
            <a:ext uri="{63B3BB69-23CF-44E3-9099-C40C66FF867C}">
              <a14:compatExt xmlns:a14="http://schemas.microsoft.com/office/drawing/2010/main" spid="_x0000_s7545"/>
            </a:ext>
            <a:ext uri="{FF2B5EF4-FFF2-40B4-BE49-F238E27FC236}">
              <a16:creationId xmlns:a16="http://schemas.microsoft.com/office/drawing/2014/main" xmlns="" id="{00000000-0008-0000-0600-0000791D0000}"/>
            </a:ext>
          </a:extLst>
        </xdr:cNvPr>
        <xdr:cNvSpPr/>
      </xdr:nvSpPr>
      <xdr:spPr>
        <a:xfrm>
          <a:off x="0" y="0"/>
          <a:ext cx="0" cy="0"/>
        </a:xfrm>
        <a:prstGeom prst="rect">
          <a:avLst/>
        </a:prstGeom>
      </xdr:spPr>
    </xdr:sp>
    <xdr:clientData/>
  </xdr:twoCellAnchor>
  <xdr:twoCellAnchor editAs="oneCell">
    <xdr:from>
      <xdr:col>4</xdr:col>
      <xdr:colOff>0</xdr:colOff>
      <xdr:row>568</xdr:row>
      <xdr:rowOff>0</xdr:rowOff>
    </xdr:from>
    <xdr:to>
      <xdr:col>4</xdr:col>
      <xdr:colOff>152400</xdr:colOff>
      <xdr:row>568</xdr:row>
      <xdr:rowOff>152400</xdr:rowOff>
    </xdr:to>
    <xdr:pic>
      <xdr:nvPicPr>
        <xdr:cNvPr id="379" name="Picture 378" descr="Documents icon">
          <a:extLst>
            <a:ext uri="{FF2B5EF4-FFF2-40B4-BE49-F238E27FC236}">
              <a16:creationId xmlns:a16="http://schemas.microsoft.com/office/drawing/2014/main" xmlns="" id="{00000000-0008-0000-0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793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1265</xdr:row>
      <xdr:rowOff>139700</xdr:rowOff>
    </xdr:from>
    <xdr:to>
      <xdr:col>3</xdr:col>
      <xdr:colOff>165100</xdr:colOff>
      <xdr:row>1266</xdr:row>
      <xdr:rowOff>139700</xdr:rowOff>
    </xdr:to>
    <xdr:sp macro="" textlink="">
      <xdr:nvSpPr>
        <xdr:cNvPr id="7547" name="Control 379" hidden="1">
          <a:extLst>
            <a:ext uri="{63B3BB69-23CF-44E3-9099-C40C66FF867C}">
              <a14:compatExt xmlns:a14="http://schemas.microsoft.com/office/drawing/2010/main" spid="_x0000_s7547"/>
            </a:ext>
            <a:ext uri="{FF2B5EF4-FFF2-40B4-BE49-F238E27FC236}">
              <a16:creationId xmlns:a16="http://schemas.microsoft.com/office/drawing/2014/main" xmlns="" id="{00000000-0008-0000-0600-00007B1D0000}"/>
            </a:ext>
          </a:extLst>
        </xdr:cNvPr>
        <xdr:cNvSpPr/>
      </xdr:nvSpPr>
      <xdr:spPr>
        <a:xfrm>
          <a:off x="0" y="0"/>
          <a:ext cx="0" cy="0"/>
        </a:xfrm>
        <a:prstGeom prst="rect">
          <a:avLst/>
        </a:prstGeom>
      </xdr:spPr>
    </xdr:sp>
    <xdr:clientData/>
  </xdr:twoCellAnchor>
  <xdr:twoCellAnchor editAs="oneCell">
    <xdr:from>
      <xdr:col>4</xdr:col>
      <xdr:colOff>0</xdr:colOff>
      <xdr:row>571</xdr:row>
      <xdr:rowOff>0</xdr:rowOff>
    </xdr:from>
    <xdr:to>
      <xdr:col>4</xdr:col>
      <xdr:colOff>152400</xdr:colOff>
      <xdr:row>571</xdr:row>
      <xdr:rowOff>152400</xdr:rowOff>
    </xdr:to>
    <xdr:pic>
      <xdr:nvPicPr>
        <xdr:cNvPr id="381" name="Picture 380" descr="Documents icon">
          <a:extLst>
            <a:ext uri="{FF2B5EF4-FFF2-40B4-BE49-F238E27FC236}">
              <a16:creationId xmlns:a16="http://schemas.microsoft.com/office/drawing/2014/main" xmlns="" id="{00000000-0008-0000-0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336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1272</xdr:row>
      <xdr:rowOff>76200</xdr:rowOff>
    </xdr:from>
    <xdr:to>
      <xdr:col>3</xdr:col>
      <xdr:colOff>165100</xdr:colOff>
      <xdr:row>1273</xdr:row>
      <xdr:rowOff>76200</xdr:rowOff>
    </xdr:to>
    <xdr:sp macro="" textlink="">
      <xdr:nvSpPr>
        <xdr:cNvPr id="7549" name="Control 381" hidden="1">
          <a:extLst>
            <a:ext uri="{63B3BB69-23CF-44E3-9099-C40C66FF867C}">
              <a14:compatExt xmlns:a14="http://schemas.microsoft.com/office/drawing/2010/main" spid="_x0000_s7549"/>
            </a:ext>
            <a:ext uri="{FF2B5EF4-FFF2-40B4-BE49-F238E27FC236}">
              <a16:creationId xmlns:a16="http://schemas.microsoft.com/office/drawing/2014/main" xmlns="" id="{00000000-0008-0000-0600-00007D1D0000}"/>
            </a:ext>
          </a:extLst>
        </xdr:cNvPr>
        <xdr:cNvSpPr/>
      </xdr:nvSpPr>
      <xdr:spPr>
        <a:xfrm>
          <a:off x="0" y="0"/>
          <a:ext cx="0" cy="0"/>
        </a:xfrm>
        <a:prstGeom prst="rect">
          <a:avLst/>
        </a:prstGeom>
      </xdr:spPr>
    </xdr:sp>
    <xdr:clientData/>
  </xdr:twoCellAnchor>
  <xdr:twoCellAnchor editAs="oneCell">
    <xdr:from>
      <xdr:col>4</xdr:col>
      <xdr:colOff>0</xdr:colOff>
      <xdr:row>574</xdr:row>
      <xdr:rowOff>0</xdr:rowOff>
    </xdr:from>
    <xdr:to>
      <xdr:col>4</xdr:col>
      <xdr:colOff>152400</xdr:colOff>
      <xdr:row>574</xdr:row>
      <xdr:rowOff>152400</xdr:rowOff>
    </xdr:to>
    <xdr:pic>
      <xdr:nvPicPr>
        <xdr:cNvPr id="383" name="Picture 382" descr="Documents icon">
          <a:extLst>
            <a:ext uri="{FF2B5EF4-FFF2-40B4-BE49-F238E27FC236}">
              <a16:creationId xmlns:a16="http://schemas.microsoft.com/office/drawing/2014/main" xmlns="" id="{00000000-0008-0000-0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79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1279</xdr:row>
      <xdr:rowOff>25400</xdr:rowOff>
    </xdr:from>
    <xdr:to>
      <xdr:col>3</xdr:col>
      <xdr:colOff>165100</xdr:colOff>
      <xdr:row>1280</xdr:row>
      <xdr:rowOff>25400</xdr:rowOff>
    </xdr:to>
    <xdr:sp macro="" textlink="">
      <xdr:nvSpPr>
        <xdr:cNvPr id="7551" name="Control 383" hidden="1">
          <a:extLst>
            <a:ext uri="{63B3BB69-23CF-44E3-9099-C40C66FF867C}">
              <a14:compatExt xmlns:a14="http://schemas.microsoft.com/office/drawing/2010/main" spid="_x0000_s7551"/>
            </a:ext>
            <a:ext uri="{FF2B5EF4-FFF2-40B4-BE49-F238E27FC236}">
              <a16:creationId xmlns:a16="http://schemas.microsoft.com/office/drawing/2014/main" xmlns="" id="{00000000-0008-0000-0600-00007F1D0000}"/>
            </a:ext>
          </a:extLst>
        </xdr:cNvPr>
        <xdr:cNvSpPr/>
      </xdr:nvSpPr>
      <xdr:spPr>
        <a:xfrm>
          <a:off x="0" y="0"/>
          <a:ext cx="0" cy="0"/>
        </a:xfrm>
        <a:prstGeom prst="rect">
          <a:avLst/>
        </a:prstGeom>
      </xdr:spPr>
    </xdr:sp>
    <xdr:clientData/>
  </xdr:twoCellAnchor>
  <xdr:twoCellAnchor editAs="oneCell">
    <xdr:from>
      <xdr:col>4</xdr:col>
      <xdr:colOff>0</xdr:colOff>
      <xdr:row>577</xdr:row>
      <xdr:rowOff>0</xdr:rowOff>
    </xdr:from>
    <xdr:to>
      <xdr:col>4</xdr:col>
      <xdr:colOff>152400</xdr:colOff>
      <xdr:row>577</xdr:row>
      <xdr:rowOff>152400</xdr:rowOff>
    </xdr:to>
    <xdr:pic>
      <xdr:nvPicPr>
        <xdr:cNvPr id="385" name="Picture 384" descr="Documents icon">
          <a:extLst>
            <a:ext uri="{FF2B5EF4-FFF2-40B4-BE49-F238E27FC236}">
              <a16:creationId xmlns:a16="http://schemas.microsoft.com/office/drawing/2014/main" xmlns="" id="{00000000-0008-0000-0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22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1285</xdr:row>
      <xdr:rowOff>152400</xdr:rowOff>
    </xdr:from>
    <xdr:to>
      <xdr:col>3</xdr:col>
      <xdr:colOff>165100</xdr:colOff>
      <xdr:row>1286</xdr:row>
      <xdr:rowOff>152400</xdr:rowOff>
    </xdr:to>
    <xdr:sp macro="" textlink="">
      <xdr:nvSpPr>
        <xdr:cNvPr id="7553" name="Control 385" hidden="1">
          <a:extLst>
            <a:ext uri="{63B3BB69-23CF-44E3-9099-C40C66FF867C}">
              <a14:compatExt xmlns:a14="http://schemas.microsoft.com/office/drawing/2010/main" spid="_x0000_s7553"/>
            </a:ext>
            <a:ext uri="{FF2B5EF4-FFF2-40B4-BE49-F238E27FC236}">
              <a16:creationId xmlns:a16="http://schemas.microsoft.com/office/drawing/2014/main" xmlns="" id="{00000000-0008-0000-0600-0000811D0000}"/>
            </a:ext>
          </a:extLst>
        </xdr:cNvPr>
        <xdr:cNvSpPr/>
      </xdr:nvSpPr>
      <xdr:spPr>
        <a:xfrm>
          <a:off x="0" y="0"/>
          <a:ext cx="0" cy="0"/>
        </a:xfrm>
        <a:prstGeom prst="rect">
          <a:avLst/>
        </a:prstGeom>
      </xdr:spPr>
    </xdr:sp>
    <xdr:clientData/>
  </xdr:twoCellAnchor>
  <xdr:twoCellAnchor editAs="oneCell">
    <xdr:from>
      <xdr:col>4</xdr:col>
      <xdr:colOff>0</xdr:colOff>
      <xdr:row>580</xdr:row>
      <xdr:rowOff>0</xdr:rowOff>
    </xdr:from>
    <xdr:to>
      <xdr:col>4</xdr:col>
      <xdr:colOff>152400</xdr:colOff>
      <xdr:row>580</xdr:row>
      <xdr:rowOff>152400</xdr:rowOff>
    </xdr:to>
    <xdr:pic>
      <xdr:nvPicPr>
        <xdr:cNvPr id="387" name="Picture 386" descr="Documents icon">
          <a:extLst>
            <a:ext uri="{FF2B5EF4-FFF2-40B4-BE49-F238E27FC236}">
              <a16:creationId xmlns:a16="http://schemas.microsoft.com/office/drawing/2014/main" xmlns="" id="{00000000-0008-0000-0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96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1292</xdr:row>
      <xdr:rowOff>76200</xdr:rowOff>
    </xdr:from>
    <xdr:to>
      <xdr:col>3</xdr:col>
      <xdr:colOff>165100</xdr:colOff>
      <xdr:row>1293</xdr:row>
      <xdr:rowOff>76200</xdr:rowOff>
    </xdr:to>
    <xdr:sp macro="" textlink="">
      <xdr:nvSpPr>
        <xdr:cNvPr id="7555" name="Control 387" hidden="1">
          <a:extLst>
            <a:ext uri="{63B3BB69-23CF-44E3-9099-C40C66FF867C}">
              <a14:compatExt xmlns:a14="http://schemas.microsoft.com/office/drawing/2010/main" spid="_x0000_s7555"/>
            </a:ext>
            <a:ext uri="{FF2B5EF4-FFF2-40B4-BE49-F238E27FC236}">
              <a16:creationId xmlns:a16="http://schemas.microsoft.com/office/drawing/2014/main" xmlns="" id="{00000000-0008-0000-0600-0000831D0000}"/>
            </a:ext>
          </a:extLst>
        </xdr:cNvPr>
        <xdr:cNvSpPr/>
      </xdr:nvSpPr>
      <xdr:spPr>
        <a:xfrm>
          <a:off x="0" y="0"/>
          <a:ext cx="0" cy="0"/>
        </a:xfrm>
        <a:prstGeom prst="rect">
          <a:avLst/>
        </a:prstGeom>
      </xdr:spPr>
    </xdr:sp>
    <xdr:clientData/>
  </xdr:twoCellAnchor>
  <xdr:twoCellAnchor editAs="oneCell">
    <xdr:from>
      <xdr:col>4</xdr:col>
      <xdr:colOff>0</xdr:colOff>
      <xdr:row>583</xdr:row>
      <xdr:rowOff>0</xdr:rowOff>
    </xdr:from>
    <xdr:to>
      <xdr:col>4</xdr:col>
      <xdr:colOff>152400</xdr:colOff>
      <xdr:row>583</xdr:row>
      <xdr:rowOff>152400</xdr:rowOff>
    </xdr:to>
    <xdr:pic>
      <xdr:nvPicPr>
        <xdr:cNvPr id="389" name="Picture 388" descr="Documents icon">
          <a:extLst>
            <a:ext uri="{FF2B5EF4-FFF2-40B4-BE49-F238E27FC236}">
              <a16:creationId xmlns:a16="http://schemas.microsoft.com/office/drawing/2014/main" xmlns="" id="{00000000-0008-0000-0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508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1298</xdr:row>
      <xdr:rowOff>165100</xdr:rowOff>
    </xdr:from>
    <xdr:to>
      <xdr:col>3</xdr:col>
      <xdr:colOff>165100</xdr:colOff>
      <xdr:row>1299</xdr:row>
      <xdr:rowOff>165100</xdr:rowOff>
    </xdr:to>
    <xdr:sp macro="" textlink="">
      <xdr:nvSpPr>
        <xdr:cNvPr id="7557" name="Control 389" hidden="1">
          <a:extLst>
            <a:ext uri="{63B3BB69-23CF-44E3-9099-C40C66FF867C}">
              <a14:compatExt xmlns:a14="http://schemas.microsoft.com/office/drawing/2010/main" spid="_x0000_s7557"/>
            </a:ext>
            <a:ext uri="{FF2B5EF4-FFF2-40B4-BE49-F238E27FC236}">
              <a16:creationId xmlns:a16="http://schemas.microsoft.com/office/drawing/2014/main" xmlns="" id="{00000000-0008-0000-0600-0000851D0000}"/>
            </a:ext>
          </a:extLst>
        </xdr:cNvPr>
        <xdr:cNvSpPr/>
      </xdr:nvSpPr>
      <xdr:spPr>
        <a:xfrm>
          <a:off x="0" y="0"/>
          <a:ext cx="0" cy="0"/>
        </a:xfrm>
        <a:prstGeom prst="rect">
          <a:avLst/>
        </a:prstGeom>
      </xdr:spPr>
    </xdr:sp>
    <xdr:clientData/>
  </xdr:twoCellAnchor>
  <xdr:twoCellAnchor editAs="oneCell">
    <xdr:from>
      <xdr:col>4</xdr:col>
      <xdr:colOff>0</xdr:colOff>
      <xdr:row>586</xdr:row>
      <xdr:rowOff>0</xdr:rowOff>
    </xdr:from>
    <xdr:to>
      <xdr:col>4</xdr:col>
      <xdr:colOff>152400</xdr:colOff>
      <xdr:row>586</xdr:row>
      <xdr:rowOff>152400</xdr:rowOff>
    </xdr:to>
    <xdr:pic>
      <xdr:nvPicPr>
        <xdr:cNvPr id="391" name="Picture 390" descr="Documents icon">
          <a:extLst>
            <a:ext uri="{FF2B5EF4-FFF2-40B4-BE49-F238E27FC236}">
              <a16:creationId xmlns:a16="http://schemas.microsoft.com/office/drawing/2014/main" xmlns="" id="{00000000-0008-0000-0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051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1305</xdr:row>
      <xdr:rowOff>114300</xdr:rowOff>
    </xdr:from>
    <xdr:to>
      <xdr:col>3</xdr:col>
      <xdr:colOff>165100</xdr:colOff>
      <xdr:row>1306</xdr:row>
      <xdr:rowOff>114300</xdr:rowOff>
    </xdr:to>
    <xdr:sp macro="" textlink="">
      <xdr:nvSpPr>
        <xdr:cNvPr id="7559" name="Control 391" hidden="1">
          <a:extLst>
            <a:ext uri="{63B3BB69-23CF-44E3-9099-C40C66FF867C}">
              <a14:compatExt xmlns:a14="http://schemas.microsoft.com/office/drawing/2010/main" spid="_x0000_s7559"/>
            </a:ext>
            <a:ext uri="{FF2B5EF4-FFF2-40B4-BE49-F238E27FC236}">
              <a16:creationId xmlns:a16="http://schemas.microsoft.com/office/drawing/2014/main" xmlns="" id="{00000000-0008-0000-0600-0000871D0000}"/>
            </a:ext>
          </a:extLst>
        </xdr:cNvPr>
        <xdr:cNvSpPr/>
      </xdr:nvSpPr>
      <xdr:spPr>
        <a:xfrm>
          <a:off x="0" y="0"/>
          <a:ext cx="0" cy="0"/>
        </a:xfrm>
        <a:prstGeom prst="rect">
          <a:avLst/>
        </a:prstGeom>
      </xdr:spPr>
    </xdr:sp>
    <xdr:clientData/>
  </xdr:twoCellAnchor>
  <xdr:twoCellAnchor editAs="oneCell">
    <xdr:from>
      <xdr:col>4</xdr:col>
      <xdr:colOff>0</xdr:colOff>
      <xdr:row>589</xdr:row>
      <xdr:rowOff>0</xdr:rowOff>
    </xdr:from>
    <xdr:to>
      <xdr:col>4</xdr:col>
      <xdr:colOff>152400</xdr:colOff>
      <xdr:row>589</xdr:row>
      <xdr:rowOff>152400</xdr:rowOff>
    </xdr:to>
    <xdr:pic>
      <xdr:nvPicPr>
        <xdr:cNvPr id="393" name="Picture 392" descr="Documents icon">
          <a:extLst>
            <a:ext uri="{FF2B5EF4-FFF2-40B4-BE49-F238E27FC236}">
              <a16:creationId xmlns:a16="http://schemas.microsoft.com/office/drawing/2014/main" xmlns="" id="{00000000-0008-0000-0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594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1312</xdr:row>
      <xdr:rowOff>38100</xdr:rowOff>
    </xdr:from>
    <xdr:to>
      <xdr:col>3</xdr:col>
      <xdr:colOff>165100</xdr:colOff>
      <xdr:row>1313</xdr:row>
      <xdr:rowOff>38100</xdr:rowOff>
    </xdr:to>
    <xdr:sp macro="" textlink="">
      <xdr:nvSpPr>
        <xdr:cNvPr id="7561" name="Control 393" hidden="1">
          <a:extLst>
            <a:ext uri="{63B3BB69-23CF-44E3-9099-C40C66FF867C}">
              <a14:compatExt xmlns:a14="http://schemas.microsoft.com/office/drawing/2010/main" spid="_x0000_s7561"/>
            </a:ext>
            <a:ext uri="{FF2B5EF4-FFF2-40B4-BE49-F238E27FC236}">
              <a16:creationId xmlns:a16="http://schemas.microsoft.com/office/drawing/2014/main" xmlns="" id="{00000000-0008-0000-0600-0000891D0000}"/>
            </a:ext>
          </a:extLst>
        </xdr:cNvPr>
        <xdr:cNvSpPr/>
      </xdr:nvSpPr>
      <xdr:spPr>
        <a:xfrm>
          <a:off x="0" y="0"/>
          <a:ext cx="0" cy="0"/>
        </a:xfrm>
        <a:prstGeom prst="rect">
          <a:avLst/>
        </a:prstGeom>
      </xdr:spPr>
    </xdr:sp>
    <xdr:clientData/>
  </xdr:twoCellAnchor>
  <xdr:twoCellAnchor editAs="oneCell">
    <xdr:from>
      <xdr:col>4</xdr:col>
      <xdr:colOff>0</xdr:colOff>
      <xdr:row>592</xdr:row>
      <xdr:rowOff>0</xdr:rowOff>
    </xdr:from>
    <xdr:to>
      <xdr:col>4</xdr:col>
      <xdr:colOff>152400</xdr:colOff>
      <xdr:row>592</xdr:row>
      <xdr:rowOff>152400</xdr:rowOff>
    </xdr:to>
    <xdr:pic>
      <xdr:nvPicPr>
        <xdr:cNvPr id="395" name="Picture 394" descr="Documents icon">
          <a:extLst>
            <a:ext uri="{FF2B5EF4-FFF2-40B4-BE49-F238E27FC236}">
              <a16:creationId xmlns:a16="http://schemas.microsoft.com/office/drawing/2014/main" xmlns="" id="{00000000-0008-0000-0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137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1318</xdr:row>
      <xdr:rowOff>139700</xdr:rowOff>
    </xdr:from>
    <xdr:to>
      <xdr:col>3</xdr:col>
      <xdr:colOff>165100</xdr:colOff>
      <xdr:row>1319</xdr:row>
      <xdr:rowOff>139700</xdr:rowOff>
    </xdr:to>
    <xdr:sp macro="" textlink="">
      <xdr:nvSpPr>
        <xdr:cNvPr id="7563" name="Control 395" hidden="1">
          <a:extLst>
            <a:ext uri="{63B3BB69-23CF-44E3-9099-C40C66FF867C}">
              <a14:compatExt xmlns:a14="http://schemas.microsoft.com/office/drawing/2010/main" spid="_x0000_s7563"/>
            </a:ext>
            <a:ext uri="{FF2B5EF4-FFF2-40B4-BE49-F238E27FC236}">
              <a16:creationId xmlns:a16="http://schemas.microsoft.com/office/drawing/2014/main" xmlns="" id="{00000000-0008-0000-0600-00008B1D0000}"/>
            </a:ext>
          </a:extLst>
        </xdr:cNvPr>
        <xdr:cNvSpPr/>
      </xdr:nvSpPr>
      <xdr:spPr>
        <a:xfrm>
          <a:off x="0" y="0"/>
          <a:ext cx="0" cy="0"/>
        </a:xfrm>
        <a:prstGeom prst="rect">
          <a:avLst/>
        </a:prstGeom>
      </xdr:spPr>
    </xdr:sp>
    <xdr:clientData/>
  </xdr:twoCellAnchor>
  <xdr:twoCellAnchor editAs="oneCell">
    <xdr:from>
      <xdr:col>4</xdr:col>
      <xdr:colOff>0</xdr:colOff>
      <xdr:row>595</xdr:row>
      <xdr:rowOff>0</xdr:rowOff>
    </xdr:from>
    <xdr:to>
      <xdr:col>4</xdr:col>
      <xdr:colOff>152400</xdr:colOff>
      <xdr:row>595</xdr:row>
      <xdr:rowOff>152400</xdr:rowOff>
    </xdr:to>
    <xdr:pic>
      <xdr:nvPicPr>
        <xdr:cNvPr id="397" name="Picture 396" descr="Documents icon">
          <a:extLst>
            <a:ext uri="{FF2B5EF4-FFF2-40B4-BE49-F238E27FC236}">
              <a16:creationId xmlns:a16="http://schemas.microsoft.com/office/drawing/2014/main" xmlns="" id="{00000000-0008-0000-0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680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1325</xdr:row>
      <xdr:rowOff>127000</xdr:rowOff>
    </xdr:from>
    <xdr:to>
      <xdr:col>3</xdr:col>
      <xdr:colOff>165100</xdr:colOff>
      <xdr:row>1326</xdr:row>
      <xdr:rowOff>127000</xdr:rowOff>
    </xdr:to>
    <xdr:sp macro="" textlink="">
      <xdr:nvSpPr>
        <xdr:cNvPr id="7565" name="Control 397" hidden="1">
          <a:extLst>
            <a:ext uri="{63B3BB69-23CF-44E3-9099-C40C66FF867C}">
              <a14:compatExt xmlns:a14="http://schemas.microsoft.com/office/drawing/2010/main" spid="_x0000_s7565"/>
            </a:ext>
            <a:ext uri="{FF2B5EF4-FFF2-40B4-BE49-F238E27FC236}">
              <a16:creationId xmlns:a16="http://schemas.microsoft.com/office/drawing/2014/main" xmlns="" id="{00000000-0008-0000-0600-00008D1D0000}"/>
            </a:ext>
          </a:extLst>
        </xdr:cNvPr>
        <xdr:cNvSpPr/>
      </xdr:nvSpPr>
      <xdr:spPr>
        <a:xfrm>
          <a:off x="0" y="0"/>
          <a:ext cx="0" cy="0"/>
        </a:xfrm>
        <a:prstGeom prst="rect">
          <a:avLst/>
        </a:prstGeom>
      </xdr:spPr>
    </xdr:sp>
    <xdr:clientData/>
  </xdr:twoCellAnchor>
  <xdr:twoCellAnchor editAs="oneCell">
    <xdr:from>
      <xdr:col>4</xdr:col>
      <xdr:colOff>0</xdr:colOff>
      <xdr:row>598</xdr:row>
      <xdr:rowOff>0</xdr:rowOff>
    </xdr:from>
    <xdr:to>
      <xdr:col>4</xdr:col>
      <xdr:colOff>152400</xdr:colOff>
      <xdr:row>598</xdr:row>
      <xdr:rowOff>152400</xdr:rowOff>
    </xdr:to>
    <xdr:pic>
      <xdr:nvPicPr>
        <xdr:cNvPr id="399" name="Picture 398" descr="Documents icon">
          <a:extLst>
            <a:ext uri="{FF2B5EF4-FFF2-40B4-BE49-F238E27FC236}">
              <a16:creationId xmlns:a16="http://schemas.microsoft.com/office/drawing/2014/main" xmlns="" id="{00000000-0008-0000-0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223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1332</xdr:row>
      <xdr:rowOff>38100</xdr:rowOff>
    </xdr:from>
    <xdr:to>
      <xdr:col>3</xdr:col>
      <xdr:colOff>165100</xdr:colOff>
      <xdr:row>1333</xdr:row>
      <xdr:rowOff>38100</xdr:rowOff>
    </xdr:to>
    <xdr:sp macro="" textlink="">
      <xdr:nvSpPr>
        <xdr:cNvPr id="7567" name="Control 399" hidden="1">
          <a:extLst>
            <a:ext uri="{63B3BB69-23CF-44E3-9099-C40C66FF867C}">
              <a14:compatExt xmlns:a14="http://schemas.microsoft.com/office/drawing/2010/main" spid="_x0000_s7567"/>
            </a:ext>
            <a:ext uri="{FF2B5EF4-FFF2-40B4-BE49-F238E27FC236}">
              <a16:creationId xmlns:a16="http://schemas.microsoft.com/office/drawing/2014/main" xmlns="" id="{00000000-0008-0000-0600-00008F1D0000}"/>
            </a:ext>
          </a:extLst>
        </xdr:cNvPr>
        <xdr:cNvSpPr/>
      </xdr:nvSpPr>
      <xdr:spPr>
        <a:xfrm>
          <a:off x="0" y="0"/>
          <a:ext cx="0" cy="0"/>
        </a:xfrm>
        <a:prstGeom prst="rect">
          <a:avLst/>
        </a:prstGeom>
      </xdr:spPr>
    </xdr:sp>
    <xdr:clientData/>
  </xdr:twoCellAnchor>
  <xdr:twoCellAnchor editAs="oneCell">
    <xdr:from>
      <xdr:col>4</xdr:col>
      <xdr:colOff>0</xdr:colOff>
      <xdr:row>601</xdr:row>
      <xdr:rowOff>0</xdr:rowOff>
    </xdr:from>
    <xdr:to>
      <xdr:col>4</xdr:col>
      <xdr:colOff>152400</xdr:colOff>
      <xdr:row>601</xdr:row>
      <xdr:rowOff>152400</xdr:rowOff>
    </xdr:to>
    <xdr:pic>
      <xdr:nvPicPr>
        <xdr:cNvPr id="401" name="Picture 400" descr="Documents icon">
          <a:extLst>
            <a:ext uri="{FF2B5EF4-FFF2-40B4-BE49-F238E27FC236}">
              <a16:creationId xmlns:a16="http://schemas.microsoft.com/office/drawing/2014/main" xmlns="" id="{00000000-0008-0000-0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8765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1338</xdr:row>
      <xdr:rowOff>165100</xdr:rowOff>
    </xdr:from>
    <xdr:to>
      <xdr:col>3</xdr:col>
      <xdr:colOff>165100</xdr:colOff>
      <xdr:row>1339</xdr:row>
      <xdr:rowOff>165100</xdr:rowOff>
    </xdr:to>
    <xdr:sp macro="" textlink="">
      <xdr:nvSpPr>
        <xdr:cNvPr id="7569" name="Control 401" hidden="1">
          <a:extLst>
            <a:ext uri="{63B3BB69-23CF-44E3-9099-C40C66FF867C}">
              <a14:compatExt xmlns:a14="http://schemas.microsoft.com/office/drawing/2010/main" spid="_x0000_s7569"/>
            </a:ext>
            <a:ext uri="{FF2B5EF4-FFF2-40B4-BE49-F238E27FC236}">
              <a16:creationId xmlns:a16="http://schemas.microsoft.com/office/drawing/2014/main" xmlns="" id="{00000000-0008-0000-0600-0000911D0000}"/>
            </a:ext>
          </a:extLst>
        </xdr:cNvPr>
        <xdr:cNvSpPr/>
      </xdr:nvSpPr>
      <xdr:spPr>
        <a:xfrm>
          <a:off x="0" y="0"/>
          <a:ext cx="0" cy="0"/>
        </a:xfrm>
        <a:prstGeom prst="rect">
          <a:avLst/>
        </a:prstGeom>
      </xdr:spPr>
    </xdr:sp>
    <xdr:clientData/>
  </xdr:twoCellAnchor>
  <xdr:twoCellAnchor editAs="oneCell">
    <xdr:from>
      <xdr:col>4</xdr:col>
      <xdr:colOff>0</xdr:colOff>
      <xdr:row>604</xdr:row>
      <xdr:rowOff>0</xdr:rowOff>
    </xdr:from>
    <xdr:to>
      <xdr:col>4</xdr:col>
      <xdr:colOff>152400</xdr:colOff>
      <xdr:row>604</xdr:row>
      <xdr:rowOff>152400</xdr:rowOff>
    </xdr:to>
    <xdr:pic>
      <xdr:nvPicPr>
        <xdr:cNvPr id="403" name="Picture 402" descr="Documents icon">
          <a:extLst>
            <a:ext uri="{FF2B5EF4-FFF2-40B4-BE49-F238E27FC236}">
              <a16:creationId xmlns:a16="http://schemas.microsoft.com/office/drawing/2014/main" xmlns="" id="{00000000-0008-0000-0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308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1345</xdr:row>
      <xdr:rowOff>88900</xdr:rowOff>
    </xdr:from>
    <xdr:to>
      <xdr:col>3</xdr:col>
      <xdr:colOff>165100</xdr:colOff>
      <xdr:row>1346</xdr:row>
      <xdr:rowOff>88900</xdr:rowOff>
    </xdr:to>
    <xdr:sp macro="" textlink="">
      <xdr:nvSpPr>
        <xdr:cNvPr id="7571" name="Control 403" hidden="1">
          <a:extLst>
            <a:ext uri="{63B3BB69-23CF-44E3-9099-C40C66FF867C}">
              <a14:compatExt xmlns:a14="http://schemas.microsoft.com/office/drawing/2010/main" spid="_x0000_s7571"/>
            </a:ext>
            <a:ext uri="{FF2B5EF4-FFF2-40B4-BE49-F238E27FC236}">
              <a16:creationId xmlns:a16="http://schemas.microsoft.com/office/drawing/2014/main" xmlns="" id="{00000000-0008-0000-0600-0000931D0000}"/>
            </a:ext>
          </a:extLst>
        </xdr:cNvPr>
        <xdr:cNvSpPr/>
      </xdr:nvSpPr>
      <xdr:spPr>
        <a:xfrm>
          <a:off x="0" y="0"/>
          <a:ext cx="0" cy="0"/>
        </a:xfrm>
        <a:prstGeom prst="rect">
          <a:avLst/>
        </a:prstGeom>
      </xdr:spPr>
    </xdr:sp>
    <xdr:clientData/>
  </xdr:twoCellAnchor>
  <xdr:twoCellAnchor editAs="oneCell">
    <xdr:from>
      <xdr:col>4</xdr:col>
      <xdr:colOff>0</xdr:colOff>
      <xdr:row>607</xdr:row>
      <xdr:rowOff>0</xdr:rowOff>
    </xdr:from>
    <xdr:to>
      <xdr:col>4</xdr:col>
      <xdr:colOff>152400</xdr:colOff>
      <xdr:row>607</xdr:row>
      <xdr:rowOff>152400</xdr:rowOff>
    </xdr:to>
    <xdr:pic>
      <xdr:nvPicPr>
        <xdr:cNvPr id="405" name="Picture 404" descr="Documents icon">
          <a:extLst>
            <a:ext uri="{FF2B5EF4-FFF2-40B4-BE49-F238E27FC236}">
              <a16:creationId xmlns:a16="http://schemas.microsoft.com/office/drawing/2014/main" xmlns="" id="{00000000-0008-0000-06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851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1351</xdr:row>
      <xdr:rowOff>177800</xdr:rowOff>
    </xdr:from>
    <xdr:to>
      <xdr:col>3</xdr:col>
      <xdr:colOff>165100</xdr:colOff>
      <xdr:row>1352</xdr:row>
      <xdr:rowOff>177800</xdr:rowOff>
    </xdr:to>
    <xdr:sp macro="" textlink="">
      <xdr:nvSpPr>
        <xdr:cNvPr id="7573" name="Control 405" hidden="1">
          <a:extLst>
            <a:ext uri="{63B3BB69-23CF-44E3-9099-C40C66FF867C}">
              <a14:compatExt xmlns:a14="http://schemas.microsoft.com/office/drawing/2010/main" spid="_x0000_s7573"/>
            </a:ext>
            <a:ext uri="{FF2B5EF4-FFF2-40B4-BE49-F238E27FC236}">
              <a16:creationId xmlns:a16="http://schemas.microsoft.com/office/drawing/2014/main" xmlns="" id="{00000000-0008-0000-0600-0000951D0000}"/>
            </a:ext>
          </a:extLst>
        </xdr:cNvPr>
        <xdr:cNvSpPr/>
      </xdr:nvSpPr>
      <xdr:spPr>
        <a:xfrm>
          <a:off x="0" y="0"/>
          <a:ext cx="0" cy="0"/>
        </a:xfrm>
        <a:prstGeom prst="rect">
          <a:avLst/>
        </a:prstGeom>
      </xdr:spPr>
    </xdr:sp>
    <xdr:clientData/>
  </xdr:twoCellAnchor>
  <xdr:twoCellAnchor editAs="oneCell">
    <xdr:from>
      <xdr:col>4</xdr:col>
      <xdr:colOff>0</xdr:colOff>
      <xdr:row>610</xdr:row>
      <xdr:rowOff>0</xdr:rowOff>
    </xdr:from>
    <xdr:to>
      <xdr:col>4</xdr:col>
      <xdr:colOff>152400</xdr:colOff>
      <xdr:row>610</xdr:row>
      <xdr:rowOff>152400</xdr:rowOff>
    </xdr:to>
    <xdr:pic>
      <xdr:nvPicPr>
        <xdr:cNvPr id="407" name="Picture 406" descr="Documents icon">
          <a:extLst>
            <a:ext uri="{FF2B5EF4-FFF2-40B4-BE49-F238E27FC236}">
              <a16:creationId xmlns:a16="http://schemas.microsoft.com/office/drawing/2014/main" xmlns="" id="{00000000-0008-0000-06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394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1358</xdr:row>
      <xdr:rowOff>139700</xdr:rowOff>
    </xdr:from>
    <xdr:to>
      <xdr:col>3</xdr:col>
      <xdr:colOff>165100</xdr:colOff>
      <xdr:row>1359</xdr:row>
      <xdr:rowOff>139700</xdr:rowOff>
    </xdr:to>
    <xdr:sp macro="" textlink="">
      <xdr:nvSpPr>
        <xdr:cNvPr id="7575" name="Control 407" hidden="1">
          <a:extLst>
            <a:ext uri="{63B3BB69-23CF-44E3-9099-C40C66FF867C}">
              <a14:compatExt xmlns:a14="http://schemas.microsoft.com/office/drawing/2010/main" spid="_x0000_s7575"/>
            </a:ext>
            <a:ext uri="{FF2B5EF4-FFF2-40B4-BE49-F238E27FC236}">
              <a16:creationId xmlns:a16="http://schemas.microsoft.com/office/drawing/2014/main" xmlns="" id="{00000000-0008-0000-0600-0000971D0000}"/>
            </a:ext>
          </a:extLst>
        </xdr:cNvPr>
        <xdr:cNvSpPr/>
      </xdr:nvSpPr>
      <xdr:spPr>
        <a:xfrm>
          <a:off x="0" y="0"/>
          <a:ext cx="0" cy="0"/>
        </a:xfrm>
        <a:prstGeom prst="rect">
          <a:avLst/>
        </a:prstGeom>
      </xdr:spPr>
    </xdr:sp>
    <xdr:clientData/>
  </xdr:twoCellAnchor>
  <xdr:twoCellAnchor editAs="oneCell">
    <xdr:from>
      <xdr:col>4</xdr:col>
      <xdr:colOff>0</xdr:colOff>
      <xdr:row>613</xdr:row>
      <xdr:rowOff>0</xdr:rowOff>
    </xdr:from>
    <xdr:to>
      <xdr:col>4</xdr:col>
      <xdr:colOff>152400</xdr:colOff>
      <xdr:row>613</xdr:row>
      <xdr:rowOff>152400</xdr:rowOff>
    </xdr:to>
    <xdr:pic>
      <xdr:nvPicPr>
        <xdr:cNvPr id="409" name="Picture 408" descr="Documents icon">
          <a:extLst>
            <a:ext uri="{FF2B5EF4-FFF2-40B4-BE49-F238E27FC236}">
              <a16:creationId xmlns:a16="http://schemas.microsoft.com/office/drawing/2014/main" xmlns="" id="{00000000-0008-0000-06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937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1365</xdr:row>
      <xdr:rowOff>76200</xdr:rowOff>
    </xdr:from>
    <xdr:to>
      <xdr:col>3</xdr:col>
      <xdr:colOff>165100</xdr:colOff>
      <xdr:row>1366</xdr:row>
      <xdr:rowOff>76200</xdr:rowOff>
    </xdr:to>
    <xdr:sp macro="" textlink="">
      <xdr:nvSpPr>
        <xdr:cNvPr id="7577" name="Control 409" hidden="1">
          <a:extLst>
            <a:ext uri="{63B3BB69-23CF-44E3-9099-C40C66FF867C}">
              <a14:compatExt xmlns:a14="http://schemas.microsoft.com/office/drawing/2010/main" spid="_x0000_s7577"/>
            </a:ext>
            <a:ext uri="{FF2B5EF4-FFF2-40B4-BE49-F238E27FC236}">
              <a16:creationId xmlns:a16="http://schemas.microsoft.com/office/drawing/2014/main" xmlns="" id="{00000000-0008-0000-0600-0000991D0000}"/>
            </a:ext>
          </a:extLst>
        </xdr:cNvPr>
        <xdr:cNvSpPr/>
      </xdr:nvSpPr>
      <xdr:spPr>
        <a:xfrm>
          <a:off x="0" y="0"/>
          <a:ext cx="0" cy="0"/>
        </a:xfrm>
        <a:prstGeom prst="rect">
          <a:avLst/>
        </a:prstGeom>
      </xdr:spPr>
    </xdr:sp>
    <xdr:clientData/>
  </xdr:twoCellAnchor>
  <xdr:twoCellAnchor editAs="oneCell">
    <xdr:from>
      <xdr:col>4</xdr:col>
      <xdr:colOff>0</xdr:colOff>
      <xdr:row>616</xdr:row>
      <xdr:rowOff>0</xdr:rowOff>
    </xdr:from>
    <xdr:to>
      <xdr:col>4</xdr:col>
      <xdr:colOff>152400</xdr:colOff>
      <xdr:row>616</xdr:row>
      <xdr:rowOff>152400</xdr:rowOff>
    </xdr:to>
    <xdr:pic>
      <xdr:nvPicPr>
        <xdr:cNvPr id="411" name="Picture 410" descr="Documents icon">
          <a:extLst>
            <a:ext uri="{FF2B5EF4-FFF2-40B4-BE49-F238E27FC236}">
              <a16:creationId xmlns:a16="http://schemas.microsoft.com/office/drawing/2014/main" xmlns="" id="{00000000-0008-0000-06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480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1372</xdr:row>
      <xdr:rowOff>25400</xdr:rowOff>
    </xdr:from>
    <xdr:to>
      <xdr:col>3</xdr:col>
      <xdr:colOff>165100</xdr:colOff>
      <xdr:row>1373</xdr:row>
      <xdr:rowOff>25400</xdr:rowOff>
    </xdr:to>
    <xdr:sp macro="" textlink="">
      <xdr:nvSpPr>
        <xdr:cNvPr id="7579" name="Control 411" hidden="1">
          <a:extLst>
            <a:ext uri="{63B3BB69-23CF-44E3-9099-C40C66FF867C}">
              <a14:compatExt xmlns:a14="http://schemas.microsoft.com/office/drawing/2010/main" spid="_x0000_s7579"/>
            </a:ext>
            <a:ext uri="{FF2B5EF4-FFF2-40B4-BE49-F238E27FC236}">
              <a16:creationId xmlns:a16="http://schemas.microsoft.com/office/drawing/2014/main" xmlns="" id="{00000000-0008-0000-0600-00009B1D0000}"/>
            </a:ext>
          </a:extLst>
        </xdr:cNvPr>
        <xdr:cNvSpPr/>
      </xdr:nvSpPr>
      <xdr:spPr>
        <a:xfrm>
          <a:off x="0" y="0"/>
          <a:ext cx="0" cy="0"/>
        </a:xfrm>
        <a:prstGeom prst="rect">
          <a:avLst/>
        </a:prstGeom>
      </xdr:spPr>
    </xdr:sp>
    <xdr:clientData/>
  </xdr:twoCellAnchor>
  <xdr:twoCellAnchor editAs="oneCell">
    <xdr:from>
      <xdr:col>4</xdr:col>
      <xdr:colOff>0</xdr:colOff>
      <xdr:row>619</xdr:row>
      <xdr:rowOff>0</xdr:rowOff>
    </xdr:from>
    <xdr:to>
      <xdr:col>4</xdr:col>
      <xdr:colOff>152400</xdr:colOff>
      <xdr:row>619</xdr:row>
      <xdr:rowOff>152400</xdr:rowOff>
    </xdr:to>
    <xdr:pic>
      <xdr:nvPicPr>
        <xdr:cNvPr id="413" name="Picture 412" descr="Documents icon">
          <a:extLst>
            <a:ext uri="{FF2B5EF4-FFF2-40B4-BE49-F238E27FC236}">
              <a16:creationId xmlns:a16="http://schemas.microsoft.com/office/drawing/2014/main" xmlns="" id="{00000000-0008-0000-06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023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1378</xdr:row>
      <xdr:rowOff>114300</xdr:rowOff>
    </xdr:from>
    <xdr:to>
      <xdr:col>3</xdr:col>
      <xdr:colOff>165100</xdr:colOff>
      <xdr:row>1379</xdr:row>
      <xdr:rowOff>114300</xdr:rowOff>
    </xdr:to>
    <xdr:sp macro="" textlink="">
      <xdr:nvSpPr>
        <xdr:cNvPr id="7581" name="Control 413" hidden="1">
          <a:extLst>
            <a:ext uri="{63B3BB69-23CF-44E3-9099-C40C66FF867C}">
              <a14:compatExt xmlns:a14="http://schemas.microsoft.com/office/drawing/2010/main" spid="_x0000_s7581"/>
            </a:ext>
            <a:ext uri="{FF2B5EF4-FFF2-40B4-BE49-F238E27FC236}">
              <a16:creationId xmlns:a16="http://schemas.microsoft.com/office/drawing/2014/main" xmlns="" id="{00000000-0008-0000-0600-00009D1D0000}"/>
            </a:ext>
          </a:extLst>
        </xdr:cNvPr>
        <xdr:cNvSpPr/>
      </xdr:nvSpPr>
      <xdr:spPr>
        <a:xfrm>
          <a:off x="0" y="0"/>
          <a:ext cx="0" cy="0"/>
        </a:xfrm>
        <a:prstGeom prst="rect">
          <a:avLst/>
        </a:prstGeom>
      </xdr:spPr>
    </xdr:sp>
    <xdr:clientData/>
  </xdr:twoCellAnchor>
  <xdr:twoCellAnchor editAs="oneCell">
    <xdr:from>
      <xdr:col>4</xdr:col>
      <xdr:colOff>0</xdr:colOff>
      <xdr:row>622</xdr:row>
      <xdr:rowOff>0</xdr:rowOff>
    </xdr:from>
    <xdr:to>
      <xdr:col>4</xdr:col>
      <xdr:colOff>152400</xdr:colOff>
      <xdr:row>622</xdr:row>
      <xdr:rowOff>152400</xdr:rowOff>
    </xdr:to>
    <xdr:pic>
      <xdr:nvPicPr>
        <xdr:cNvPr id="415" name="Picture 414" descr="Documents icon">
          <a:extLst>
            <a:ext uri="{FF2B5EF4-FFF2-40B4-BE49-F238E27FC236}">
              <a16:creationId xmlns:a16="http://schemas.microsoft.com/office/drawing/2014/main" xmlns="" id="{00000000-0008-0000-06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2566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1385</xdr:row>
      <xdr:rowOff>101600</xdr:rowOff>
    </xdr:from>
    <xdr:to>
      <xdr:col>3</xdr:col>
      <xdr:colOff>165100</xdr:colOff>
      <xdr:row>1386</xdr:row>
      <xdr:rowOff>101600</xdr:rowOff>
    </xdr:to>
    <xdr:sp macro="" textlink="">
      <xdr:nvSpPr>
        <xdr:cNvPr id="7583" name="Control 415" hidden="1">
          <a:extLst>
            <a:ext uri="{63B3BB69-23CF-44E3-9099-C40C66FF867C}">
              <a14:compatExt xmlns:a14="http://schemas.microsoft.com/office/drawing/2010/main" spid="_x0000_s7583"/>
            </a:ext>
            <a:ext uri="{FF2B5EF4-FFF2-40B4-BE49-F238E27FC236}">
              <a16:creationId xmlns:a16="http://schemas.microsoft.com/office/drawing/2014/main" xmlns="" id="{00000000-0008-0000-0600-00009F1D0000}"/>
            </a:ext>
          </a:extLst>
        </xdr:cNvPr>
        <xdr:cNvSpPr/>
      </xdr:nvSpPr>
      <xdr:spPr>
        <a:xfrm>
          <a:off x="0" y="0"/>
          <a:ext cx="0" cy="0"/>
        </a:xfrm>
        <a:prstGeom prst="rect">
          <a:avLst/>
        </a:prstGeom>
      </xdr:spPr>
    </xdr:sp>
    <xdr:clientData/>
  </xdr:twoCellAnchor>
  <xdr:twoCellAnchor editAs="oneCell">
    <xdr:from>
      <xdr:col>4</xdr:col>
      <xdr:colOff>0</xdr:colOff>
      <xdr:row>625</xdr:row>
      <xdr:rowOff>0</xdr:rowOff>
    </xdr:from>
    <xdr:to>
      <xdr:col>4</xdr:col>
      <xdr:colOff>152400</xdr:colOff>
      <xdr:row>625</xdr:row>
      <xdr:rowOff>152400</xdr:rowOff>
    </xdr:to>
    <xdr:pic>
      <xdr:nvPicPr>
        <xdr:cNvPr id="417" name="Picture 416" descr="Documents icon">
          <a:extLst>
            <a:ext uri="{FF2B5EF4-FFF2-40B4-BE49-F238E27FC236}">
              <a16:creationId xmlns:a16="http://schemas.microsoft.com/office/drawing/2014/main" xmlns="" id="{00000000-0008-0000-06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109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1392</xdr:row>
      <xdr:rowOff>88900</xdr:rowOff>
    </xdr:from>
    <xdr:to>
      <xdr:col>3</xdr:col>
      <xdr:colOff>165100</xdr:colOff>
      <xdr:row>1393</xdr:row>
      <xdr:rowOff>88900</xdr:rowOff>
    </xdr:to>
    <xdr:sp macro="" textlink="">
      <xdr:nvSpPr>
        <xdr:cNvPr id="7585" name="Control 417" hidden="1">
          <a:extLst>
            <a:ext uri="{63B3BB69-23CF-44E3-9099-C40C66FF867C}">
              <a14:compatExt xmlns:a14="http://schemas.microsoft.com/office/drawing/2010/main" spid="_x0000_s7585"/>
            </a:ext>
            <a:ext uri="{FF2B5EF4-FFF2-40B4-BE49-F238E27FC236}">
              <a16:creationId xmlns:a16="http://schemas.microsoft.com/office/drawing/2014/main" xmlns="" id="{00000000-0008-0000-0600-0000A11D0000}"/>
            </a:ext>
          </a:extLst>
        </xdr:cNvPr>
        <xdr:cNvSpPr/>
      </xdr:nvSpPr>
      <xdr:spPr>
        <a:xfrm>
          <a:off x="0" y="0"/>
          <a:ext cx="0" cy="0"/>
        </a:xfrm>
        <a:prstGeom prst="rect">
          <a:avLst/>
        </a:prstGeom>
      </xdr:spPr>
    </xdr:sp>
    <xdr:clientData/>
  </xdr:twoCellAnchor>
  <xdr:twoCellAnchor editAs="oneCell">
    <xdr:from>
      <xdr:col>4</xdr:col>
      <xdr:colOff>0</xdr:colOff>
      <xdr:row>628</xdr:row>
      <xdr:rowOff>0</xdr:rowOff>
    </xdr:from>
    <xdr:to>
      <xdr:col>4</xdr:col>
      <xdr:colOff>152400</xdr:colOff>
      <xdr:row>628</xdr:row>
      <xdr:rowOff>152400</xdr:rowOff>
    </xdr:to>
    <xdr:pic>
      <xdr:nvPicPr>
        <xdr:cNvPr id="419" name="Picture 418" descr="Documents icon">
          <a:extLst>
            <a:ext uri="{FF2B5EF4-FFF2-40B4-BE49-F238E27FC236}">
              <a16:creationId xmlns:a16="http://schemas.microsoft.com/office/drawing/2014/main" xmlns="" id="{00000000-0008-0000-06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652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1398</xdr:row>
      <xdr:rowOff>152400</xdr:rowOff>
    </xdr:from>
    <xdr:to>
      <xdr:col>3</xdr:col>
      <xdr:colOff>165100</xdr:colOff>
      <xdr:row>1399</xdr:row>
      <xdr:rowOff>152400</xdr:rowOff>
    </xdr:to>
    <xdr:sp macro="" textlink="">
      <xdr:nvSpPr>
        <xdr:cNvPr id="7587" name="Control 419" hidden="1">
          <a:extLst>
            <a:ext uri="{63B3BB69-23CF-44E3-9099-C40C66FF867C}">
              <a14:compatExt xmlns:a14="http://schemas.microsoft.com/office/drawing/2010/main" spid="_x0000_s7587"/>
            </a:ext>
            <a:ext uri="{FF2B5EF4-FFF2-40B4-BE49-F238E27FC236}">
              <a16:creationId xmlns:a16="http://schemas.microsoft.com/office/drawing/2014/main" xmlns="" id="{00000000-0008-0000-0600-0000A31D0000}"/>
            </a:ext>
          </a:extLst>
        </xdr:cNvPr>
        <xdr:cNvSpPr/>
      </xdr:nvSpPr>
      <xdr:spPr>
        <a:xfrm>
          <a:off x="0" y="0"/>
          <a:ext cx="0" cy="0"/>
        </a:xfrm>
        <a:prstGeom prst="rect">
          <a:avLst/>
        </a:prstGeom>
      </xdr:spPr>
    </xdr:sp>
    <xdr:clientData/>
  </xdr:twoCellAnchor>
  <xdr:twoCellAnchor editAs="oneCell">
    <xdr:from>
      <xdr:col>4</xdr:col>
      <xdr:colOff>0</xdr:colOff>
      <xdr:row>631</xdr:row>
      <xdr:rowOff>0</xdr:rowOff>
    </xdr:from>
    <xdr:to>
      <xdr:col>4</xdr:col>
      <xdr:colOff>152400</xdr:colOff>
      <xdr:row>631</xdr:row>
      <xdr:rowOff>152400</xdr:rowOff>
    </xdr:to>
    <xdr:pic>
      <xdr:nvPicPr>
        <xdr:cNvPr id="421" name="Picture 420" descr="Documents icon">
          <a:extLst>
            <a:ext uri="{FF2B5EF4-FFF2-40B4-BE49-F238E27FC236}">
              <a16:creationId xmlns:a16="http://schemas.microsoft.com/office/drawing/2014/main" xmlns="" id="{00000000-0008-0000-06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195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1405</xdr:row>
      <xdr:rowOff>114300</xdr:rowOff>
    </xdr:from>
    <xdr:to>
      <xdr:col>3</xdr:col>
      <xdr:colOff>165100</xdr:colOff>
      <xdr:row>1406</xdr:row>
      <xdr:rowOff>114300</xdr:rowOff>
    </xdr:to>
    <xdr:sp macro="" textlink="">
      <xdr:nvSpPr>
        <xdr:cNvPr id="7589" name="Control 421" hidden="1">
          <a:extLst>
            <a:ext uri="{63B3BB69-23CF-44E3-9099-C40C66FF867C}">
              <a14:compatExt xmlns:a14="http://schemas.microsoft.com/office/drawing/2010/main" spid="_x0000_s7589"/>
            </a:ext>
            <a:ext uri="{FF2B5EF4-FFF2-40B4-BE49-F238E27FC236}">
              <a16:creationId xmlns:a16="http://schemas.microsoft.com/office/drawing/2014/main" xmlns="" id="{00000000-0008-0000-0600-0000A51D0000}"/>
            </a:ext>
          </a:extLst>
        </xdr:cNvPr>
        <xdr:cNvSpPr/>
      </xdr:nvSpPr>
      <xdr:spPr>
        <a:xfrm>
          <a:off x="0" y="0"/>
          <a:ext cx="0" cy="0"/>
        </a:xfrm>
        <a:prstGeom prst="rect">
          <a:avLst/>
        </a:prstGeom>
      </xdr:spPr>
    </xdr:sp>
    <xdr:clientData/>
  </xdr:twoCellAnchor>
  <xdr:twoCellAnchor editAs="oneCell">
    <xdr:from>
      <xdr:col>4</xdr:col>
      <xdr:colOff>0</xdr:colOff>
      <xdr:row>634</xdr:row>
      <xdr:rowOff>0</xdr:rowOff>
    </xdr:from>
    <xdr:to>
      <xdr:col>4</xdr:col>
      <xdr:colOff>152400</xdr:colOff>
      <xdr:row>634</xdr:row>
      <xdr:rowOff>152400</xdr:rowOff>
    </xdr:to>
    <xdr:pic>
      <xdr:nvPicPr>
        <xdr:cNvPr id="423" name="Picture 422" descr="Documents icon">
          <a:extLst>
            <a:ext uri="{FF2B5EF4-FFF2-40B4-BE49-F238E27FC236}">
              <a16:creationId xmlns:a16="http://schemas.microsoft.com/office/drawing/2014/main" xmlns="" id="{00000000-0008-0000-06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38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1411</xdr:row>
      <xdr:rowOff>177800</xdr:rowOff>
    </xdr:from>
    <xdr:to>
      <xdr:col>3</xdr:col>
      <xdr:colOff>165100</xdr:colOff>
      <xdr:row>1412</xdr:row>
      <xdr:rowOff>177800</xdr:rowOff>
    </xdr:to>
    <xdr:sp macro="" textlink="">
      <xdr:nvSpPr>
        <xdr:cNvPr id="7591" name="Control 423" hidden="1">
          <a:extLst>
            <a:ext uri="{63B3BB69-23CF-44E3-9099-C40C66FF867C}">
              <a14:compatExt xmlns:a14="http://schemas.microsoft.com/office/drawing/2010/main" spid="_x0000_s7591"/>
            </a:ext>
            <a:ext uri="{FF2B5EF4-FFF2-40B4-BE49-F238E27FC236}">
              <a16:creationId xmlns:a16="http://schemas.microsoft.com/office/drawing/2014/main" xmlns="" id="{00000000-0008-0000-0600-0000A71D0000}"/>
            </a:ext>
          </a:extLst>
        </xdr:cNvPr>
        <xdr:cNvSpPr/>
      </xdr:nvSpPr>
      <xdr:spPr>
        <a:xfrm>
          <a:off x="0" y="0"/>
          <a:ext cx="0" cy="0"/>
        </a:xfrm>
        <a:prstGeom prst="rect">
          <a:avLst/>
        </a:prstGeom>
      </xdr:spPr>
    </xdr:sp>
    <xdr:clientData/>
  </xdr:twoCellAnchor>
  <xdr:twoCellAnchor editAs="oneCell">
    <xdr:from>
      <xdr:col>4</xdr:col>
      <xdr:colOff>0</xdr:colOff>
      <xdr:row>637</xdr:row>
      <xdr:rowOff>0</xdr:rowOff>
    </xdr:from>
    <xdr:to>
      <xdr:col>4</xdr:col>
      <xdr:colOff>152400</xdr:colOff>
      <xdr:row>637</xdr:row>
      <xdr:rowOff>152400</xdr:rowOff>
    </xdr:to>
    <xdr:pic>
      <xdr:nvPicPr>
        <xdr:cNvPr id="425" name="Picture 424" descr="Documents icon">
          <a:extLst>
            <a:ext uri="{FF2B5EF4-FFF2-40B4-BE49-F238E27FC236}">
              <a16:creationId xmlns:a16="http://schemas.microsoft.com/office/drawing/2014/main" xmlns="" id="{00000000-0008-0000-06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281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1418</xdr:row>
      <xdr:rowOff>139700</xdr:rowOff>
    </xdr:from>
    <xdr:to>
      <xdr:col>3</xdr:col>
      <xdr:colOff>165100</xdr:colOff>
      <xdr:row>1419</xdr:row>
      <xdr:rowOff>139700</xdr:rowOff>
    </xdr:to>
    <xdr:sp macro="" textlink="">
      <xdr:nvSpPr>
        <xdr:cNvPr id="7593" name="Control 425" hidden="1">
          <a:extLst>
            <a:ext uri="{63B3BB69-23CF-44E3-9099-C40C66FF867C}">
              <a14:compatExt xmlns:a14="http://schemas.microsoft.com/office/drawing/2010/main" spid="_x0000_s7593"/>
            </a:ext>
            <a:ext uri="{FF2B5EF4-FFF2-40B4-BE49-F238E27FC236}">
              <a16:creationId xmlns:a16="http://schemas.microsoft.com/office/drawing/2014/main" xmlns="" id="{00000000-0008-0000-0600-0000A91D0000}"/>
            </a:ext>
          </a:extLst>
        </xdr:cNvPr>
        <xdr:cNvSpPr/>
      </xdr:nvSpPr>
      <xdr:spPr>
        <a:xfrm>
          <a:off x="0" y="0"/>
          <a:ext cx="0" cy="0"/>
        </a:xfrm>
        <a:prstGeom prst="rect">
          <a:avLst/>
        </a:prstGeom>
      </xdr:spPr>
    </xdr:sp>
    <xdr:clientData/>
  </xdr:twoCellAnchor>
  <xdr:twoCellAnchor editAs="oneCell">
    <xdr:from>
      <xdr:col>4</xdr:col>
      <xdr:colOff>0</xdr:colOff>
      <xdr:row>640</xdr:row>
      <xdr:rowOff>0</xdr:rowOff>
    </xdr:from>
    <xdr:to>
      <xdr:col>4</xdr:col>
      <xdr:colOff>152400</xdr:colOff>
      <xdr:row>640</xdr:row>
      <xdr:rowOff>152400</xdr:rowOff>
    </xdr:to>
    <xdr:pic>
      <xdr:nvPicPr>
        <xdr:cNvPr id="427" name="Picture 426" descr="Documents icon">
          <a:extLst>
            <a:ext uri="{FF2B5EF4-FFF2-40B4-BE49-F238E27FC236}">
              <a16:creationId xmlns:a16="http://schemas.microsoft.com/office/drawing/2014/main" xmlns="" id="{00000000-0008-0000-06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8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1425</xdr:row>
      <xdr:rowOff>76200</xdr:rowOff>
    </xdr:from>
    <xdr:to>
      <xdr:col>3</xdr:col>
      <xdr:colOff>165100</xdr:colOff>
      <xdr:row>1426</xdr:row>
      <xdr:rowOff>76200</xdr:rowOff>
    </xdr:to>
    <xdr:sp macro="" textlink="">
      <xdr:nvSpPr>
        <xdr:cNvPr id="7595" name="Control 427" hidden="1">
          <a:extLst>
            <a:ext uri="{63B3BB69-23CF-44E3-9099-C40C66FF867C}">
              <a14:compatExt xmlns:a14="http://schemas.microsoft.com/office/drawing/2010/main" spid="_x0000_s7595"/>
            </a:ext>
            <a:ext uri="{FF2B5EF4-FFF2-40B4-BE49-F238E27FC236}">
              <a16:creationId xmlns:a16="http://schemas.microsoft.com/office/drawing/2014/main" xmlns="" id="{00000000-0008-0000-0600-0000AB1D0000}"/>
            </a:ext>
          </a:extLst>
        </xdr:cNvPr>
        <xdr:cNvSpPr/>
      </xdr:nvSpPr>
      <xdr:spPr>
        <a:xfrm>
          <a:off x="0" y="0"/>
          <a:ext cx="0" cy="0"/>
        </a:xfrm>
        <a:prstGeom prst="rect">
          <a:avLst/>
        </a:prstGeom>
      </xdr:spPr>
    </xdr:sp>
    <xdr:clientData/>
  </xdr:twoCellAnchor>
  <xdr:twoCellAnchor editAs="oneCell">
    <xdr:from>
      <xdr:col>4</xdr:col>
      <xdr:colOff>0</xdr:colOff>
      <xdr:row>643</xdr:row>
      <xdr:rowOff>0</xdr:rowOff>
    </xdr:from>
    <xdr:to>
      <xdr:col>4</xdr:col>
      <xdr:colOff>152400</xdr:colOff>
      <xdr:row>643</xdr:row>
      <xdr:rowOff>152400</xdr:rowOff>
    </xdr:to>
    <xdr:pic>
      <xdr:nvPicPr>
        <xdr:cNvPr id="429" name="Picture 428" descr="Documents icon">
          <a:extLst>
            <a:ext uri="{FF2B5EF4-FFF2-40B4-BE49-F238E27FC236}">
              <a16:creationId xmlns:a16="http://schemas.microsoft.com/office/drawing/2014/main" xmlns="" id="{00000000-0008-0000-06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366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1432</xdr:row>
      <xdr:rowOff>50800</xdr:rowOff>
    </xdr:from>
    <xdr:to>
      <xdr:col>3</xdr:col>
      <xdr:colOff>165100</xdr:colOff>
      <xdr:row>1433</xdr:row>
      <xdr:rowOff>50800</xdr:rowOff>
    </xdr:to>
    <xdr:sp macro="" textlink="">
      <xdr:nvSpPr>
        <xdr:cNvPr id="7597" name="Control 429" hidden="1">
          <a:extLst>
            <a:ext uri="{63B3BB69-23CF-44E3-9099-C40C66FF867C}">
              <a14:compatExt xmlns:a14="http://schemas.microsoft.com/office/drawing/2010/main" spid="_x0000_s7597"/>
            </a:ext>
            <a:ext uri="{FF2B5EF4-FFF2-40B4-BE49-F238E27FC236}">
              <a16:creationId xmlns:a16="http://schemas.microsoft.com/office/drawing/2014/main" xmlns="" id="{00000000-0008-0000-0600-0000AD1D0000}"/>
            </a:ext>
          </a:extLst>
        </xdr:cNvPr>
        <xdr:cNvSpPr/>
      </xdr:nvSpPr>
      <xdr:spPr>
        <a:xfrm>
          <a:off x="0" y="0"/>
          <a:ext cx="0" cy="0"/>
        </a:xfrm>
        <a:prstGeom prst="rect">
          <a:avLst/>
        </a:prstGeom>
      </xdr:spPr>
    </xdr:sp>
    <xdr:clientData/>
  </xdr:twoCellAnchor>
  <xdr:twoCellAnchor editAs="oneCell">
    <xdr:from>
      <xdr:col>4</xdr:col>
      <xdr:colOff>0</xdr:colOff>
      <xdr:row>646</xdr:row>
      <xdr:rowOff>0</xdr:rowOff>
    </xdr:from>
    <xdr:to>
      <xdr:col>4</xdr:col>
      <xdr:colOff>152400</xdr:colOff>
      <xdr:row>646</xdr:row>
      <xdr:rowOff>152400</xdr:rowOff>
    </xdr:to>
    <xdr:pic>
      <xdr:nvPicPr>
        <xdr:cNvPr id="431" name="Picture 430" descr="Documents icon">
          <a:extLst>
            <a:ext uri="{FF2B5EF4-FFF2-40B4-BE49-F238E27FC236}">
              <a16:creationId xmlns:a16="http://schemas.microsoft.com/office/drawing/2014/main" xmlns="" id="{00000000-0008-0000-06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909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1438</xdr:row>
      <xdr:rowOff>152400</xdr:rowOff>
    </xdr:from>
    <xdr:to>
      <xdr:col>3</xdr:col>
      <xdr:colOff>165100</xdr:colOff>
      <xdr:row>1439</xdr:row>
      <xdr:rowOff>152400</xdr:rowOff>
    </xdr:to>
    <xdr:sp macro="" textlink="">
      <xdr:nvSpPr>
        <xdr:cNvPr id="7599" name="Control 431" hidden="1">
          <a:extLst>
            <a:ext uri="{63B3BB69-23CF-44E3-9099-C40C66FF867C}">
              <a14:compatExt xmlns:a14="http://schemas.microsoft.com/office/drawing/2010/main" spid="_x0000_s7599"/>
            </a:ext>
            <a:ext uri="{FF2B5EF4-FFF2-40B4-BE49-F238E27FC236}">
              <a16:creationId xmlns:a16="http://schemas.microsoft.com/office/drawing/2014/main" xmlns="" id="{00000000-0008-0000-0600-0000AF1D0000}"/>
            </a:ext>
          </a:extLst>
        </xdr:cNvPr>
        <xdr:cNvSpPr/>
      </xdr:nvSpPr>
      <xdr:spPr>
        <a:xfrm>
          <a:off x="0" y="0"/>
          <a:ext cx="0" cy="0"/>
        </a:xfrm>
        <a:prstGeom prst="rect">
          <a:avLst/>
        </a:prstGeom>
      </xdr:spPr>
    </xdr:sp>
    <xdr:clientData/>
  </xdr:twoCellAnchor>
  <xdr:twoCellAnchor editAs="oneCell">
    <xdr:from>
      <xdr:col>4</xdr:col>
      <xdr:colOff>0</xdr:colOff>
      <xdr:row>649</xdr:row>
      <xdr:rowOff>0</xdr:rowOff>
    </xdr:from>
    <xdr:to>
      <xdr:col>4</xdr:col>
      <xdr:colOff>152400</xdr:colOff>
      <xdr:row>649</xdr:row>
      <xdr:rowOff>152400</xdr:rowOff>
    </xdr:to>
    <xdr:pic>
      <xdr:nvPicPr>
        <xdr:cNvPr id="433" name="Picture 432" descr="Documents icon">
          <a:extLst>
            <a:ext uri="{FF2B5EF4-FFF2-40B4-BE49-F238E27FC236}">
              <a16:creationId xmlns:a16="http://schemas.microsoft.com/office/drawing/2014/main" xmlns="" id="{00000000-0008-0000-06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452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1445</xdr:row>
      <xdr:rowOff>38100</xdr:rowOff>
    </xdr:from>
    <xdr:to>
      <xdr:col>3</xdr:col>
      <xdr:colOff>165100</xdr:colOff>
      <xdr:row>1446</xdr:row>
      <xdr:rowOff>38100</xdr:rowOff>
    </xdr:to>
    <xdr:sp macro="" textlink="">
      <xdr:nvSpPr>
        <xdr:cNvPr id="7601" name="Control 433" hidden="1">
          <a:extLst>
            <a:ext uri="{63B3BB69-23CF-44E3-9099-C40C66FF867C}">
              <a14:compatExt xmlns:a14="http://schemas.microsoft.com/office/drawing/2010/main" spid="_x0000_s7601"/>
            </a:ext>
            <a:ext uri="{FF2B5EF4-FFF2-40B4-BE49-F238E27FC236}">
              <a16:creationId xmlns:a16="http://schemas.microsoft.com/office/drawing/2014/main" xmlns="" id="{00000000-0008-0000-0600-0000B11D0000}"/>
            </a:ext>
          </a:extLst>
        </xdr:cNvPr>
        <xdr:cNvSpPr/>
      </xdr:nvSpPr>
      <xdr:spPr>
        <a:xfrm>
          <a:off x="0" y="0"/>
          <a:ext cx="0" cy="0"/>
        </a:xfrm>
        <a:prstGeom prst="rect">
          <a:avLst/>
        </a:prstGeom>
      </xdr:spPr>
    </xdr:sp>
    <xdr:clientData/>
  </xdr:twoCellAnchor>
  <xdr:twoCellAnchor editAs="oneCell">
    <xdr:from>
      <xdr:col>4</xdr:col>
      <xdr:colOff>0</xdr:colOff>
      <xdr:row>652</xdr:row>
      <xdr:rowOff>0</xdr:rowOff>
    </xdr:from>
    <xdr:to>
      <xdr:col>4</xdr:col>
      <xdr:colOff>152400</xdr:colOff>
      <xdr:row>652</xdr:row>
      <xdr:rowOff>152400</xdr:rowOff>
    </xdr:to>
    <xdr:pic>
      <xdr:nvPicPr>
        <xdr:cNvPr id="435" name="Picture 434" descr="Documents icon">
          <a:extLst>
            <a:ext uri="{FF2B5EF4-FFF2-40B4-BE49-F238E27FC236}">
              <a16:creationId xmlns:a16="http://schemas.microsoft.com/office/drawing/2014/main" xmlns="" id="{00000000-0008-0000-06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995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1452</xdr:row>
      <xdr:rowOff>25400</xdr:rowOff>
    </xdr:from>
    <xdr:to>
      <xdr:col>3</xdr:col>
      <xdr:colOff>165100</xdr:colOff>
      <xdr:row>1453</xdr:row>
      <xdr:rowOff>25400</xdr:rowOff>
    </xdr:to>
    <xdr:sp macro="" textlink="">
      <xdr:nvSpPr>
        <xdr:cNvPr id="7603" name="Control 435" hidden="1">
          <a:extLst>
            <a:ext uri="{63B3BB69-23CF-44E3-9099-C40C66FF867C}">
              <a14:compatExt xmlns:a14="http://schemas.microsoft.com/office/drawing/2010/main" spid="_x0000_s7603"/>
            </a:ext>
            <a:ext uri="{FF2B5EF4-FFF2-40B4-BE49-F238E27FC236}">
              <a16:creationId xmlns:a16="http://schemas.microsoft.com/office/drawing/2014/main" xmlns="" id="{00000000-0008-0000-0600-0000B31D0000}"/>
            </a:ext>
          </a:extLst>
        </xdr:cNvPr>
        <xdr:cNvSpPr/>
      </xdr:nvSpPr>
      <xdr:spPr>
        <a:xfrm>
          <a:off x="0" y="0"/>
          <a:ext cx="0" cy="0"/>
        </a:xfrm>
        <a:prstGeom prst="rect">
          <a:avLst/>
        </a:prstGeom>
      </xdr:spPr>
    </xdr:sp>
    <xdr:clientData/>
  </xdr:twoCellAnchor>
  <xdr:twoCellAnchor editAs="oneCell">
    <xdr:from>
      <xdr:col>4</xdr:col>
      <xdr:colOff>0</xdr:colOff>
      <xdr:row>655</xdr:row>
      <xdr:rowOff>0</xdr:rowOff>
    </xdr:from>
    <xdr:to>
      <xdr:col>4</xdr:col>
      <xdr:colOff>152400</xdr:colOff>
      <xdr:row>655</xdr:row>
      <xdr:rowOff>152400</xdr:rowOff>
    </xdr:to>
    <xdr:pic>
      <xdr:nvPicPr>
        <xdr:cNvPr id="437" name="Picture 436" descr="Documents icon">
          <a:extLst>
            <a:ext uri="{FF2B5EF4-FFF2-40B4-BE49-F238E27FC236}">
              <a16:creationId xmlns:a16="http://schemas.microsoft.com/office/drawing/2014/main" xmlns="" id="{00000000-0008-0000-06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38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1458</xdr:row>
      <xdr:rowOff>76200</xdr:rowOff>
    </xdr:from>
    <xdr:to>
      <xdr:col>3</xdr:col>
      <xdr:colOff>165100</xdr:colOff>
      <xdr:row>1459</xdr:row>
      <xdr:rowOff>76200</xdr:rowOff>
    </xdr:to>
    <xdr:sp macro="" textlink="">
      <xdr:nvSpPr>
        <xdr:cNvPr id="7605" name="Control 437" hidden="1">
          <a:extLst>
            <a:ext uri="{63B3BB69-23CF-44E3-9099-C40C66FF867C}">
              <a14:compatExt xmlns:a14="http://schemas.microsoft.com/office/drawing/2010/main" spid="_x0000_s7605"/>
            </a:ext>
            <a:ext uri="{FF2B5EF4-FFF2-40B4-BE49-F238E27FC236}">
              <a16:creationId xmlns:a16="http://schemas.microsoft.com/office/drawing/2014/main" xmlns="" id="{00000000-0008-0000-0600-0000B51D0000}"/>
            </a:ext>
          </a:extLst>
        </xdr:cNvPr>
        <xdr:cNvSpPr/>
      </xdr:nvSpPr>
      <xdr:spPr>
        <a:xfrm>
          <a:off x="0" y="0"/>
          <a:ext cx="0" cy="0"/>
        </a:xfrm>
        <a:prstGeom prst="rect">
          <a:avLst/>
        </a:prstGeom>
      </xdr:spPr>
    </xdr:sp>
    <xdr:clientData/>
  </xdr:twoCellAnchor>
  <xdr:twoCellAnchor editAs="oneCell">
    <xdr:from>
      <xdr:col>4</xdr:col>
      <xdr:colOff>0</xdr:colOff>
      <xdr:row>658</xdr:row>
      <xdr:rowOff>0</xdr:rowOff>
    </xdr:from>
    <xdr:to>
      <xdr:col>4</xdr:col>
      <xdr:colOff>152400</xdr:colOff>
      <xdr:row>658</xdr:row>
      <xdr:rowOff>152400</xdr:rowOff>
    </xdr:to>
    <xdr:pic>
      <xdr:nvPicPr>
        <xdr:cNvPr id="439" name="Picture 438" descr="Documents icon">
          <a:extLst>
            <a:ext uri="{FF2B5EF4-FFF2-40B4-BE49-F238E27FC236}">
              <a16:creationId xmlns:a16="http://schemas.microsoft.com/office/drawing/2014/main" xmlns="" id="{00000000-0008-0000-06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081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1465</xdr:row>
      <xdr:rowOff>38100</xdr:rowOff>
    </xdr:from>
    <xdr:to>
      <xdr:col>3</xdr:col>
      <xdr:colOff>165100</xdr:colOff>
      <xdr:row>1466</xdr:row>
      <xdr:rowOff>38100</xdr:rowOff>
    </xdr:to>
    <xdr:sp macro="" textlink="">
      <xdr:nvSpPr>
        <xdr:cNvPr id="7607" name="Control 439" hidden="1">
          <a:extLst>
            <a:ext uri="{63B3BB69-23CF-44E3-9099-C40C66FF867C}">
              <a14:compatExt xmlns:a14="http://schemas.microsoft.com/office/drawing/2010/main" spid="_x0000_s7607"/>
            </a:ext>
            <a:ext uri="{FF2B5EF4-FFF2-40B4-BE49-F238E27FC236}">
              <a16:creationId xmlns:a16="http://schemas.microsoft.com/office/drawing/2014/main" xmlns="" id="{00000000-0008-0000-0600-0000B71D0000}"/>
            </a:ext>
          </a:extLst>
        </xdr:cNvPr>
        <xdr:cNvSpPr/>
      </xdr:nvSpPr>
      <xdr:spPr>
        <a:xfrm>
          <a:off x="0" y="0"/>
          <a:ext cx="0" cy="0"/>
        </a:xfrm>
        <a:prstGeom prst="rect">
          <a:avLst/>
        </a:prstGeom>
      </xdr:spPr>
    </xdr:sp>
    <xdr:clientData/>
  </xdr:twoCellAnchor>
  <xdr:twoCellAnchor editAs="oneCell">
    <xdr:from>
      <xdr:col>4</xdr:col>
      <xdr:colOff>0</xdr:colOff>
      <xdr:row>661</xdr:row>
      <xdr:rowOff>0</xdr:rowOff>
    </xdr:from>
    <xdr:to>
      <xdr:col>4</xdr:col>
      <xdr:colOff>152400</xdr:colOff>
      <xdr:row>661</xdr:row>
      <xdr:rowOff>152400</xdr:rowOff>
    </xdr:to>
    <xdr:pic>
      <xdr:nvPicPr>
        <xdr:cNvPr id="441" name="Picture 440" descr="Documents icon">
          <a:extLst>
            <a:ext uri="{FF2B5EF4-FFF2-40B4-BE49-F238E27FC236}">
              <a16:creationId xmlns:a16="http://schemas.microsoft.com/office/drawing/2014/main" xmlns="" id="{00000000-0008-0000-06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9624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1471</xdr:row>
      <xdr:rowOff>152400</xdr:rowOff>
    </xdr:from>
    <xdr:to>
      <xdr:col>3</xdr:col>
      <xdr:colOff>165100</xdr:colOff>
      <xdr:row>1472</xdr:row>
      <xdr:rowOff>152400</xdr:rowOff>
    </xdr:to>
    <xdr:sp macro="" textlink="">
      <xdr:nvSpPr>
        <xdr:cNvPr id="7609" name="Control 441" hidden="1">
          <a:extLst>
            <a:ext uri="{63B3BB69-23CF-44E3-9099-C40C66FF867C}">
              <a14:compatExt xmlns:a14="http://schemas.microsoft.com/office/drawing/2010/main" spid="_x0000_s7609"/>
            </a:ext>
            <a:ext uri="{FF2B5EF4-FFF2-40B4-BE49-F238E27FC236}">
              <a16:creationId xmlns:a16="http://schemas.microsoft.com/office/drawing/2014/main" xmlns="" id="{00000000-0008-0000-0600-0000B91D0000}"/>
            </a:ext>
          </a:extLst>
        </xdr:cNvPr>
        <xdr:cNvSpPr/>
      </xdr:nvSpPr>
      <xdr:spPr>
        <a:xfrm>
          <a:off x="0" y="0"/>
          <a:ext cx="0" cy="0"/>
        </a:xfrm>
        <a:prstGeom prst="rect">
          <a:avLst/>
        </a:prstGeom>
      </xdr:spPr>
    </xdr:sp>
    <xdr:clientData/>
  </xdr:twoCellAnchor>
  <xdr:twoCellAnchor editAs="oneCell">
    <xdr:from>
      <xdr:col>4</xdr:col>
      <xdr:colOff>0</xdr:colOff>
      <xdr:row>664</xdr:row>
      <xdr:rowOff>0</xdr:rowOff>
    </xdr:from>
    <xdr:to>
      <xdr:col>4</xdr:col>
      <xdr:colOff>152400</xdr:colOff>
      <xdr:row>664</xdr:row>
      <xdr:rowOff>152400</xdr:rowOff>
    </xdr:to>
    <xdr:pic>
      <xdr:nvPicPr>
        <xdr:cNvPr id="443" name="Picture 442" descr="Documents icon">
          <a:extLst>
            <a:ext uri="{FF2B5EF4-FFF2-40B4-BE49-F238E27FC236}">
              <a16:creationId xmlns:a16="http://schemas.microsoft.com/office/drawing/2014/main" xmlns="" id="{00000000-0008-0000-06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167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1478</xdr:row>
      <xdr:rowOff>139700</xdr:rowOff>
    </xdr:from>
    <xdr:to>
      <xdr:col>3</xdr:col>
      <xdr:colOff>165100</xdr:colOff>
      <xdr:row>1479</xdr:row>
      <xdr:rowOff>139700</xdr:rowOff>
    </xdr:to>
    <xdr:sp macro="" textlink="">
      <xdr:nvSpPr>
        <xdr:cNvPr id="7611" name="Control 443" hidden="1">
          <a:extLst>
            <a:ext uri="{63B3BB69-23CF-44E3-9099-C40C66FF867C}">
              <a14:compatExt xmlns:a14="http://schemas.microsoft.com/office/drawing/2010/main" spid="_x0000_s7611"/>
            </a:ext>
            <a:ext uri="{FF2B5EF4-FFF2-40B4-BE49-F238E27FC236}">
              <a16:creationId xmlns:a16="http://schemas.microsoft.com/office/drawing/2014/main" xmlns="" id="{00000000-0008-0000-0600-0000BB1D0000}"/>
            </a:ext>
          </a:extLst>
        </xdr:cNvPr>
        <xdr:cNvSpPr/>
      </xdr:nvSpPr>
      <xdr:spPr>
        <a:xfrm>
          <a:off x="0" y="0"/>
          <a:ext cx="0" cy="0"/>
        </a:xfrm>
        <a:prstGeom prst="rect">
          <a:avLst/>
        </a:prstGeom>
      </xdr:spPr>
    </xdr:sp>
    <xdr:clientData/>
  </xdr:twoCellAnchor>
  <xdr:twoCellAnchor editAs="oneCell">
    <xdr:from>
      <xdr:col>4</xdr:col>
      <xdr:colOff>0</xdr:colOff>
      <xdr:row>667</xdr:row>
      <xdr:rowOff>0</xdr:rowOff>
    </xdr:from>
    <xdr:to>
      <xdr:col>4</xdr:col>
      <xdr:colOff>152400</xdr:colOff>
      <xdr:row>667</xdr:row>
      <xdr:rowOff>152400</xdr:rowOff>
    </xdr:to>
    <xdr:pic>
      <xdr:nvPicPr>
        <xdr:cNvPr id="445" name="Picture 444" descr="Documents icon">
          <a:extLst>
            <a:ext uri="{FF2B5EF4-FFF2-40B4-BE49-F238E27FC236}">
              <a16:creationId xmlns:a16="http://schemas.microsoft.com/office/drawing/2014/main" xmlns="" id="{00000000-0008-0000-06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710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1485</xdr:row>
      <xdr:rowOff>38100</xdr:rowOff>
    </xdr:from>
    <xdr:to>
      <xdr:col>3</xdr:col>
      <xdr:colOff>165100</xdr:colOff>
      <xdr:row>1486</xdr:row>
      <xdr:rowOff>38100</xdr:rowOff>
    </xdr:to>
    <xdr:sp macro="" textlink="">
      <xdr:nvSpPr>
        <xdr:cNvPr id="7613" name="Control 445" hidden="1">
          <a:extLst>
            <a:ext uri="{63B3BB69-23CF-44E3-9099-C40C66FF867C}">
              <a14:compatExt xmlns:a14="http://schemas.microsoft.com/office/drawing/2010/main" spid="_x0000_s7613"/>
            </a:ext>
            <a:ext uri="{FF2B5EF4-FFF2-40B4-BE49-F238E27FC236}">
              <a16:creationId xmlns:a16="http://schemas.microsoft.com/office/drawing/2014/main" xmlns="" id="{00000000-0008-0000-0600-0000BD1D0000}"/>
            </a:ext>
          </a:extLst>
        </xdr:cNvPr>
        <xdr:cNvSpPr/>
      </xdr:nvSpPr>
      <xdr:spPr>
        <a:xfrm>
          <a:off x="0" y="0"/>
          <a:ext cx="0" cy="0"/>
        </a:xfrm>
        <a:prstGeom prst="rect">
          <a:avLst/>
        </a:prstGeom>
      </xdr:spPr>
    </xdr:sp>
    <xdr:clientData/>
  </xdr:twoCellAnchor>
  <xdr:twoCellAnchor editAs="oneCell">
    <xdr:from>
      <xdr:col>4</xdr:col>
      <xdr:colOff>0</xdr:colOff>
      <xdr:row>670</xdr:row>
      <xdr:rowOff>0</xdr:rowOff>
    </xdr:from>
    <xdr:to>
      <xdr:col>4</xdr:col>
      <xdr:colOff>152400</xdr:colOff>
      <xdr:row>670</xdr:row>
      <xdr:rowOff>152400</xdr:rowOff>
    </xdr:to>
    <xdr:pic>
      <xdr:nvPicPr>
        <xdr:cNvPr id="447" name="Picture 446" descr="Documents icon">
          <a:extLst>
            <a:ext uri="{FF2B5EF4-FFF2-40B4-BE49-F238E27FC236}">
              <a16:creationId xmlns:a16="http://schemas.microsoft.com/office/drawing/2014/main" xmlns="" id="{00000000-0008-0000-06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253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1491</xdr:row>
      <xdr:rowOff>139700</xdr:rowOff>
    </xdr:from>
    <xdr:to>
      <xdr:col>3</xdr:col>
      <xdr:colOff>165100</xdr:colOff>
      <xdr:row>1492</xdr:row>
      <xdr:rowOff>139700</xdr:rowOff>
    </xdr:to>
    <xdr:sp macro="" textlink="">
      <xdr:nvSpPr>
        <xdr:cNvPr id="7615" name="Control 447" hidden="1">
          <a:extLst>
            <a:ext uri="{63B3BB69-23CF-44E3-9099-C40C66FF867C}">
              <a14:compatExt xmlns:a14="http://schemas.microsoft.com/office/drawing/2010/main" spid="_x0000_s7615"/>
            </a:ext>
            <a:ext uri="{FF2B5EF4-FFF2-40B4-BE49-F238E27FC236}">
              <a16:creationId xmlns:a16="http://schemas.microsoft.com/office/drawing/2014/main" xmlns="" id="{00000000-0008-0000-0600-0000BF1D0000}"/>
            </a:ext>
          </a:extLst>
        </xdr:cNvPr>
        <xdr:cNvSpPr/>
      </xdr:nvSpPr>
      <xdr:spPr>
        <a:xfrm>
          <a:off x="0" y="0"/>
          <a:ext cx="0" cy="0"/>
        </a:xfrm>
        <a:prstGeom prst="rect">
          <a:avLst/>
        </a:prstGeom>
      </xdr:spPr>
    </xdr:sp>
    <xdr:clientData/>
  </xdr:twoCellAnchor>
  <xdr:twoCellAnchor editAs="oneCell">
    <xdr:from>
      <xdr:col>4</xdr:col>
      <xdr:colOff>0</xdr:colOff>
      <xdr:row>673</xdr:row>
      <xdr:rowOff>0</xdr:rowOff>
    </xdr:from>
    <xdr:to>
      <xdr:col>4</xdr:col>
      <xdr:colOff>152400</xdr:colOff>
      <xdr:row>673</xdr:row>
      <xdr:rowOff>152400</xdr:rowOff>
    </xdr:to>
    <xdr:pic>
      <xdr:nvPicPr>
        <xdr:cNvPr id="449" name="Picture 448" descr="Documents icon">
          <a:extLst>
            <a:ext uri="{FF2B5EF4-FFF2-40B4-BE49-F238E27FC236}">
              <a16:creationId xmlns:a16="http://schemas.microsoft.com/office/drawing/2014/main" xmlns="" id="{00000000-0008-0000-06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796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1498</xdr:row>
      <xdr:rowOff>76200</xdr:rowOff>
    </xdr:from>
    <xdr:to>
      <xdr:col>3</xdr:col>
      <xdr:colOff>165100</xdr:colOff>
      <xdr:row>1499</xdr:row>
      <xdr:rowOff>76200</xdr:rowOff>
    </xdr:to>
    <xdr:sp macro="" textlink="">
      <xdr:nvSpPr>
        <xdr:cNvPr id="7617" name="Control 449" hidden="1">
          <a:extLst>
            <a:ext uri="{63B3BB69-23CF-44E3-9099-C40C66FF867C}">
              <a14:compatExt xmlns:a14="http://schemas.microsoft.com/office/drawing/2010/main" spid="_x0000_s7617"/>
            </a:ext>
            <a:ext uri="{FF2B5EF4-FFF2-40B4-BE49-F238E27FC236}">
              <a16:creationId xmlns:a16="http://schemas.microsoft.com/office/drawing/2014/main" xmlns="" id="{00000000-0008-0000-0600-0000C11D0000}"/>
            </a:ext>
          </a:extLst>
        </xdr:cNvPr>
        <xdr:cNvSpPr/>
      </xdr:nvSpPr>
      <xdr:spPr>
        <a:xfrm>
          <a:off x="0" y="0"/>
          <a:ext cx="0" cy="0"/>
        </a:xfrm>
        <a:prstGeom prst="rect">
          <a:avLst/>
        </a:prstGeom>
      </xdr:spPr>
    </xdr:sp>
    <xdr:clientData/>
  </xdr:twoCellAnchor>
  <xdr:twoCellAnchor editAs="oneCell">
    <xdr:from>
      <xdr:col>4</xdr:col>
      <xdr:colOff>0</xdr:colOff>
      <xdr:row>676</xdr:row>
      <xdr:rowOff>0</xdr:rowOff>
    </xdr:from>
    <xdr:to>
      <xdr:col>4</xdr:col>
      <xdr:colOff>152400</xdr:colOff>
      <xdr:row>676</xdr:row>
      <xdr:rowOff>152400</xdr:rowOff>
    </xdr:to>
    <xdr:pic>
      <xdr:nvPicPr>
        <xdr:cNvPr id="451" name="Picture 450" descr="Documents icon">
          <a:extLst>
            <a:ext uri="{FF2B5EF4-FFF2-40B4-BE49-F238E27FC236}">
              <a16:creationId xmlns:a16="http://schemas.microsoft.com/office/drawing/2014/main" xmlns="" id="{00000000-0008-0000-06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339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1505</xdr:row>
      <xdr:rowOff>76200</xdr:rowOff>
    </xdr:from>
    <xdr:to>
      <xdr:col>3</xdr:col>
      <xdr:colOff>165100</xdr:colOff>
      <xdr:row>1506</xdr:row>
      <xdr:rowOff>76200</xdr:rowOff>
    </xdr:to>
    <xdr:sp macro="" textlink="">
      <xdr:nvSpPr>
        <xdr:cNvPr id="7619" name="Control 451" hidden="1">
          <a:extLst>
            <a:ext uri="{63B3BB69-23CF-44E3-9099-C40C66FF867C}">
              <a14:compatExt xmlns:a14="http://schemas.microsoft.com/office/drawing/2010/main" spid="_x0000_s7619"/>
            </a:ext>
            <a:ext uri="{FF2B5EF4-FFF2-40B4-BE49-F238E27FC236}">
              <a16:creationId xmlns:a16="http://schemas.microsoft.com/office/drawing/2014/main" xmlns="" id="{00000000-0008-0000-0600-0000C31D0000}"/>
            </a:ext>
          </a:extLst>
        </xdr:cNvPr>
        <xdr:cNvSpPr/>
      </xdr:nvSpPr>
      <xdr:spPr>
        <a:xfrm>
          <a:off x="0" y="0"/>
          <a:ext cx="0" cy="0"/>
        </a:xfrm>
        <a:prstGeom prst="rect">
          <a:avLst/>
        </a:prstGeom>
      </xdr:spPr>
    </xdr:sp>
    <xdr:clientData/>
  </xdr:twoCellAnchor>
  <xdr:twoCellAnchor editAs="oneCell">
    <xdr:from>
      <xdr:col>4</xdr:col>
      <xdr:colOff>0</xdr:colOff>
      <xdr:row>679</xdr:row>
      <xdr:rowOff>0</xdr:rowOff>
    </xdr:from>
    <xdr:to>
      <xdr:col>4</xdr:col>
      <xdr:colOff>152400</xdr:colOff>
      <xdr:row>679</xdr:row>
      <xdr:rowOff>152400</xdr:rowOff>
    </xdr:to>
    <xdr:pic>
      <xdr:nvPicPr>
        <xdr:cNvPr id="453" name="Picture 452" descr="Documents icon">
          <a:extLst>
            <a:ext uri="{FF2B5EF4-FFF2-40B4-BE49-F238E27FC236}">
              <a16:creationId xmlns:a16="http://schemas.microsoft.com/office/drawing/2014/main" xmlns="" id="{00000000-0008-0000-06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882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1511</xdr:row>
      <xdr:rowOff>152400</xdr:rowOff>
    </xdr:from>
    <xdr:to>
      <xdr:col>3</xdr:col>
      <xdr:colOff>165100</xdr:colOff>
      <xdr:row>1512</xdr:row>
      <xdr:rowOff>152400</xdr:rowOff>
    </xdr:to>
    <xdr:sp macro="" textlink="">
      <xdr:nvSpPr>
        <xdr:cNvPr id="7621" name="Control 453" hidden="1">
          <a:extLst>
            <a:ext uri="{63B3BB69-23CF-44E3-9099-C40C66FF867C}">
              <a14:compatExt xmlns:a14="http://schemas.microsoft.com/office/drawing/2010/main" spid="_x0000_s7621"/>
            </a:ext>
            <a:ext uri="{FF2B5EF4-FFF2-40B4-BE49-F238E27FC236}">
              <a16:creationId xmlns:a16="http://schemas.microsoft.com/office/drawing/2014/main" xmlns="" id="{00000000-0008-0000-0600-0000C51D0000}"/>
            </a:ext>
          </a:extLst>
        </xdr:cNvPr>
        <xdr:cNvSpPr/>
      </xdr:nvSpPr>
      <xdr:spPr>
        <a:xfrm>
          <a:off x="0" y="0"/>
          <a:ext cx="0" cy="0"/>
        </a:xfrm>
        <a:prstGeom prst="rect">
          <a:avLst/>
        </a:prstGeom>
      </xdr:spPr>
    </xdr:sp>
    <xdr:clientData/>
  </xdr:twoCellAnchor>
  <xdr:twoCellAnchor editAs="oneCell">
    <xdr:from>
      <xdr:col>4</xdr:col>
      <xdr:colOff>0</xdr:colOff>
      <xdr:row>682</xdr:row>
      <xdr:rowOff>0</xdr:rowOff>
    </xdr:from>
    <xdr:to>
      <xdr:col>4</xdr:col>
      <xdr:colOff>152400</xdr:colOff>
      <xdr:row>682</xdr:row>
      <xdr:rowOff>152400</xdr:rowOff>
    </xdr:to>
    <xdr:pic>
      <xdr:nvPicPr>
        <xdr:cNvPr id="455" name="Picture 454" descr="Documents icon">
          <a:extLst>
            <a:ext uri="{FF2B5EF4-FFF2-40B4-BE49-F238E27FC236}">
              <a16:creationId xmlns:a16="http://schemas.microsoft.com/office/drawing/2014/main" xmlns="" id="{00000000-0008-0000-06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424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1518</xdr:row>
      <xdr:rowOff>76200</xdr:rowOff>
    </xdr:from>
    <xdr:to>
      <xdr:col>3</xdr:col>
      <xdr:colOff>165100</xdr:colOff>
      <xdr:row>1519</xdr:row>
      <xdr:rowOff>76200</xdr:rowOff>
    </xdr:to>
    <xdr:sp macro="" textlink="">
      <xdr:nvSpPr>
        <xdr:cNvPr id="7623" name="Control 455" hidden="1">
          <a:extLst>
            <a:ext uri="{63B3BB69-23CF-44E3-9099-C40C66FF867C}">
              <a14:compatExt xmlns:a14="http://schemas.microsoft.com/office/drawing/2010/main" spid="_x0000_s7623"/>
            </a:ext>
            <a:ext uri="{FF2B5EF4-FFF2-40B4-BE49-F238E27FC236}">
              <a16:creationId xmlns:a16="http://schemas.microsoft.com/office/drawing/2014/main" xmlns="" id="{00000000-0008-0000-0600-0000C71D0000}"/>
            </a:ext>
          </a:extLst>
        </xdr:cNvPr>
        <xdr:cNvSpPr/>
      </xdr:nvSpPr>
      <xdr:spPr>
        <a:xfrm>
          <a:off x="0" y="0"/>
          <a:ext cx="0" cy="0"/>
        </a:xfrm>
        <a:prstGeom prst="rect">
          <a:avLst/>
        </a:prstGeom>
      </xdr:spPr>
    </xdr:sp>
    <xdr:clientData/>
  </xdr:twoCellAnchor>
  <xdr:twoCellAnchor editAs="oneCell">
    <xdr:from>
      <xdr:col>4</xdr:col>
      <xdr:colOff>0</xdr:colOff>
      <xdr:row>685</xdr:row>
      <xdr:rowOff>0</xdr:rowOff>
    </xdr:from>
    <xdr:to>
      <xdr:col>4</xdr:col>
      <xdr:colOff>152400</xdr:colOff>
      <xdr:row>685</xdr:row>
      <xdr:rowOff>152400</xdr:rowOff>
    </xdr:to>
    <xdr:pic>
      <xdr:nvPicPr>
        <xdr:cNvPr id="457" name="Picture 456" descr="Documents icon">
          <a:extLst>
            <a:ext uri="{FF2B5EF4-FFF2-40B4-BE49-F238E27FC236}">
              <a16:creationId xmlns:a16="http://schemas.microsoft.com/office/drawing/2014/main" xmlns="" id="{00000000-0008-0000-06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67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1525</xdr:row>
      <xdr:rowOff>12700</xdr:rowOff>
    </xdr:from>
    <xdr:to>
      <xdr:col>3</xdr:col>
      <xdr:colOff>165100</xdr:colOff>
      <xdr:row>1526</xdr:row>
      <xdr:rowOff>12700</xdr:rowOff>
    </xdr:to>
    <xdr:sp macro="" textlink="">
      <xdr:nvSpPr>
        <xdr:cNvPr id="7625" name="Control 457" hidden="1">
          <a:extLst>
            <a:ext uri="{63B3BB69-23CF-44E3-9099-C40C66FF867C}">
              <a14:compatExt xmlns:a14="http://schemas.microsoft.com/office/drawing/2010/main" spid="_x0000_s7625"/>
            </a:ext>
            <a:ext uri="{FF2B5EF4-FFF2-40B4-BE49-F238E27FC236}">
              <a16:creationId xmlns:a16="http://schemas.microsoft.com/office/drawing/2014/main" xmlns="" id="{00000000-0008-0000-0600-0000C91D0000}"/>
            </a:ext>
          </a:extLst>
        </xdr:cNvPr>
        <xdr:cNvSpPr/>
      </xdr:nvSpPr>
      <xdr:spPr>
        <a:xfrm>
          <a:off x="0" y="0"/>
          <a:ext cx="0" cy="0"/>
        </a:xfrm>
        <a:prstGeom prst="rect">
          <a:avLst/>
        </a:prstGeom>
      </xdr:spPr>
    </xdr:sp>
    <xdr:clientData/>
  </xdr:twoCellAnchor>
  <xdr:twoCellAnchor editAs="oneCell">
    <xdr:from>
      <xdr:col>4</xdr:col>
      <xdr:colOff>0</xdr:colOff>
      <xdr:row>688</xdr:row>
      <xdr:rowOff>0</xdr:rowOff>
    </xdr:from>
    <xdr:to>
      <xdr:col>4</xdr:col>
      <xdr:colOff>152400</xdr:colOff>
      <xdr:row>688</xdr:row>
      <xdr:rowOff>152400</xdr:rowOff>
    </xdr:to>
    <xdr:pic>
      <xdr:nvPicPr>
        <xdr:cNvPr id="459" name="Picture 458" descr="Documents icon">
          <a:extLst>
            <a:ext uri="{FF2B5EF4-FFF2-40B4-BE49-F238E27FC236}">
              <a16:creationId xmlns:a16="http://schemas.microsoft.com/office/drawing/2014/main" xmlns="" id="{00000000-0008-0000-0600-0000C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510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1532</xdr:row>
      <xdr:rowOff>12700</xdr:rowOff>
    </xdr:from>
    <xdr:to>
      <xdr:col>3</xdr:col>
      <xdr:colOff>165100</xdr:colOff>
      <xdr:row>1533</xdr:row>
      <xdr:rowOff>12700</xdr:rowOff>
    </xdr:to>
    <xdr:sp macro="" textlink="">
      <xdr:nvSpPr>
        <xdr:cNvPr id="7627" name="Control 459" hidden="1">
          <a:extLst>
            <a:ext uri="{63B3BB69-23CF-44E3-9099-C40C66FF867C}">
              <a14:compatExt xmlns:a14="http://schemas.microsoft.com/office/drawing/2010/main" spid="_x0000_s7627"/>
            </a:ext>
            <a:ext uri="{FF2B5EF4-FFF2-40B4-BE49-F238E27FC236}">
              <a16:creationId xmlns:a16="http://schemas.microsoft.com/office/drawing/2014/main" xmlns="" id="{00000000-0008-0000-0600-0000CB1D0000}"/>
            </a:ext>
          </a:extLst>
        </xdr:cNvPr>
        <xdr:cNvSpPr/>
      </xdr:nvSpPr>
      <xdr:spPr>
        <a:xfrm>
          <a:off x="0" y="0"/>
          <a:ext cx="0" cy="0"/>
        </a:xfrm>
        <a:prstGeom prst="rect">
          <a:avLst/>
        </a:prstGeom>
      </xdr:spPr>
    </xdr:sp>
    <xdr:clientData/>
  </xdr:twoCellAnchor>
  <xdr:twoCellAnchor editAs="oneCell">
    <xdr:from>
      <xdr:col>4</xdr:col>
      <xdr:colOff>0</xdr:colOff>
      <xdr:row>691</xdr:row>
      <xdr:rowOff>0</xdr:rowOff>
    </xdr:from>
    <xdr:to>
      <xdr:col>4</xdr:col>
      <xdr:colOff>152400</xdr:colOff>
      <xdr:row>691</xdr:row>
      <xdr:rowOff>152400</xdr:rowOff>
    </xdr:to>
    <xdr:pic>
      <xdr:nvPicPr>
        <xdr:cNvPr id="461" name="Picture 460" descr="Documents icon">
          <a:extLst>
            <a:ext uri="{FF2B5EF4-FFF2-40B4-BE49-F238E27FC236}">
              <a16:creationId xmlns:a16="http://schemas.microsoft.com/office/drawing/2014/main" xmlns="" id="{00000000-0008-0000-0600-0000C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053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1538</xdr:row>
      <xdr:rowOff>76200</xdr:rowOff>
    </xdr:from>
    <xdr:to>
      <xdr:col>3</xdr:col>
      <xdr:colOff>165100</xdr:colOff>
      <xdr:row>1539</xdr:row>
      <xdr:rowOff>76200</xdr:rowOff>
    </xdr:to>
    <xdr:sp macro="" textlink="">
      <xdr:nvSpPr>
        <xdr:cNvPr id="7629" name="Control 461" hidden="1">
          <a:extLst>
            <a:ext uri="{63B3BB69-23CF-44E3-9099-C40C66FF867C}">
              <a14:compatExt xmlns:a14="http://schemas.microsoft.com/office/drawing/2010/main" spid="_x0000_s7629"/>
            </a:ext>
            <a:ext uri="{FF2B5EF4-FFF2-40B4-BE49-F238E27FC236}">
              <a16:creationId xmlns:a16="http://schemas.microsoft.com/office/drawing/2014/main" xmlns="" id="{00000000-0008-0000-0600-0000CD1D0000}"/>
            </a:ext>
          </a:extLst>
        </xdr:cNvPr>
        <xdr:cNvSpPr/>
      </xdr:nvSpPr>
      <xdr:spPr>
        <a:xfrm>
          <a:off x="0" y="0"/>
          <a:ext cx="0" cy="0"/>
        </a:xfrm>
        <a:prstGeom prst="rect">
          <a:avLst/>
        </a:prstGeom>
      </xdr:spPr>
    </xdr:sp>
    <xdr:clientData/>
  </xdr:twoCellAnchor>
  <xdr:twoCellAnchor editAs="oneCell">
    <xdr:from>
      <xdr:col>4</xdr:col>
      <xdr:colOff>0</xdr:colOff>
      <xdr:row>694</xdr:row>
      <xdr:rowOff>0</xdr:rowOff>
    </xdr:from>
    <xdr:to>
      <xdr:col>4</xdr:col>
      <xdr:colOff>152400</xdr:colOff>
      <xdr:row>694</xdr:row>
      <xdr:rowOff>152400</xdr:rowOff>
    </xdr:to>
    <xdr:pic>
      <xdr:nvPicPr>
        <xdr:cNvPr id="463" name="Picture 462" descr="Documents icon">
          <a:extLst>
            <a:ext uri="{FF2B5EF4-FFF2-40B4-BE49-F238E27FC236}">
              <a16:creationId xmlns:a16="http://schemas.microsoft.com/office/drawing/2014/main" xmlns="" id="{00000000-0008-0000-0600-0000C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596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1545</xdr:row>
      <xdr:rowOff>25400</xdr:rowOff>
    </xdr:from>
    <xdr:to>
      <xdr:col>3</xdr:col>
      <xdr:colOff>165100</xdr:colOff>
      <xdr:row>1546</xdr:row>
      <xdr:rowOff>25400</xdr:rowOff>
    </xdr:to>
    <xdr:sp macro="" textlink="">
      <xdr:nvSpPr>
        <xdr:cNvPr id="7631" name="Control 463" hidden="1">
          <a:extLst>
            <a:ext uri="{63B3BB69-23CF-44E3-9099-C40C66FF867C}">
              <a14:compatExt xmlns:a14="http://schemas.microsoft.com/office/drawing/2010/main" spid="_x0000_s7631"/>
            </a:ext>
            <a:ext uri="{FF2B5EF4-FFF2-40B4-BE49-F238E27FC236}">
              <a16:creationId xmlns:a16="http://schemas.microsoft.com/office/drawing/2014/main" xmlns="" id="{00000000-0008-0000-0600-0000CF1D0000}"/>
            </a:ext>
          </a:extLst>
        </xdr:cNvPr>
        <xdr:cNvSpPr/>
      </xdr:nvSpPr>
      <xdr:spPr>
        <a:xfrm>
          <a:off x="0" y="0"/>
          <a:ext cx="0" cy="0"/>
        </a:xfrm>
        <a:prstGeom prst="rect">
          <a:avLst/>
        </a:prstGeom>
      </xdr:spPr>
    </xdr:sp>
    <xdr:clientData/>
  </xdr:twoCellAnchor>
  <xdr:twoCellAnchor editAs="oneCell">
    <xdr:from>
      <xdr:col>4</xdr:col>
      <xdr:colOff>0</xdr:colOff>
      <xdr:row>697</xdr:row>
      <xdr:rowOff>0</xdr:rowOff>
    </xdr:from>
    <xdr:to>
      <xdr:col>4</xdr:col>
      <xdr:colOff>152400</xdr:colOff>
      <xdr:row>697</xdr:row>
      <xdr:rowOff>152400</xdr:rowOff>
    </xdr:to>
    <xdr:pic>
      <xdr:nvPicPr>
        <xdr:cNvPr id="465" name="Picture 464" descr="Documents icon">
          <a:extLst>
            <a:ext uri="{FF2B5EF4-FFF2-40B4-BE49-F238E27FC236}">
              <a16:creationId xmlns:a16="http://schemas.microsoft.com/office/drawing/2014/main" xmlns="" id="{00000000-0008-0000-0600-0000D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139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1551</xdr:row>
      <xdr:rowOff>127000</xdr:rowOff>
    </xdr:from>
    <xdr:to>
      <xdr:col>3</xdr:col>
      <xdr:colOff>165100</xdr:colOff>
      <xdr:row>1552</xdr:row>
      <xdr:rowOff>127000</xdr:rowOff>
    </xdr:to>
    <xdr:sp macro="" textlink="">
      <xdr:nvSpPr>
        <xdr:cNvPr id="7633" name="Control 465" hidden="1">
          <a:extLst>
            <a:ext uri="{63B3BB69-23CF-44E3-9099-C40C66FF867C}">
              <a14:compatExt xmlns:a14="http://schemas.microsoft.com/office/drawing/2010/main" spid="_x0000_s7633"/>
            </a:ext>
            <a:ext uri="{FF2B5EF4-FFF2-40B4-BE49-F238E27FC236}">
              <a16:creationId xmlns:a16="http://schemas.microsoft.com/office/drawing/2014/main" xmlns="" id="{00000000-0008-0000-0600-0000D11D0000}"/>
            </a:ext>
          </a:extLst>
        </xdr:cNvPr>
        <xdr:cNvSpPr/>
      </xdr:nvSpPr>
      <xdr:spPr>
        <a:xfrm>
          <a:off x="0" y="0"/>
          <a:ext cx="0" cy="0"/>
        </a:xfrm>
        <a:prstGeom prst="rect">
          <a:avLst/>
        </a:prstGeom>
      </xdr:spPr>
    </xdr:sp>
    <xdr:clientData/>
  </xdr:twoCellAnchor>
  <xdr:twoCellAnchor editAs="oneCell">
    <xdr:from>
      <xdr:col>4</xdr:col>
      <xdr:colOff>0</xdr:colOff>
      <xdr:row>700</xdr:row>
      <xdr:rowOff>0</xdr:rowOff>
    </xdr:from>
    <xdr:to>
      <xdr:col>4</xdr:col>
      <xdr:colOff>152400</xdr:colOff>
      <xdr:row>700</xdr:row>
      <xdr:rowOff>152400</xdr:rowOff>
    </xdr:to>
    <xdr:pic>
      <xdr:nvPicPr>
        <xdr:cNvPr id="467" name="Picture 466" descr="Documents icon">
          <a:extLst>
            <a:ext uri="{FF2B5EF4-FFF2-40B4-BE49-F238E27FC236}">
              <a16:creationId xmlns:a16="http://schemas.microsoft.com/office/drawing/2014/main" xmlns="" id="{00000000-0008-0000-0600-0000D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6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1558</xdr:row>
      <xdr:rowOff>114300</xdr:rowOff>
    </xdr:from>
    <xdr:to>
      <xdr:col>3</xdr:col>
      <xdr:colOff>165100</xdr:colOff>
      <xdr:row>1559</xdr:row>
      <xdr:rowOff>114300</xdr:rowOff>
    </xdr:to>
    <xdr:sp macro="" textlink="">
      <xdr:nvSpPr>
        <xdr:cNvPr id="7635" name="Control 467" hidden="1">
          <a:extLst>
            <a:ext uri="{63B3BB69-23CF-44E3-9099-C40C66FF867C}">
              <a14:compatExt xmlns:a14="http://schemas.microsoft.com/office/drawing/2010/main" spid="_x0000_s7635"/>
            </a:ext>
            <a:ext uri="{FF2B5EF4-FFF2-40B4-BE49-F238E27FC236}">
              <a16:creationId xmlns:a16="http://schemas.microsoft.com/office/drawing/2014/main" xmlns="" id="{00000000-0008-0000-0600-0000D31D0000}"/>
            </a:ext>
          </a:extLst>
        </xdr:cNvPr>
        <xdr:cNvSpPr/>
      </xdr:nvSpPr>
      <xdr:spPr>
        <a:xfrm>
          <a:off x="0" y="0"/>
          <a:ext cx="0" cy="0"/>
        </a:xfrm>
        <a:prstGeom prst="rect">
          <a:avLst/>
        </a:prstGeom>
      </xdr:spPr>
    </xdr:sp>
    <xdr:clientData/>
  </xdr:twoCellAnchor>
  <xdr:twoCellAnchor editAs="oneCell">
    <xdr:from>
      <xdr:col>4</xdr:col>
      <xdr:colOff>0</xdr:colOff>
      <xdr:row>703</xdr:row>
      <xdr:rowOff>0</xdr:rowOff>
    </xdr:from>
    <xdr:to>
      <xdr:col>4</xdr:col>
      <xdr:colOff>152400</xdr:colOff>
      <xdr:row>703</xdr:row>
      <xdr:rowOff>152400</xdr:rowOff>
    </xdr:to>
    <xdr:pic>
      <xdr:nvPicPr>
        <xdr:cNvPr id="469" name="Picture 468" descr="Documents icon">
          <a:extLst>
            <a:ext uri="{FF2B5EF4-FFF2-40B4-BE49-F238E27FC236}">
              <a16:creationId xmlns:a16="http://schemas.microsoft.com/office/drawing/2014/main" xmlns="" id="{00000000-0008-0000-0600-0000D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225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1565</xdr:row>
      <xdr:rowOff>38100</xdr:rowOff>
    </xdr:from>
    <xdr:to>
      <xdr:col>3</xdr:col>
      <xdr:colOff>165100</xdr:colOff>
      <xdr:row>1566</xdr:row>
      <xdr:rowOff>38100</xdr:rowOff>
    </xdr:to>
    <xdr:sp macro="" textlink="">
      <xdr:nvSpPr>
        <xdr:cNvPr id="7637" name="Control 469" hidden="1">
          <a:extLst>
            <a:ext uri="{63B3BB69-23CF-44E3-9099-C40C66FF867C}">
              <a14:compatExt xmlns:a14="http://schemas.microsoft.com/office/drawing/2010/main" spid="_x0000_s7637"/>
            </a:ext>
            <a:ext uri="{FF2B5EF4-FFF2-40B4-BE49-F238E27FC236}">
              <a16:creationId xmlns:a16="http://schemas.microsoft.com/office/drawing/2014/main" xmlns="" id="{00000000-0008-0000-0600-0000D51D0000}"/>
            </a:ext>
          </a:extLst>
        </xdr:cNvPr>
        <xdr:cNvSpPr/>
      </xdr:nvSpPr>
      <xdr:spPr>
        <a:xfrm>
          <a:off x="0" y="0"/>
          <a:ext cx="0" cy="0"/>
        </a:xfrm>
        <a:prstGeom prst="rect">
          <a:avLst/>
        </a:prstGeom>
      </xdr:spPr>
    </xdr:sp>
    <xdr:clientData/>
  </xdr:twoCellAnchor>
  <xdr:twoCellAnchor editAs="oneCell">
    <xdr:from>
      <xdr:col>4</xdr:col>
      <xdr:colOff>0</xdr:colOff>
      <xdr:row>706</xdr:row>
      <xdr:rowOff>0</xdr:rowOff>
    </xdr:from>
    <xdr:to>
      <xdr:col>4</xdr:col>
      <xdr:colOff>152400</xdr:colOff>
      <xdr:row>706</xdr:row>
      <xdr:rowOff>152400</xdr:rowOff>
    </xdr:to>
    <xdr:pic>
      <xdr:nvPicPr>
        <xdr:cNvPr id="471" name="Picture 470" descr="Documents icon">
          <a:extLst>
            <a:ext uri="{FF2B5EF4-FFF2-40B4-BE49-F238E27FC236}">
              <a16:creationId xmlns:a16="http://schemas.microsoft.com/office/drawing/2014/main" xmlns="" id="{00000000-0008-0000-0600-0000D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768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1571</xdr:row>
      <xdr:rowOff>177800</xdr:rowOff>
    </xdr:from>
    <xdr:to>
      <xdr:col>3</xdr:col>
      <xdr:colOff>165100</xdr:colOff>
      <xdr:row>1572</xdr:row>
      <xdr:rowOff>177800</xdr:rowOff>
    </xdr:to>
    <xdr:sp macro="" textlink="">
      <xdr:nvSpPr>
        <xdr:cNvPr id="7639" name="Control 471" hidden="1">
          <a:extLst>
            <a:ext uri="{63B3BB69-23CF-44E3-9099-C40C66FF867C}">
              <a14:compatExt xmlns:a14="http://schemas.microsoft.com/office/drawing/2010/main" spid="_x0000_s7639"/>
            </a:ext>
            <a:ext uri="{FF2B5EF4-FFF2-40B4-BE49-F238E27FC236}">
              <a16:creationId xmlns:a16="http://schemas.microsoft.com/office/drawing/2014/main" xmlns="" id="{00000000-0008-0000-0600-0000D71D0000}"/>
            </a:ext>
          </a:extLst>
        </xdr:cNvPr>
        <xdr:cNvSpPr/>
      </xdr:nvSpPr>
      <xdr:spPr>
        <a:xfrm>
          <a:off x="0" y="0"/>
          <a:ext cx="0" cy="0"/>
        </a:xfrm>
        <a:prstGeom prst="rect">
          <a:avLst/>
        </a:prstGeom>
      </xdr:spPr>
    </xdr:sp>
    <xdr:clientData/>
  </xdr:twoCellAnchor>
  <xdr:twoCellAnchor editAs="oneCell">
    <xdr:from>
      <xdr:col>4</xdr:col>
      <xdr:colOff>0</xdr:colOff>
      <xdr:row>709</xdr:row>
      <xdr:rowOff>0</xdr:rowOff>
    </xdr:from>
    <xdr:to>
      <xdr:col>4</xdr:col>
      <xdr:colOff>152400</xdr:colOff>
      <xdr:row>709</xdr:row>
      <xdr:rowOff>152400</xdr:rowOff>
    </xdr:to>
    <xdr:pic>
      <xdr:nvPicPr>
        <xdr:cNvPr id="473" name="Picture 472" descr="Documents icon">
          <a:extLst>
            <a:ext uri="{FF2B5EF4-FFF2-40B4-BE49-F238E27FC236}">
              <a16:creationId xmlns:a16="http://schemas.microsoft.com/office/drawing/2014/main" xmlns="" id="{00000000-0008-0000-0600-0000D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311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1578</xdr:row>
      <xdr:rowOff>50800</xdr:rowOff>
    </xdr:from>
    <xdr:to>
      <xdr:col>3</xdr:col>
      <xdr:colOff>165100</xdr:colOff>
      <xdr:row>1579</xdr:row>
      <xdr:rowOff>50800</xdr:rowOff>
    </xdr:to>
    <xdr:sp macro="" textlink="">
      <xdr:nvSpPr>
        <xdr:cNvPr id="7641" name="Control 473" hidden="1">
          <a:extLst>
            <a:ext uri="{63B3BB69-23CF-44E3-9099-C40C66FF867C}">
              <a14:compatExt xmlns:a14="http://schemas.microsoft.com/office/drawing/2010/main" spid="_x0000_s7641"/>
            </a:ext>
            <a:ext uri="{FF2B5EF4-FFF2-40B4-BE49-F238E27FC236}">
              <a16:creationId xmlns:a16="http://schemas.microsoft.com/office/drawing/2014/main" xmlns="" id="{00000000-0008-0000-0600-0000D91D0000}"/>
            </a:ext>
          </a:extLst>
        </xdr:cNvPr>
        <xdr:cNvSpPr/>
      </xdr:nvSpPr>
      <xdr:spPr>
        <a:xfrm>
          <a:off x="0" y="0"/>
          <a:ext cx="0" cy="0"/>
        </a:xfrm>
        <a:prstGeom prst="rect">
          <a:avLst/>
        </a:prstGeom>
      </xdr:spPr>
    </xdr:sp>
    <xdr:clientData/>
  </xdr:twoCellAnchor>
  <xdr:twoCellAnchor editAs="oneCell">
    <xdr:from>
      <xdr:col>4</xdr:col>
      <xdr:colOff>0</xdr:colOff>
      <xdr:row>712</xdr:row>
      <xdr:rowOff>0</xdr:rowOff>
    </xdr:from>
    <xdr:to>
      <xdr:col>4</xdr:col>
      <xdr:colOff>152400</xdr:colOff>
      <xdr:row>712</xdr:row>
      <xdr:rowOff>152400</xdr:rowOff>
    </xdr:to>
    <xdr:pic>
      <xdr:nvPicPr>
        <xdr:cNvPr id="475" name="Picture 474" descr="Documents icon">
          <a:extLst>
            <a:ext uri="{FF2B5EF4-FFF2-40B4-BE49-F238E27FC236}">
              <a16:creationId xmlns:a16="http://schemas.microsoft.com/office/drawing/2014/main" xmlns="" id="{00000000-0008-0000-0600-0000D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854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1585</xdr:row>
      <xdr:rowOff>12700</xdr:rowOff>
    </xdr:from>
    <xdr:to>
      <xdr:col>3</xdr:col>
      <xdr:colOff>165100</xdr:colOff>
      <xdr:row>1586</xdr:row>
      <xdr:rowOff>12700</xdr:rowOff>
    </xdr:to>
    <xdr:sp macro="" textlink="">
      <xdr:nvSpPr>
        <xdr:cNvPr id="7643" name="Control 475" hidden="1">
          <a:extLst>
            <a:ext uri="{63B3BB69-23CF-44E3-9099-C40C66FF867C}">
              <a14:compatExt xmlns:a14="http://schemas.microsoft.com/office/drawing/2010/main" spid="_x0000_s7643"/>
            </a:ext>
            <a:ext uri="{FF2B5EF4-FFF2-40B4-BE49-F238E27FC236}">
              <a16:creationId xmlns:a16="http://schemas.microsoft.com/office/drawing/2014/main" xmlns="" id="{00000000-0008-0000-0600-0000DB1D0000}"/>
            </a:ext>
          </a:extLst>
        </xdr:cNvPr>
        <xdr:cNvSpPr/>
      </xdr:nvSpPr>
      <xdr:spPr>
        <a:xfrm>
          <a:off x="0" y="0"/>
          <a:ext cx="0" cy="0"/>
        </a:xfrm>
        <a:prstGeom prst="rect">
          <a:avLst/>
        </a:prstGeom>
      </xdr:spPr>
    </xdr:sp>
    <xdr:clientData/>
  </xdr:twoCellAnchor>
  <xdr:twoCellAnchor editAs="oneCell">
    <xdr:from>
      <xdr:col>4</xdr:col>
      <xdr:colOff>0</xdr:colOff>
      <xdr:row>715</xdr:row>
      <xdr:rowOff>0</xdr:rowOff>
    </xdr:from>
    <xdr:to>
      <xdr:col>4</xdr:col>
      <xdr:colOff>152400</xdr:colOff>
      <xdr:row>715</xdr:row>
      <xdr:rowOff>152400</xdr:rowOff>
    </xdr:to>
    <xdr:pic>
      <xdr:nvPicPr>
        <xdr:cNvPr id="477" name="Picture 476" descr="Documents icon">
          <a:extLst>
            <a:ext uri="{FF2B5EF4-FFF2-40B4-BE49-F238E27FC236}">
              <a16:creationId xmlns:a16="http://schemas.microsoft.com/office/drawing/2014/main" xmlns="" id="{00000000-0008-0000-0600-0000D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397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1591</xdr:row>
      <xdr:rowOff>127000</xdr:rowOff>
    </xdr:from>
    <xdr:to>
      <xdr:col>3</xdr:col>
      <xdr:colOff>165100</xdr:colOff>
      <xdr:row>1592</xdr:row>
      <xdr:rowOff>127000</xdr:rowOff>
    </xdr:to>
    <xdr:sp macro="" textlink="">
      <xdr:nvSpPr>
        <xdr:cNvPr id="7645" name="Control 477" hidden="1">
          <a:extLst>
            <a:ext uri="{63B3BB69-23CF-44E3-9099-C40C66FF867C}">
              <a14:compatExt xmlns:a14="http://schemas.microsoft.com/office/drawing/2010/main" spid="_x0000_s7645"/>
            </a:ext>
            <a:ext uri="{FF2B5EF4-FFF2-40B4-BE49-F238E27FC236}">
              <a16:creationId xmlns:a16="http://schemas.microsoft.com/office/drawing/2014/main" xmlns="" id="{00000000-0008-0000-0600-0000DD1D0000}"/>
            </a:ext>
          </a:extLst>
        </xdr:cNvPr>
        <xdr:cNvSpPr/>
      </xdr:nvSpPr>
      <xdr:spPr>
        <a:xfrm>
          <a:off x="0" y="0"/>
          <a:ext cx="0" cy="0"/>
        </a:xfrm>
        <a:prstGeom prst="rect">
          <a:avLst/>
        </a:prstGeom>
      </xdr:spPr>
    </xdr:sp>
    <xdr:clientData/>
  </xdr:twoCellAnchor>
  <xdr:twoCellAnchor editAs="oneCell">
    <xdr:from>
      <xdr:col>4</xdr:col>
      <xdr:colOff>0</xdr:colOff>
      <xdr:row>718</xdr:row>
      <xdr:rowOff>0</xdr:rowOff>
    </xdr:from>
    <xdr:to>
      <xdr:col>4</xdr:col>
      <xdr:colOff>152400</xdr:colOff>
      <xdr:row>718</xdr:row>
      <xdr:rowOff>152400</xdr:rowOff>
    </xdr:to>
    <xdr:pic>
      <xdr:nvPicPr>
        <xdr:cNvPr id="479" name="Picture 478" descr="Documents icon">
          <a:extLst>
            <a:ext uri="{FF2B5EF4-FFF2-40B4-BE49-F238E27FC236}">
              <a16:creationId xmlns:a16="http://schemas.microsoft.com/office/drawing/2014/main" xmlns="" id="{00000000-0008-0000-0600-0000D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940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1598</xdr:row>
      <xdr:rowOff>25400</xdr:rowOff>
    </xdr:from>
    <xdr:to>
      <xdr:col>3</xdr:col>
      <xdr:colOff>165100</xdr:colOff>
      <xdr:row>1599</xdr:row>
      <xdr:rowOff>25400</xdr:rowOff>
    </xdr:to>
    <xdr:sp macro="" textlink="">
      <xdr:nvSpPr>
        <xdr:cNvPr id="7647" name="Control 479" hidden="1">
          <a:extLst>
            <a:ext uri="{63B3BB69-23CF-44E3-9099-C40C66FF867C}">
              <a14:compatExt xmlns:a14="http://schemas.microsoft.com/office/drawing/2010/main" spid="_x0000_s7647"/>
            </a:ext>
            <a:ext uri="{FF2B5EF4-FFF2-40B4-BE49-F238E27FC236}">
              <a16:creationId xmlns:a16="http://schemas.microsoft.com/office/drawing/2014/main" xmlns="" id="{00000000-0008-0000-0600-0000DF1D0000}"/>
            </a:ext>
          </a:extLst>
        </xdr:cNvPr>
        <xdr:cNvSpPr/>
      </xdr:nvSpPr>
      <xdr:spPr>
        <a:xfrm>
          <a:off x="0" y="0"/>
          <a:ext cx="0" cy="0"/>
        </a:xfrm>
        <a:prstGeom prst="rect">
          <a:avLst/>
        </a:prstGeom>
      </xdr:spPr>
    </xdr:sp>
    <xdr:clientData/>
  </xdr:twoCellAnchor>
  <xdr:twoCellAnchor editAs="oneCell">
    <xdr:from>
      <xdr:col>4</xdr:col>
      <xdr:colOff>0</xdr:colOff>
      <xdr:row>721</xdr:row>
      <xdr:rowOff>0</xdr:rowOff>
    </xdr:from>
    <xdr:to>
      <xdr:col>4</xdr:col>
      <xdr:colOff>152400</xdr:colOff>
      <xdr:row>721</xdr:row>
      <xdr:rowOff>152400</xdr:rowOff>
    </xdr:to>
    <xdr:pic>
      <xdr:nvPicPr>
        <xdr:cNvPr id="481" name="Picture 480" descr="Documents icon">
          <a:extLst>
            <a:ext uri="{FF2B5EF4-FFF2-40B4-BE49-F238E27FC236}">
              <a16:creationId xmlns:a16="http://schemas.microsoft.com/office/drawing/2014/main" xmlns="" id="{00000000-0008-0000-0600-0000E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482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1604</xdr:row>
      <xdr:rowOff>165100</xdr:rowOff>
    </xdr:from>
    <xdr:to>
      <xdr:col>3</xdr:col>
      <xdr:colOff>165100</xdr:colOff>
      <xdr:row>1605</xdr:row>
      <xdr:rowOff>165100</xdr:rowOff>
    </xdr:to>
    <xdr:sp macro="" textlink="">
      <xdr:nvSpPr>
        <xdr:cNvPr id="7649" name="Control 481" hidden="1">
          <a:extLst>
            <a:ext uri="{63B3BB69-23CF-44E3-9099-C40C66FF867C}">
              <a14:compatExt xmlns:a14="http://schemas.microsoft.com/office/drawing/2010/main" spid="_x0000_s7649"/>
            </a:ext>
            <a:ext uri="{FF2B5EF4-FFF2-40B4-BE49-F238E27FC236}">
              <a16:creationId xmlns:a16="http://schemas.microsoft.com/office/drawing/2014/main" xmlns="" id="{00000000-0008-0000-0600-0000E11D0000}"/>
            </a:ext>
          </a:extLst>
        </xdr:cNvPr>
        <xdr:cNvSpPr/>
      </xdr:nvSpPr>
      <xdr:spPr>
        <a:xfrm>
          <a:off x="0" y="0"/>
          <a:ext cx="0" cy="0"/>
        </a:xfrm>
        <a:prstGeom prst="rect">
          <a:avLst/>
        </a:prstGeom>
      </xdr:spPr>
    </xdr:sp>
    <xdr:clientData/>
  </xdr:twoCellAnchor>
  <xdr:twoCellAnchor editAs="oneCell">
    <xdr:from>
      <xdr:col>4</xdr:col>
      <xdr:colOff>0</xdr:colOff>
      <xdr:row>724</xdr:row>
      <xdr:rowOff>0</xdr:rowOff>
    </xdr:from>
    <xdr:to>
      <xdr:col>4</xdr:col>
      <xdr:colOff>152400</xdr:colOff>
      <xdr:row>724</xdr:row>
      <xdr:rowOff>152400</xdr:rowOff>
    </xdr:to>
    <xdr:pic>
      <xdr:nvPicPr>
        <xdr:cNvPr id="483" name="Picture 482" descr="Documents icon">
          <a:extLst>
            <a:ext uri="{FF2B5EF4-FFF2-40B4-BE49-F238E27FC236}">
              <a16:creationId xmlns:a16="http://schemas.microsoft.com/office/drawing/2014/main" xmlns="" id="{00000000-0008-0000-0600-0000E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025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1611</xdr:row>
      <xdr:rowOff>88900</xdr:rowOff>
    </xdr:from>
    <xdr:to>
      <xdr:col>3</xdr:col>
      <xdr:colOff>165100</xdr:colOff>
      <xdr:row>1612</xdr:row>
      <xdr:rowOff>88900</xdr:rowOff>
    </xdr:to>
    <xdr:sp macro="" textlink="">
      <xdr:nvSpPr>
        <xdr:cNvPr id="7651" name="Control 483" hidden="1">
          <a:extLst>
            <a:ext uri="{63B3BB69-23CF-44E3-9099-C40C66FF867C}">
              <a14:compatExt xmlns:a14="http://schemas.microsoft.com/office/drawing/2010/main" spid="_x0000_s7651"/>
            </a:ext>
            <a:ext uri="{FF2B5EF4-FFF2-40B4-BE49-F238E27FC236}">
              <a16:creationId xmlns:a16="http://schemas.microsoft.com/office/drawing/2014/main" xmlns="" id="{00000000-0008-0000-0600-0000E31D0000}"/>
            </a:ext>
          </a:extLst>
        </xdr:cNvPr>
        <xdr:cNvSpPr/>
      </xdr:nvSpPr>
      <xdr:spPr>
        <a:xfrm>
          <a:off x="0" y="0"/>
          <a:ext cx="0" cy="0"/>
        </a:xfrm>
        <a:prstGeom prst="rect">
          <a:avLst/>
        </a:prstGeom>
      </xdr:spPr>
    </xdr:sp>
    <xdr:clientData/>
  </xdr:twoCellAnchor>
  <xdr:twoCellAnchor editAs="oneCell">
    <xdr:from>
      <xdr:col>4</xdr:col>
      <xdr:colOff>0</xdr:colOff>
      <xdr:row>727</xdr:row>
      <xdr:rowOff>0</xdr:rowOff>
    </xdr:from>
    <xdr:to>
      <xdr:col>4</xdr:col>
      <xdr:colOff>152400</xdr:colOff>
      <xdr:row>727</xdr:row>
      <xdr:rowOff>152400</xdr:rowOff>
    </xdr:to>
    <xdr:pic>
      <xdr:nvPicPr>
        <xdr:cNvPr id="485" name="Picture 484" descr="Documents icon">
          <a:extLst>
            <a:ext uri="{FF2B5EF4-FFF2-40B4-BE49-F238E27FC236}">
              <a16:creationId xmlns:a16="http://schemas.microsoft.com/office/drawing/2014/main" xmlns="" id="{00000000-0008-0000-0600-0000E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68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1618</xdr:row>
      <xdr:rowOff>25400</xdr:rowOff>
    </xdr:from>
    <xdr:to>
      <xdr:col>3</xdr:col>
      <xdr:colOff>165100</xdr:colOff>
      <xdr:row>1619</xdr:row>
      <xdr:rowOff>25400</xdr:rowOff>
    </xdr:to>
    <xdr:sp macro="" textlink="">
      <xdr:nvSpPr>
        <xdr:cNvPr id="7653" name="Control 485" hidden="1">
          <a:extLst>
            <a:ext uri="{63B3BB69-23CF-44E3-9099-C40C66FF867C}">
              <a14:compatExt xmlns:a14="http://schemas.microsoft.com/office/drawing/2010/main" spid="_x0000_s7653"/>
            </a:ext>
            <a:ext uri="{FF2B5EF4-FFF2-40B4-BE49-F238E27FC236}">
              <a16:creationId xmlns:a16="http://schemas.microsoft.com/office/drawing/2014/main" xmlns="" id="{00000000-0008-0000-0600-0000E51D0000}"/>
            </a:ext>
          </a:extLst>
        </xdr:cNvPr>
        <xdr:cNvSpPr/>
      </xdr:nvSpPr>
      <xdr:spPr>
        <a:xfrm>
          <a:off x="0" y="0"/>
          <a:ext cx="0" cy="0"/>
        </a:xfrm>
        <a:prstGeom prst="rect">
          <a:avLst/>
        </a:prstGeom>
      </xdr:spPr>
    </xdr:sp>
    <xdr:clientData/>
  </xdr:twoCellAnchor>
  <xdr:twoCellAnchor editAs="oneCell">
    <xdr:from>
      <xdr:col>4</xdr:col>
      <xdr:colOff>0</xdr:colOff>
      <xdr:row>730</xdr:row>
      <xdr:rowOff>0</xdr:rowOff>
    </xdr:from>
    <xdr:to>
      <xdr:col>4</xdr:col>
      <xdr:colOff>152400</xdr:colOff>
      <xdr:row>730</xdr:row>
      <xdr:rowOff>152400</xdr:rowOff>
    </xdr:to>
    <xdr:pic>
      <xdr:nvPicPr>
        <xdr:cNvPr id="487" name="Picture 486" descr="Documents icon">
          <a:extLst>
            <a:ext uri="{FF2B5EF4-FFF2-40B4-BE49-F238E27FC236}">
              <a16:creationId xmlns:a16="http://schemas.microsoft.com/office/drawing/2014/main" xmlns="" id="{00000000-0008-0000-0600-0000E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111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1624</xdr:row>
      <xdr:rowOff>177800</xdr:rowOff>
    </xdr:from>
    <xdr:to>
      <xdr:col>3</xdr:col>
      <xdr:colOff>165100</xdr:colOff>
      <xdr:row>1625</xdr:row>
      <xdr:rowOff>177800</xdr:rowOff>
    </xdr:to>
    <xdr:sp macro="" textlink="">
      <xdr:nvSpPr>
        <xdr:cNvPr id="7655" name="Control 487" hidden="1">
          <a:extLst>
            <a:ext uri="{63B3BB69-23CF-44E3-9099-C40C66FF867C}">
              <a14:compatExt xmlns:a14="http://schemas.microsoft.com/office/drawing/2010/main" spid="_x0000_s7655"/>
            </a:ext>
            <a:ext uri="{FF2B5EF4-FFF2-40B4-BE49-F238E27FC236}">
              <a16:creationId xmlns:a16="http://schemas.microsoft.com/office/drawing/2014/main" xmlns="" id="{00000000-0008-0000-0600-0000E71D0000}"/>
            </a:ext>
          </a:extLst>
        </xdr:cNvPr>
        <xdr:cNvSpPr/>
      </xdr:nvSpPr>
      <xdr:spPr>
        <a:xfrm>
          <a:off x="0" y="0"/>
          <a:ext cx="0" cy="0"/>
        </a:xfrm>
        <a:prstGeom prst="rect">
          <a:avLst/>
        </a:prstGeom>
      </xdr:spPr>
    </xdr:sp>
    <xdr:clientData/>
  </xdr:twoCellAnchor>
  <xdr:twoCellAnchor editAs="oneCell">
    <xdr:from>
      <xdr:col>4</xdr:col>
      <xdr:colOff>0</xdr:colOff>
      <xdr:row>733</xdr:row>
      <xdr:rowOff>0</xdr:rowOff>
    </xdr:from>
    <xdr:to>
      <xdr:col>4</xdr:col>
      <xdr:colOff>152400</xdr:colOff>
      <xdr:row>733</xdr:row>
      <xdr:rowOff>152400</xdr:rowOff>
    </xdr:to>
    <xdr:pic>
      <xdr:nvPicPr>
        <xdr:cNvPr id="489" name="Picture 488" descr="Documents icon">
          <a:extLst>
            <a:ext uri="{FF2B5EF4-FFF2-40B4-BE49-F238E27FC236}">
              <a16:creationId xmlns:a16="http://schemas.microsoft.com/office/drawing/2014/main" xmlns="" id="{00000000-0008-0000-0600-0000E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6546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1631</xdr:row>
      <xdr:rowOff>152400</xdr:rowOff>
    </xdr:from>
    <xdr:to>
      <xdr:col>3</xdr:col>
      <xdr:colOff>165100</xdr:colOff>
      <xdr:row>1632</xdr:row>
      <xdr:rowOff>152400</xdr:rowOff>
    </xdr:to>
    <xdr:sp macro="" textlink="">
      <xdr:nvSpPr>
        <xdr:cNvPr id="7657" name="Control 489" hidden="1">
          <a:extLst>
            <a:ext uri="{63B3BB69-23CF-44E3-9099-C40C66FF867C}">
              <a14:compatExt xmlns:a14="http://schemas.microsoft.com/office/drawing/2010/main" spid="_x0000_s7657"/>
            </a:ext>
            <a:ext uri="{FF2B5EF4-FFF2-40B4-BE49-F238E27FC236}">
              <a16:creationId xmlns:a16="http://schemas.microsoft.com/office/drawing/2014/main" xmlns="" id="{00000000-0008-0000-0600-0000E91D0000}"/>
            </a:ext>
          </a:extLst>
        </xdr:cNvPr>
        <xdr:cNvSpPr/>
      </xdr:nvSpPr>
      <xdr:spPr>
        <a:xfrm>
          <a:off x="0" y="0"/>
          <a:ext cx="0" cy="0"/>
        </a:xfrm>
        <a:prstGeom prst="rect">
          <a:avLst/>
        </a:prstGeom>
      </xdr:spPr>
    </xdr:sp>
    <xdr:clientData/>
  </xdr:twoCellAnchor>
  <xdr:twoCellAnchor editAs="oneCell">
    <xdr:from>
      <xdr:col>4</xdr:col>
      <xdr:colOff>0</xdr:colOff>
      <xdr:row>736</xdr:row>
      <xdr:rowOff>0</xdr:rowOff>
    </xdr:from>
    <xdr:to>
      <xdr:col>4</xdr:col>
      <xdr:colOff>152400</xdr:colOff>
      <xdr:row>736</xdr:row>
      <xdr:rowOff>152400</xdr:rowOff>
    </xdr:to>
    <xdr:pic>
      <xdr:nvPicPr>
        <xdr:cNvPr id="491" name="Picture 490" descr="Documents icon">
          <a:extLst>
            <a:ext uri="{FF2B5EF4-FFF2-40B4-BE49-F238E27FC236}">
              <a16:creationId xmlns:a16="http://schemas.microsoft.com/office/drawing/2014/main" xmlns="" id="{00000000-0008-0000-0600-0000E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97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1638</xdr:row>
      <xdr:rowOff>101600</xdr:rowOff>
    </xdr:from>
    <xdr:to>
      <xdr:col>3</xdr:col>
      <xdr:colOff>165100</xdr:colOff>
      <xdr:row>1639</xdr:row>
      <xdr:rowOff>101600</xdr:rowOff>
    </xdr:to>
    <xdr:sp macro="" textlink="">
      <xdr:nvSpPr>
        <xdr:cNvPr id="7659" name="Control 491" hidden="1">
          <a:extLst>
            <a:ext uri="{63B3BB69-23CF-44E3-9099-C40C66FF867C}">
              <a14:compatExt xmlns:a14="http://schemas.microsoft.com/office/drawing/2010/main" spid="_x0000_s7659"/>
            </a:ext>
            <a:ext uri="{FF2B5EF4-FFF2-40B4-BE49-F238E27FC236}">
              <a16:creationId xmlns:a16="http://schemas.microsoft.com/office/drawing/2014/main" xmlns="" id="{00000000-0008-0000-0600-0000EB1D0000}"/>
            </a:ext>
          </a:extLst>
        </xdr:cNvPr>
        <xdr:cNvSpPr/>
      </xdr:nvSpPr>
      <xdr:spPr>
        <a:xfrm>
          <a:off x="0" y="0"/>
          <a:ext cx="0" cy="0"/>
        </a:xfrm>
        <a:prstGeom prst="rect">
          <a:avLst/>
        </a:prstGeom>
      </xdr:spPr>
    </xdr:sp>
    <xdr:clientData/>
  </xdr:twoCellAnchor>
  <xdr:twoCellAnchor editAs="oneCell">
    <xdr:from>
      <xdr:col>4</xdr:col>
      <xdr:colOff>0</xdr:colOff>
      <xdr:row>739</xdr:row>
      <xdr:rowOff>0</xdr:rowOff>
    </xdr:from>
    <xdr:to>
      <xdr:col>4</xdr:col>
      <xdr:colOff>152400</xdr:colOff>
      <xdr:row>739</xdr:row>
      <xdr:rowOff>152400</xdr:rowOff>
    </xdr:to>
    <xdr:pic>
      <xdr:nvPicPr>
        <xdr:cNvPr id="493" name="Picture 492" descr="Documents icon">
          <a:extLst>
            <a:ext uri="{FF2B5EF4-FFF2-40B4-BE49-F238E27FC236}">
              <a16:creationId xmlns:a16="http://schemas.microsoft.com/office/drawing/2014/main" xmlns="" id="{00000000-0008-0000-0600-0000E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7405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1645</xdr:row>
      <xdr:rowOff>12700</xdr:rowOff>
    </xdr:from>
    <xdr:to>
      <xdr:col>3</xdr:col>
      <xdr:colOff>165100</xdr:colOff>
      <xdr:row>1646</xdr:row>
      <xdr:rowOff>12700</xdr:rowOff>
    </xdr:to>
    <xdr:sp macro="" textlink="">
      <xdr:nvSpPr>
        <xdr:cNvPr id="7661" name="Control 493" hidden="1">
          <a:extLst>
            <a:ext uri="{63B3BB69-23CF-44E3-9099-C40C66FF867C}">
              <a14:compatExt xmlns:a14="http://schemas.microsoft.com/office/drawing/2010/main" spid="_x0000_s7661"/>
            </a:ext>
            <a:ext uri="{FF2B5EF4-FFF2-40B4-BE49-F238E27FC236}">
              <a16:creationId xmlns:a16="http://schemas.microsoft.com/office/drawing/2014/main" xmlns="" id="{00000000-0008-0000-0600-0000ED1D0000}"/>
            </a:ext>
          </a:extLst>
        </xdr:cNvPr>
        <xdr:cNvSpPr/>
      </xdr:nvSpPr>
      <xdr:spPr>
        <a:xfrm>
          <a:off x="0" y="0"/>
          <a:ext cx="0" cy="0"/>
        </a:xfrm>
        <a:prstGeom prst="rect">
          <a:avLst/>
        </a:prstGeom>
      </xdr:spPr>
    </xdr:sp>
    <xdr:clientData/>
  </xdr:twoCellAnchor>
  <xdr:twoCellAnchor editAs="oneCell">
    <xdr:from>
      <xdr:col>4</xdr:col>
      <xdr:colOff>0</xdr:colOff>
      <xdr:row>742</xdr:row>
      <xdr:rowOff>0</xdr:rowOff>
    </xdr:from>
    <xdr:to>
      <xdr:col>4</xdr:col>
      <xdr:colOff>152400</xdr:colOff>
      <xdr:row>742</xdr:row>
      <xdr:rowOff>152400</xdr:rowOff>
    </xdr:to>
    <xdr:pic>
      <xdr:nvPicPr>
        <xdr:cNvPr id="495" name="Picture 494" descr="Documents icon">
          <a:extLst>
            <a:ext uri="{FF2B5EF4-FFF2-40B4-BE49-F238E27FC236}">
              <a16:creationId xmlns:a16="http://schemas.microsoft.com/office/drawing/2014/main" xmlns="" id="{00000000-0008-0000-0600-0000E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2834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1651</xdr:row>
      <xdr:rowOff>114300</xdr:rowOff>
    </xdr:from>
    <xdr:to>
      <xdr:col>3</xdr:col>
      <xdr:colOff>165100</xdr:colOff>
      <xdr:row>1652</xdr:row>
      <xdr:rowOff>114300</xdr:rowOff>
    </xdr:to>
    <xdr:sp macro="" textlink="">
      <xdr:nvSpPr>
        <xdr:cNvPr id="7663" name="Control 495" hidden="1">
          <a:extLst>
            <a:ext uri="{63B3BB69-23CF-44E3-9099-C40C66FF867C}">
              <a14:compatExt xmlns:a14="http://schemas.microsoft.com/office/drawing/2010/main" spid="_x0000_s7663"/>
            </a:ext>
            <a:ext uri="{FF2B5EF4-FFF2-40B4-BE49-F238E27FC236}">
              <a16:creationId xmlns:a16="http://schemas.microsoft.com/office/drawing/2014/main" xmlns="" id="{00000000-0008-0000-0600-0000EF1D0000}"/>
            </a:ext>
          </a:extLst>
        </xdr:cNvPr>
        <xdr:cNvSpPr/>
      </xdr:nvSpPr>
      <xdr:spPr>
        <a:xfrm>
          <a:off x="0" y="0"/>
          <a:ext cx="0" cy="0"/>
        </a:xfrm>
        <a:prstGeom prst="rect">
          <a:avLst/>
        </a:prstGeom>
      </xdr:spPr>
    </xdr:sp>
    <xdr:clientData/>
  </xdr:twoCellAnchor>
  <xdr:twoCellAnchor editAs="oneCell">
    <xdr:from>
      <xdr:col>4</xdr:col>
      <xdr:colOff>0</xdr:colOff>
      <xdr:row>745</xdr:row>
      <xdr:rowOff>0</xdr:rowOff>
    </xdr:from>
    <xdr:to>
      <xdr:col>4</xdr:col>
      <xdr:colOff>152400</xdr:colOff>
      <xdr:row>745</xdr:row>
      <xdr:rowOff>152400</xdr:rowOff>
    </xdr:to>
    <xdr:pic>
      <xdr:nvPicPr>
        <xdr:cNvPr id="497" name="Picture 496" descr="Documents icon">
          <a:extLst>
            <a:ext uri="{FF2B5EF4-FFF2-40B4-BE49-F238E27FC236}">
              <a16:creationId xmlns:a16="http://schemas.microsoft.com/office/drawing/2014/main" xmlns="" id="{00000000-0008-0000-0600-0000F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263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1658</xdr:row>
      <xdr:rowOff>63500</xdr:rowOff>
    </xdr:from>
    <xdr:to>
      <xdr:col>3</xdr:col>
      <xdr:colOff>165100</xdr:colOff>
      <xdr:row>1659</xdr:row>
      <xdr:rowOff>63500</xdr:rowOff>
    </xdr:to>
    <xdr:sp macro="" textlink="">
      <xdr:nvSpPr>
        <xdr:cNvPr id="7665" name="Control 497" hidden="1">
          <a:extLst>
            <a:ext uri="{63B3BB69-23CF-44E3-9099-C40C66FF867C}">
              <a14:compatExt xmlns:a14="http://schemas.microsoft.com/office/drawing/2010/main" spid="_x0000_s7665"/>
            </a:ext>
            <a:ext uri="{FF2B5EF4-FFF2-40B4-BE49-F238E27FC236}">
              <a16:creationId xmlns:a16="http://schemas.microsoft.com/office/drawing/2014/main" xmlns="" id="{00000000-0008-0000-0600-0000F11D0000}"/>
            </a:ext>
          </a:extLst>
        </xdr:cNvPr>
        <xdr:cNvSpPr/>
      </xdr:nvSpPr>
      <xdr:spPr>
        <a:xfrm>
          <a:off x="0" y="0"/>
          <a:ext cx="0" cy="0"/>
        </a:xfrm>
        <a:prstGeom prst="rect">
          <a:avLst/>
        </a:prstGeom>
      </xdr:spPr>
    </xdr:sp>
    <xdr:clientData/>
  </xdr:twoCellAnchor>
  <xdr:twoCellAnchor editAs="oneCell">
    <xdr:from>
      <xdr:col>4</xdr:col>
      <xdr:colOff>0</xdr:colOff>
      <xdr:row>748</xdr:row>
      <xdr:rowOff>0</xdr:rowOff>
    </xdr:from>
    <xdr:to>
      <xdr:col>4</xdr:col>
      <xdr:colOff>152400</xdr:colOff>
      <xdr:row>748</xdr:row>
      <xdr:rowOff>152400</xdr:rowOff>
    </xdr:to>
    <xdr:pic>
      <xdr:nvPicPr>
        <xdr:cNvPr id="499" name="Picture 498" descr="Documents icon">
          <a:extLst>
            <a:ext uri="{FF2B5EF4-FFF2-40B4-BE49-F238E27FC236}">
              <a16:creationId xmlns:a16="http://schemas.microsoft.com/office/drawing/2014/main" xmlns="" id="{00000000-0008-0000-0600-0000F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3693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1664</xdr:row>
      <xdr:rowOff>177800</xdr:rowOff>
    </xdr:from>
    <xdr:to>
      <xdr:col>3</xdr:col>
      <xdr:colOff>165100</xdr:colOff>
      <xdr:row>1665</xdr:row>
      <xdr:rowOff>177800</xdr:rowOff>
    </xdr:to>
    <xdr:sp macro="" textlink="">
      <xdr:nvSpPr>
        <xdr:cNvPr id="7667" name="Control 499" hidden="1">
          <a:extLst>
            <a:ext uri="{63B3BB69-23CF-44E3-9099-C40C66FF867C}">
              <a14:compatExt xmlns:a14="http://schemas.microsoft.com/office/drawing/2010/main" spid="_x0000_s7667"/>
            </a:ext>
            <a:ext uri="{FF2B5EF4-FFF2-40B4-BE49-F238E27FC236}">
              <a16:creationId xmlns:a16="http://schemas.microsoft.com/office/drawing/2014/main" xmlns="" id="{00000000-0008-0000-0600-0000F31D0000}"/>
            </a:ext>
          </a:extLst>
        </xdr:cNvPr>
        <xdr:cNvSpPr/>
      </xdr:nvSpPr>
      <xdr:spPr>
        <a:xfrm>
          <a:off x="0" y="0"/>
          <a:ext cx="0" cy="0"/>
        </a:xfrm>
        <a:prstGeom prst="rect">
          <a:avLst/>
        </a:prstGeom>
      </xdr:spPr>
    </xdr:sp>
    <xdr:clientData/>
  </xdr:twoCellAnchor>
  <xdr:twoCellAnchor editAs="oneCell">
    <xdr:from>
      <xdr:col>4</xdr:col>
      <xdr:colOff>0</xdr:colOff>
      <xdr:row>751</xdr:row>
      <xdr:rowOff>0</xdr:rowOff>
    </xdr:from>
    <xdr:to>
      <xdr:col>4</xdr:col>
      <xdr:colOff>152400</xdr:colOff>
      <xdr:row>751</xdr:row>
      <xdr:rowOff>152400</xdr:rowOff>
    </xdr:to>
    <xdr:pic>
      <xdr:nvPicPr>
        <xdr:cNvPr id="501" name="Picture 500" descr="Documents icon">
          <a:extLst>
            <a:ext uri="{FF2B5EF4-FFF2-40B4-BE49-F238E27FC236}">
              <a16:creationId xmlns:a16="http://schemas.microsoft.com/office/drawing/2014/main" xmlns="" id="{00000000-0008-0000-0600-0000F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9122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1671</xdr:row>
      <xdr:rowOff>101600</xdr:rowOff>
    </xdr:from>
    <xdr:to>
      <xdr:col>3</xdr:col>
      <xdr:colOff>165100</xdr:colOff>
      <xdr:row>1672</xdr:row>
      <xdr:rowOff>101600</xdr:rowOff>
    </xdr:to>
    <xdr:sp macro="" textlink="">
      <xdr:nvSpPr>
        <xdr:cNvPr id="7669" name="Control 501" hidden="1">
          <a:extLst>
            <a:ext uri="{63B3BB69-23CF-44E3-9099-C40C66FF867C}">
              <a14:compatExt xmlns:a14="http://schemas.microsoft.com/office/drawing/2010/main" spid="_x0000_s7669"/>
            </a:ext>
            <a:ext uri="{FF2B5EF4-FFF2-40B4-BE49-F238E27FC236}">
              <a16:creationId xmlns:a16="http://schemas.microsoft.com/office/drawing/2014/main" xmlns="" id="{00000000-0008-0000-0600-0000F51D0000}"/>
            </a:ext>
          </a:extLst>
        </xdr:cNvPr>
        <xdr:cNvSpPr/>
      </xdr:nvSpPr>
      <xdr:spPr>
        <a:xfrm>
          <a:off x="0" y="0"/>
          <a:ext cx="0" cy="0"/>
        </a:xfrm>
        <a:prstGeom prst="rect">
          <a:avLst/>
        </a:prstGeom>
      </xdr:spPr>
    </xdr:sp>
    <xdr:clientData/>
  </xdr:twoCellAnchor>
  <xdr:twoCellAnchor editAs="oneCell">
    <xdr:from>
      <xdr:col>4</xdr:col>
      <xdr:colOff>0</xdr:colOff>
      <xdr:row>754</xdr:row>
      <xdr:rowOff>0</xdr:rowOff>
    </xdr:from>
    <xdr:to>
      <xdr:col>4</xdr:col>
      <xdr:colOff>152400</xdr:colOff>
      <xdr:row>754</xdr:row>
      <xdr:rowOff>152400</xdr:rowOff>
    </xdr:to>
    <xdr:pic>
      <xdr:nvPicPr>
        <xdr:cNvPr id="503" name="Picture 502" descr="Documents icon">
          <a:extLst>
            <a:ext uri="{FF2B5EF4-FFF2-40B4-BE49-F238E27FC236}">
              <a16:creationId xmlns:a16="http://schemas.microsoft.com/office/drawing/2014/main" xmlns="" id="{00000000-0008-0000-0600-0000F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455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1678</xdr:row>
      <xdr:rowOff>63500</xdr:rowOff>
    </xdr:from>
    <xdr:to>
      <xdr:col>3</xdr:col>
      <xdr:colOff>165100</xdr:colOff>
      <xdr:row>1679</xdr:row>
      <xdr:rowOff>63500</xdr:rowOff>
    </xdr:to>
    <xdr:sp macro="" textlink="">
      <xdr:nvSpPr>
        <xdr:cNvPr id="7671" name="Control 503" hidden="1">
          <a:extLst>
            <a:ext uri="{63B3BB69-23CF-44E3-9099-C40C66FF867C}">
              <a14:compatExt xmlns:a14="http://schemas.microsoft.com/office/drawing/2010/main" spid="_x0000_s7671"/>
            </a:ext>
            <a:ext uri="{FF2B5EF4-FFF2-40B4-BE49-F238E27FC236}">
              <a16:creationId xmlns:a16="http://schemas.microsoft.com/office/drawing/2014/main" xmlns="" id="{00000000-0008-0000-0600-0000F71D0000}"/>
            </a:ext>
          </a:extLst>
        </xdr:cNvPr>
        <xdr:cNvSpPr/>
      </xdr:nvSpPr>
      <xdr:spPr>
        <a:xfrm>
          <a:off x="0" y="0"/>
          <a:ext cx="0" cy="0"/>
        </a:xfrm>
        <a:prstGeom prst="rect">
          <a:avLst/>
        </a:prstGeom>
      </xdr:spPr>
    </xdr:sp>
    <xdr:clientData/>
  </xdr:twoCellAnchor>
  <xdr:twoCellAnchor editAs="oneCell">
    <xdr:from>
      <xdr:col>4</xdr:col>
      <xdr:colOff>0</xdr:colOff>
      <xdr:row>757</xdr:row>
      <xdr:rowOff>0</xdr:rowOff>
    </xdr:from>
    <xdr:to>
      <xdr:col>4</xdr:col>
      <xdr:colOff>152400</xdr:colOff>
      <xdr:row>757</xdr:row>
      <xdr:rowOff>152400</xdr:rowOff>
    </xdr:to>
    <xdr:pic>
      <xdr:nvPicPr>
        <xdr:cNvPr id="505" name="Picture 504" descr="Documents icon">
          <a:extLst>
            <a:ext uri="{FF2B5EF4-FFF2-40B4-BE49-F238E27FC236}">
              <a16:creationId xmlns:a16="http://schemas.microsoft.com/office/drawing/2014/main" xmlns="" id="{00000000-0008-0000-0600-0000F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9980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1684</xdr:row>
      <xdr:rowOff>165100</xdr:rowOff>
    </xdr:from>
    <xdr:to>
      <xdr:col>3</xdr:col>
      <xdr:colOff>165100</xdr:colOff>
      <xdr:row>1685</xdr:row>
      <xdr:rowOff>165100</xdr:rowOff>
    </xdr:to>
    <xdr:sp macro="" textlink="">
      <xdr:nvSpPr>
        <xdr:cNvPr id="7673" name="Control 505" hidden="1">
          <a:extLst>
            <a:ext uri="{63B3BB69-23CF-44E3-9099-C40C66FF867C}">
              <a14:compatExt xmlns:a14="http://schemas.microsoft.com/office/drawing/2010/main" spid="_x0000_s7673"/>
            </a:ext>
            <a:ext uri="{FF2B5EF4-FFF2-40B4-BE49-F238E27FC236}">
              <a16:creationId xmlns:a16="http://schemas.microsoft.com/office/drawing/2014/main" xmlns="" id="{00000000-0008-0000-0600-0000F91D0000}"/>
            </a:ext>
          </a:extLst>
        </xdr:cNvPr>
        <xdr:cNvSpPr/>
      </xdr:nvSpPr>
      <xdr:spPr>
        <a:xfrm>
          <a:off x="0" y="0"/>
          <a:ext cx="0" cy="0"/>
        </a:xfrm>
        <a:prstGeom prst="rect">
          <a:avLst/>
        </a:prstGeom>
      </xdr:spPr>
    </xdr:sp>
    <xdr:clientData/>
  </xdr:twoCellAnchor>
  <xdr:twoCellAnchor editAs="oneCell">
    <xdr:from>
      <xdr:col>4</xdr:col>
      <xdr:colOff>0</xdr:colOff>
      <xdr:row>760</xdr:row>
      <xdr:rowOff>0</xdr:rowOff>
    </xdr:from>
    <xdr:to>
      <xdr:col>4</xdr:col>
      <xdr:colOff>152400</xdr:colOff>
      <xdr:row>760</xdr:row>
      <xdr:rowOff>152400</xdr:rowOff>
    </xdr:to>
    <xdr:pic>
      <xdr:nvPicPr>
        <xdr:cNvPr id="507" name="Picture 506" descr="Documents icon">
          <a:extLst>
            <a:ext uri="{FF2B5EF4-FFF2-40B4-BE49-F238E27FC236}">
              <a16:creationId xmlns:a16="http://schemas.microsoft.com/office/drawing/2014/main" xmlns="" id="{00000000-0008-0000-0600-0000F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54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1691</xdr:row>
      <xdr:rowOff>127000</xdr:rowOff>
    </xdr:from>
    <xdr:to>
      <xdr:col>3</xdr:col>
      <xdr:colOff>165100</xdr:colOff>
      <xdr:row>1692</xdr:row>
      <xdr:rowOff>127000</xdr:rowOff>
    </xdr:to>
    <xdr:sp macro="" textlink="">
      <xdr:nvSpPr>
        <xdr:cNvPr id="7675" name="Control 507" hidden="1">
          <a:extLst>
            <a:ext uri="{63B3BB69-23CF-44E3-9099-C40C66FF867C}">
              <a14:compatExt xmlns:a14="http://schemas.microsoft.com/office/drawing/2010/main" spid="_x0000_s7675"/>
            </a:ext>
            <a:ext uri="{FF2B5EF4-FFF2-40B4-BE49-F238E27FC236}">
              <a16:creationId xmlns:a16="http://schemas.microsoft.com/office/drawing/2014/main" xmlns="" id="{00000000-0008-0000-0600-0000FB1D0000}"/>
            </a:ext>
          </a:extLst>
        </xdr:cNvPr>
        <xdr:cNvSpPr/>
      </xdr:nvSpPr>
      <xdr:spPr>
        <a:xfrm>
          <a:off x="0" y="0"/>
          <a:ext cx="0" cy="0"/>
        </a:xfrm>
        <a:prstGeom prst="rect">
          <a:avLst/>
        </a:prstGeom>
      </xdr:spPr>
    </xdr:sp>
    <xdr:clientData/>
  </xdr:twoCellAnchor>
  <xdr:twoCellAnchor editAs="oneCell">
    <xdr:from>
      <xdr:col>4</xdr:col>
      <xdr:colOff>0</xdr:colOff>
      <xdr:row>763</xdr:row>
      <xdr:rowOff>0</xdr:rowOff>
    </xdr:from>
    <xdr:to>
      <xdr:col>4</xdr:col>
      <xdr:colOff>152400</xdr:colOff>
      <xdr:row>763</xdr:row>
      <xdr:rowOff>152400</xdr:rowOff>
    </xdr:to>
    <xdr:pic>
      <xdr:nvPicPr>
        <xdr:cNvPr id="509" name="Picture 508" descr="Documents icon">
          <a:extLst>
            <a:ext uri="{FF2B5EF4-FFF2-40B4-BE49-F238E27FC236}">
              <a16:creationId xmlns:a16="http://schemas.microsoft.com/office/drawing/2014/main" xmlns="" id="{00000000-0008-0000-0600-0000F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839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1698</xdr:row>
      <xdr:rowOff>76200</xdr:rowOff>
    </xdr:from>
    <xdr:to>
      <xdr:col>3</xdr:col>
      <xdr:colOff>165100</xdr:colOff>
      <xdr:row>1699</xdr:row>
      <xdr:rowOff>76200</xdr:rowOff>
    </xdr:to>
    <xdr:sp macro="" textlink="">
      <xdr:nvSpPr>
        <xdr:cNvPr id="7677" name="Control 509" hidden="1">
          <a:extLst>
            <a:ext uri="{63B3BB69-23CF-44E3-9099-C40C66FF867C}">
              <a14:compatExt xmlns:a14="http://schemas.microsoft.com/office/drawing/2010/main" spid="_x0000_s7677"/>
            </a:ext>
            <a:ext uri="{FF2B5EF4-FFF2-40B4-BE49-F238E27FC236}">
              <a16:creationId xmlns:a16="http://schemas.microsoft.com/office/drawing/2014/main" xmlns="" id="{00000000-0008-0000-0600-0000FD1D0000}"/>
            </a:ext>
          </a:extLst>
        </xdr:cNvPr>
        <xdr:cNvSpPr/>
      </xdr:nvSpPr>
      <xdr:spPr>
        <a:xfrm>
          <a:off x="0" y="0"/>
          <a:ext cx="0" cy="0"/>
        </a:xfrm>
        <a:prstGeom prst="rect">
          <a:avLst/>
        </a:prstGeom>
      </xdr:spPr>
    </xdr:sp>
    <xdr:clientData/>
  </xdr:twoCellAnchor>
  <xdr:twoCellAnchor editAs="oneCell">
    <xdr:from>
      <xdr:col>4</xdr:col>
      <xdr:colOff>0</xdr:colOff>
      <xdr:row>766</xdr:row>
      <xdr:rowOff>0</xdr:rowOff>
    </xdr:from>
    <xdr:to>
      <xdr:col>4</xdr:col>
      <xdr:colOff>152400</xdr:colOff>
      <xdr:row>766</xdr:row>
      <xdr:rowOff>152400</xdr:rowOff>
    </xdr:to>
    <xdr:pic>
      <xdr:nvPicPr>
        <xdr:cNvPr id="511" name="Picture 510" descr="Documents icon">
          <a:extLst>
            <a:ext uri="{FF2B5EF4-FFF2-40B4-BE49-F238E27FC236}">
              <a16:creationId xmlns:a16="http://schemas.microsoft.com/office/drawing/2014/main" xmlns="" id="{00000000-0008-0000-0600-0000F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1704</xdr:row>
      <xdr:rowOff>127000</xdr:rowOff>
    </xdr:from>
    <xdr:to>
      <xdr:col>3</xdr:col>
      <xdr:colOff>165100</xdr:colOff>
      <xdr:row>1705</xdr:row>
      <xdr:rowOff>127000</xdr:rowOff>
    </xdr:to>
    <xdr:sp macro="" textlink="">
      <xdr:nvSpPr>
        <xdr:cNvPr id="7679" name="Control 511" hidden="1">
          <a:extLst>
            <a:ext uri="{63B3BB69-23CF-44E3-9099-C40C66FF867C}">
              <a14:compatExt xmlns:a14="http://schemas.microsoft.com/office/drawing/2010/main" spid="_x0000_s7679"/>
            </a:ext>
            <a:ext uri="{FF2B5EF4-FFF2-40B4-BE49-F238E27FC236}">
              <a16:creationId xmlns:a16="http://schemas.microsoft.com/office/drawing/2014/main" xmlns="" id="{00000000-0008-0000-0600-0000FF1D0000}"/>
            </a:ext>
          </a:extLst>
        </xdr:cNvPr>
        <xdr:cNvSpPr/>
      </xdr:nvSpPr>
      <xdr:spPr>
        <a:xfrm>
          <a:off x="0" y="0"/>
          <a:ext cx="0" cy="0"/>
        </a:xfrm>
        <a:prstGeom prst="rect">
          <a:avLst/>
        </a:prstGeom>
      </xdr:spPr>
    </xdr:sp>
    <xdr:clientData/>
  </xdr:twoCellAnchor>
  <xdr:twoCellAnchor editAs="oneCell">
    <xdr:from>
      <xdr:col>4</xdr:col>
      <xdr:colOff>0</xdr:colOff>
      <xdr:row>769</xdr:row>
      <xdr:rowOff>0</xdr:rowOff>
    </xdr:from>
    <xdr:to>
      <xdr:col>4</xdr:col>
      <xdr:colOff>152400</xdr:colOff>
      <xdr:row>769</xdr:row>
      <xdr:rowOff>152400</xdr:rowOff>
    </xdr:to>
    <xdr:pic>
      <xdr:nvPicPr>
        <xdr:cNvPr id="513" name="Picture 512" descr="Documents icon">
          <a:extLst>
            <a:ext uri="{FF2B5EF4-FFF2-40B4-BE49-F238E27FC236}">
              <a16:creationId xmlns:a16="http://schemas.microsoft.com/office/drawing/2014/main" xmlns="" id="{00000000-0008-0000-0600-00000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69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1711</xdr:row>
      <xdr:rowOff>38100</xdr:rowOff>
    </xdr:from>
    <xdr:to>
      <xdr:col>3</xdr:col>
      <xdr:colOff>165100</xdr:colOff>
      <xdr:row>1712</xdr:row>
      <xdr:rowOff>38100</xdr:rowOff>
    </xdr:to>
    <xdr:sp macro="" textlink="">
      <xdr:nvSpPr>
        <xdr:cNvPr id="7681" name="Control 513" hidden="1">
          <a:extLst>
            <a:ext uri="{63B3BB69-23CF-44E3-9099-C40C66FF867C}">
              <a14:compatExt xmlns:a14="http://schemas.microsoft.com/office/drawing/2010/main" spid="_x0000_s7681"/>
            </a:ext>
            <a:ext uri="{FF2B5EF4-FFF2-40B4-BE49-F238E27FC236}">
              <a16:creationId xmlns:a16="http://schemas.microsoft.com/office/drawing/2014/main" xmlns="" id="{00000000-0008-0000-0600-0000011E0000}"/>
            </a:ext>
          </a:extLst>
        </xdr:cNvPr>
        <xdr:cNvSpPr/>
      </xdr:nvSpPr>
      <xdr:spPr>
        <a:xfrm>
          <a:off x="0" y="0"/>
          <a:ext cx="0" cy="0"/>
        </a:xfrm>
        <a:prstGeom prst="rect">
          <a:avLst/>
        </a:prstGeom>
      </xdr:spPr>
    </xdr:sp>
    <xdr:clientData/>
  </xdr:twoCellAnchor>
  <xdr:twoCellAnchor editAs="oneCell">
    <xdr:from>
      <xdr:col>4</xdr:col>
      <xdr:colOff>0</xdr:colOff>
      <xdr:row>772</xdr:row>
      <xdr:rowOff>0</xdr:rowOff>
    </xdr:from>
    <xdr:to>
      <xdr:col>4</xdr:col>
      <xdr:colOff>152400</xdr:colOff>
      <xdr:row>772</xdr:row>
      <xdr:rowOff>152400</xdr:rowOff>
    </xdr:to>
    <xdr:pic>
      <xdr:nvPicPr>
        <xdr:cNvPr id="515" name="Picture 514" descr="Documents icon">
          <a:extLst>
            <a:ext uri="{FF2B5EF4-FFF2-40B4-BE49-F238E27FC236}">
              <a16:creationId xmlns:a16="http://schemas.microsoft.com/office/drawing/2014/main" xmlns="" id="{00000000-0008-0000-0600-00000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127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1718</xdr:row>
      <xdr:rowOff>25400</xdr:rowOff>
    </xdr:from>
    <xdr:to>
      <xdr:col>3</xdr:col>
      <xdr:colOff>165100</xdr:colOff>
      <xdr:row>1719</xdr:row>
      <xdr:rowOff>25400</xdr:rowOff>
    </xdr:to>
    <xdr:sp macro="" textlink="">
      <xdr:nvSpPr>
        <xdr:cNvPr id="7683" name="Control 515" hidden="1">
          <a:extLst>
            <a:ext uri="{63B3BB69-23CF-44E3-9099-C40C66FF867C}">
              <a14:compatExt xmlns:a14="http://schemas.microsoft.com/office/drawing/2010/main" spid="_x0000_s7683"/>
            </a:ext>
            <a:ext uri="{FF2B5EF4-FFF2-40B4-BE49-F238E27FC236}">
              <a16:creationId xmlns:a16="http://schemas.microsoft.com/office/drawing/2014/main" xmlns="" id="{00000000-0008-0000-0600-0000031E0000}"/>
            </a:ext>
          </a:extLst>
        </xdr:cNvPr>
        <xdr:cNvSpPr/>
      </xdr:nvSpPr>
      <xdr:spPr>
        <a:xfrm>
          <a:off x="0" y="0"/>
          <a:ext cx="0" cy="0"/>
        </a:xfrm>
        <a:prstGeom prst="rect">
          <a:avLst/>
        </a:prstGeom>
      </xdr:spPr>
    </xdr:sp>
    <xdr:clientData/>
  </xdr:twoCellAnchor>
  <xdr:twoCellAnchor editAs="oneCell">
    <xdr:from>
      <xdr:col>4</xdr:col>
      <xdr:colOff>0</xdr:colOff>
      <xdr:row>775</xdr:row>
      <xdr:rowOff>0</xdr:rowOff>
    </xdr:from>
    <xdr:to>
      <xdr:col>4</xdr:col>
      <xdr:colOff>152400</xdr:colOff>
      <xdr:row>775</xdr:row>
      <xdr:rowOff>152400</xdr:rowOff>
    </xdr:to>
    <xdr:pic>
      <xdr:nvPicPr>
        <xdr:cNvPr id="517" name="Picture 516" descr="Documents icon">
          <a:extLst>
            <a:ext uri="{FF2B5EF4-FFF2-40B4-BE49-F238E27FC236}">
              <a16:creationId xmlns:a16="http://schemas.microsoft.com/office/drawing/2014/main" xmlns="" id="{00000000-0008-0000-0600-00000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2556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1724</xdr:row>
      <xdr:rowOff>152400</xdr:rowOff>
    </xdr:from>
    <xdr:to>
      <xdr:col>3</xdr:col>
      <xdr:colOff>165100</xdr:colOff>
      <xdr:row>1725</xdr:row>
      <xdr:rowOff>152400</xdr:rowOff>
    </xdr:to>
    <xdr:sp macro="" textlink="">
      <xdr:nvSpPr>
        <xdr:cNvPr id="7685" name="Control 517" hidden="1">
          <a:extLst>
            <a:ext uri="{63B3BB69-23CF-44E3-9099-C40C66FF867C}">
              <a14:compatExt xmlns:a14="http://schemas.microsoft.com/office/drawing/2010/main" spid="_x0000_s7685"/>
            </a:ext>
            <a:ext uri="{FF2B5EF4-FFF2-40B4-BE49-F238E27FC236}">
              <a16:creationId xmlns:a16="http://schemas.microsoft.com/office/drawing/2014/main" xmlns="" id="{00000000-0008-0000-0600-0000051E0000}"/>
            </a:ext>
          </a:extLst>
        </xdr:cNvPr>
        <xdr:cNvSpPr/>
      </xdr:nvSpPr>
      <xdr:spPr>
        <a:xfrm>
          <a:off x="0" y="0"/>
          <a:ext cx="0" cy="0"/>
        </a:xfrm>
        <a:prstGeom prst="rect">
          <a:avLst/>
        </a:prstGeom>
      </xdr:spPr>
    </xdr:sp>
    <xdr:clientData/>
  </xdr:twoCellAnchor>
  <xdr:twoCellAnchor editAs="oneCell">
    <xdr:from>
      <xdr:col>4</xdr:col>
      <xdr:colOff>0</xdr:colOff>
      <xdr:row>778</xdr:row>
      <xdr:rowOff>0</xdr:rowOff>
    </xdr:from>
    <xdr:to>
      <xdr:col>4</xdr:col>
      <xdr:colOff>152400</xdr:colOff>
      <xdr:row>778</xdr:row>
      <xdr:rowOff>152400</xdr:rowOff>
    </xdr:to>
    <xdr:pic>
      <xdr:nvPicPr>
        <xdr:cNvPr id="519" name="Picture 518" descr="Documents icon">
          <a:extLst>
            <a:ext uri="{FF2B5EF4-FFF2-40B4-BE49-F238E27FC236}">
              <a16:creationId xmlns:a16="http://schemas.microsoft.com/office/drawing/2014/main" xmlns="" id="{00000000-0008-0000-0600-00000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985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1731</xdr:row>
      <xdr:rowOff>76200</xdr:rowOff>
    </xdr:from>
    <xdr:to>
      <xdr:col>3</xdr:col>
      <xdr:colOff>165100</xdr:colOff>
      <xdr:row>1732</xdr:row>
      <xdr:rowOff>76200</xdr:rowOff>
    </xdr:to>
    <xdr:sp macro="" textlink="">
      <xdr:nvSpPr>
        <xdr:cNvPr id="7687" name="Control 519" hidden="1">
          <a:extLst>
            <a:ext uri="{63B3BB69-23CF-44E3-9099-C40C66FF867C}">
              <a14:compatExt xmlns:a14="http://schemas.microsoft.com/office/drawing/2010/main" spid="_x0000_s7687"/>
            </a:ext>
            <a:ext uri="{FF2B5EF4-FFF2-40B4-BE49-F238E27FC236}">
              <a16:creationId xmlns:a16="http://schemas.microsoft.com/office/drawing/2014/main" xmlns="" id="{00000000-0008-0000-0600-0000071E0000}"/>
            </a:ext>
          </a:extLst>
        </xdr:cNvPr>
        <xdr:cNvSpPr/>
      </xdr:nvSpPr>
      <xdr:spPr>
        <a:xfrm>
          <a:off x="0" y="0"/>
          <a:ext cx="0" cy="0"/>
        </a:xfrm>
        <a:prstGeom prst="rect">
          <a:avLst/>
        </a:prstGeom>
      </xdr:spPr>
    </xdr:sp>
    <xdr:clientData/>
  </xdr:twoCellAnchor>
  <xdr:twoCellAnchor editAs="oneCell">
    <xdr:from>
      <xdr:col>4</xdr:col>
      <xdr:colOff>0</xdr:colOff>
      <xdr:row>781</xdr:row>
      <xdr:rowOff>0</xdr:rowOff>
    </xdr:from>
    <xdr:to>
      <xdr:col>4</xdr:col>
      <xdr:colOff>152400</xdr:colOff>
      <xdr:row>781</xdr:row>
      <xdr:rowOff>152400</xdr:rowOff>
    </xdr:to>
    <xdr:pic>
      <xdr:nvPicPr>
        <xdr:cNvPr id="521" name="Picture 520" descr="Documents icon">
          <a:extLst>
            <a:ext uri="{FF2B5EF4-FFF2-40B4-BE49-F238E27FC236}">
              <a16:creationId xmlns:a16="http://schemas.microsoft.com/office/drawing/2014/main" xmlns="" id="{00000000-0008-0000-0600-00000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3414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1738</xdr:row>
      <xdr:rowOff>38100</xdr:rowOff>
    </xdr:from>
    <xdr:to>
      <xdr:col>3</xdr:col>
      <xdr:colOff>165100</xdr:colOff>
      <xdr:row>1739</xdr:row>
      <xdr:rowOff>38100</xdr:rowOff>
    </xdr:to>
    <xdr:sp macro="" textlink="">
      <xdr:nvSpPr>
        <xdr:cNvPr id="7689" name="Control 521" hidden="1">
          <a:extLst>
            <a:ext uri="{63B3BB69-23CF-44E3-9099-C40C66FF867C}">
              <a14:compatExt xmlns:a14="http://schemas.microsoft.com/office/drawing/2010/main" spid="_x0000_s7689"/>
            </a:ext>
            <a:ext uri="{FF2B5EF4-FFF2-40B4-BE49-F238E27FC236}">
              <a16:creationId xmlns:a16="http://schemas.microsoft.com/office/drawing/2014/main" xmlns="" id="{00000000-0008-0000-0600-0000091E0000}"/>
            </a:ext>
          </a:extLst>
        </xdr:cNvPr>
        <xdr:cNvSpPr/>
      </xdr:nvSpPr>
      <xdr:spPr>
        <a:xfrm>
          <a:off x="0" y="0"/>
          <a:ext cx="0" cy="0"/>
        </a:xfrm>
        <a:prstGeom prst="rect">
          <a:avLst/>
        </a:prstGeom>
      </xdr:spPr>
    </xdr:sp>
    <xdr:clientData/>
  </xdr:twoCellAnchor>
  <xdr:twoCellAnchor editAs="oneCell">
    <xdr:from>
      <xdr:col>4</xdr:col>
      <xdr:colOff>0</xdr:colOff>
      <xdr:row>784</xdr:row>
      <xdr:rowOff>0</xdr:rowOff>
    </xdr:from>
    <xdr:to>
      <xdr:col>4</xdr:col>
      <xdr:colOff>152400</xdr:colOff>
      <xdr:row>784</xdr:row>
      <xdr:rowOff>152400</xdr:rowOff>
    </xdr:to>
    <xdr:pic>
      <xdr:nvPicPr>
        <xdr:cNvPr id="523" name="Picture 522" descr="Documents icon">
          <a:extLst>
            <a:ext uri="{FF2B5EF4-FFF2-40B4-BE49-F238E27FC236}">
              <a16:creationId xmlns:a16="http://schemas.microsoft.com/office/drawing/2014/main" xmlns="" id="{00000000-0008-0000-0600-00000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8844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1744</xdr:row>
      <xdr:rowOff>152400</xdr:rowOff>
    </xdr:from>
    <xdr:to>
      <xdr:col>3</xdr:col>
      <xdr:colOff>165100</xdr:colOff>
      <xdr:row>1745</xdr:row>
      <xdr:rowOff>152400</xdr:rowOff>
    </xdr:to>
    <xdr:sp macro="" textlink="">
      <xdr:nvSpPr>
        <xdr:cNvPr id="7691" name="Control 523" hidden="1">
          <a:extLst>
            <a:ext uri="{63B3BB69-23CF-44E3-9099-C40C66FF867C}">
              <a14:compatExt xmlns:a14="http://schemas.microsoft.com/office/drawing/2010/main" spid="_x0000_s7691"/>
            </a:ext>
            <a:ext uri="{FF2B5EF4-FFF2-40B4-BE49-F238E27FC236}">
              <a16:creationId xmlns:a16="http://schemas.microsoft.com/office/drawing/2014/main" xmlns="" id="{00000000-0008-0000-0600-00000B1E0000}"/>
            </a:ext>
          </a:extLst>
        </xdr:cNvPr>
        <xdr:cNvSpPr/>
      </xdr:nvSpPr>
      <xdr:spPr>
        <a:xfrm>
          <a:off x="0" y="0"/>
          <a:ext cx="0" cy="0"/>
        </a:xfrm>
        <a:prstGeom prst="rect">
          <a:avLst/>
        </a:prstGeom>
      </xdr:spPr>
    </xdr:sp>
    <xdr:clientData/>
  </xdr:twoCellAnchor>
  <xdr:twoCellAnchor editAs="oneCell">
    <xdr:from>
      <xdr:col>4</xdr:col>
      <xdr:colOff>0</xdr:colOff>
      <xdr:row>787</xdr:row>
      <xdr:rowOff>0</xdr:rowOff>
    </xdr:from>
    <xdr:to>
      <xdr:col>4</xdr:col>
      <xdr:colOff>152400</xdr:colOff>
      <xdr:row>787</xdr:row>
      <xdr:rowOff>152400</xdr:rowOff>
    </xdr:to>
    <xdr:pic>
      <xdr:nvPicPr>
        <xdr:cNvPr id="525" name="Picture 524" descr="Documents icon">
          <a:extLst>
            <a:ext uri="{FF2B5EF4-FFF2-40B4-BE49-F238E27FC236}">
              <a16:creationId xmlns:a16="http://schemas.microsoft.com/office/drawing/2014/main" xmlns="" id="{00000000-0008-0000-0600-00000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4273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1751</xdr:row>
      <xdr:rowOff>88900</xdr:rowOff>
    </xdr:from>
    <xdr:to>
      <xdr:col>3</xdr:col>
      <xdr:colOff>165100</xdr:colOff>
      <xdr:row>1752</xdr:row>
      <xdr:rowOff>88900</xdr:rowOff>
    </xdr:to>
    <xdr:sp macro="" textlink="">
      <xdr:nvSpPr>
        <xdr:cNvPr id="7693" name="Control 525" hidden="1">
          <a:extLst>
            <a:ext uri="{63B3BB69-23CF-44E3-9099-C40C66FF867C}">
              <a14:compatExt xmlns:a14="http://schemas.microsoft.com/office/drawing/2010/main" spid="_x0000_s7693"/>
            </a:ext>
            <a:ext uri="{FF2B5EF4-FFF2-40B4-BE49-F238E27FC236}">
              <a16:creationId xmlns:a16="http://schemas.microsoft.com/office/drawing/2014/main" xmlns="" id="{00000000-0008-0000-0600-00000D1E0000}"/>
            </a:ext>
          </a:extLst>
        </xdr:cNvPr>
        <xdr:cNvSpPr/>
      </xdr:nvSpPr>
      <xdr:spPr>
        <a:xfrm>
          <a:off x="0" y="0"/>
          <a:ext cx="0" cy="0"/>
        </a:xfrm>
        <a:prstGeom prst="rect">
          <a:avLst/>
        </a:prstGeom>
      </xdr:spPr>
    </xdr:sp>
    <xdr:clientData/>
  </xdr:twoCellAnchor>
  <xdr:twoCellAnchor editAs="oneCell">
    <xdr:from>
      <xdr:col>4</xdr:col>
      <xdr:colOff>0</xdr:colOff>
      <xdr:row>790</xdr:row>
      <xdr:rowOff>0</xdr:rowOff>
    </xdr:from>
    <xdr:to>
      <xdr:col>4</xdr:col>
      <xdr:colOff>152400</xdr:colOff>
      <xdr:row>790</xdr:row>
      <xdr:rowOff>152400</xdr:rowOff>
    </xdr:to>
    <xdr:pic>
      <xdr:nvPicPr>
        <xdr:cNvPr id="527" name="Picture 526" descr="Documents icon">
          <a:extLst>
            <a:ext uri="{FF2B5EF4-FFF2-40B4-BE49-F238E27FC236}">
              <a16:creationId xmlns:a16="http://schemas.microsoft.com/office/drawing/2014/main" xmlns="" id="{00000000-0008-0000-0600-00000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9702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1758</xdr:row>
      <xdr:rowOff>63500</xdr:rowOff>
    </xdr:from>
    <xdr:to>
      <xdr:col>3</xdr:col>
      <xdr:colOff>165100</xdr:colOff>
      <xdr:row>1759</xdr:row>
      <xdr:rowOff>63500</xdr:rowOff>
    </xdr:to>
    <xdr:sp macro="" textlink="">
      <xdr:nvSpPr>
        <xdr:cNvPr id="7695" name="Control 527" hidden="1">
          <a:extLst>
            <a:ext uri="{63B3BB69-23CF-44E3-9099-C40C66FF867C}">
              <a14:compatExt xmlns:a14="http://schemas.microsoft.com/office/drawing/2010/main" spid="_x0000_s7695"/>
            </a:ext>
            <a:ext uri="{FF2B5EF4-FFF2-40B4-BE49-F238E27FC236}">
              <a16:creationId xmlns:a16="http://schemas.microsoft.com/office/drawing/2014/main" xmlns="" id="{00000000-0008-0000-0600-00000F1E0000}"/>
            </a:ext>
          </a:extLst>
        </xdr:cNvPr>
        <xdr:cNvSpPr/>
      </xdr:nvSpPr>
      <xdr:spPr>
        <a:xfrm>
          <a:off x="0" y="0"/>
          <a:ext cx="0" cy="0"/>
        </a:xfrm>
        <a:prstGeom prst="rect">
          <a:avLst/>
        </a:prstGeom>
      </xdr:spPr>
    </xdr:sp>
    <xdr:clientData/>
  </xdr:twoCellAnchor>
  <xdr:twoCellAnchor editAs="oneCell">
    <xdr:from>
      <xdr:col>4</xdr:col>
      <xdr:colOff>0</xdr:colOff>
      <xdr:row>793</xdr:row>
      <xdr:rowOff>0</xdr:rowOff>
    </xdr:from>
    <xdr:to>
      <xdr:col>4</xdr:col>
      <xdr:colOff>152400</xdr:colOff>
      <xdr:row>793</xdr:row>
      <xdr:rowOff>152400</xdr:rowOff>
    </xdr:to>
    <xdr:pic>
      <xdr:nvPicPr>
        <xdr:cNvPr id="529" name="Picture 528" descr="Documents icon">
          <a:extLst>
            <a:ext uri="{FF2B5EF4-FFF2-40B4-BE49-F238E27FC236}">
              <a16:creationId xmlns:a16="http://schemas.microsoft.com/office/drawing/2014/main" xmlns="" id="{00000000-0008-0000-0600-00001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13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1765</xdr:row>
      <xdr:rowOff>12700</xdr:rowOff>
    </xdr:from>
    <xdr:to>
      <xdr:col>3</xdr:col>
      <xdr:colOff>165100</xdr:colOff>
      <xdr:row>1766</xdr:row>
      <xdr:rowOff>12700</xdr:rowOff>
    </xdr:to>
    <xdr:sp macro="" textlink="">
      <xdr:nvSpPr>
        <xdr:cNvPr id="7697" name="Control 529" hidden="1">
          <a:extLst>
            <a:ext uri="{63B3BB69-23CF-44E3-9099-C40C66FF867C}">
              <a14:compatExt xmlns:a14="http://schemas.microsoft.com/office/drawing/2010/main" spid="_x0000_s7697"/>
            </a:ext>
            <a:ext uri="{FF2B5EF4-FFF2-40B4-BE49-F238E27FC236}">
              <a16:creationId xmlns:a16="http://schemas.microsoft.com/office/drawing/2014/main" xmlns="" id="{00000000-0008-0000-0600-0000111E0000}"/>
            </a:ext>
          </a:extLst>
        </xdr:cNvPr>
        <xdr:cNvSpPr/>
      </xdr:nvSpPr>
      <xdr:spPr>
        <a:xfrm>
          <a:off x="0" y="0"/>
          <a:ext cx="0" cy="0"/>
        </a:xfrm>
        <a:prstGeom prst="rect">
          <a:avLst/>
        </a:prstGeom>
      </xdr:spPr>
    </xdr:sp>
    <xdr:clientData/>
  </xdr:twoCellAnchor>
  <xdr:twoCellAnchor editAs="oneCell">
    <xdr:from>
      <xdr:col>4</xdr:col>
      <xdr:colOff>0</xdr:colOff>
      <xdr:row>796</xdr:row>
      <xdr:rowOff>0</xdr:rowOff>
    </xdr:from>
    <xdr:to>
      <xdr:col>4</xdr:col>
      <xdr:colOff>152400</xdr:colOff>
      <xdr:row>796</xdr:row>
      <xdr:rowOff>152400</xdr:rowOff>
    </xdr:to>
    <xdr:pic>
      <xdr:nvPicPr>
        <xdr:cNvPr id="531" name="Picture 530" descr="Documents icon">
          <a:extLst>
            <a:ext uri="{FF2B5EF4-FFF2-40B4-BE49-F238E27FC236}">
              <a16:creationId xmlns:a16="http://schemas.microsoft.com/office/drawing/2014/main" xmlns="" id="{00000000-0008-0000-0600-00001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0561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1771</xdr:row>
      <xdr:rowOff>88900</xdr:rowOff>
    </xdr:from>
    <xdr:to>
      <xdr:col>3</xdr:col>
      <xdr:colOff>165100</xdr:colOff>
      <xdr:row>1772</xdr:row>
      <xdr:rowOff>88900</xdr:rowOff>
    </xdr:to>
    <xdr:sp macro="" textlink="">
      <xdr:nvSpPr>
        <xdr:cNvPr id="7699" name="Control 531" hidden="1">
          <a:extLst>
            <a:ext uri="{63B3BB69-23CF-44E3-9099-C40C66FF867C}">
              <a14:compatExt xmlns:a14="http://schemas.microsoft.com/office/drawing/2010/main" spid="_x0000_s7699"/>
            </a:ext>
            <a:ext uri="{FF2B5EF4-FFF2-40B4-BE49-F238E27FC236}">
              <a16:creationId xmlns:a16="http://schemas.microsoft.com/office/drawing/2014/main" xmlns="" id="{00000000-0008-0000-0600-0000131E0000}"/>
            </a:ext>
          </a:extLst>
        </xdr:cNvPr>
        <xdr:cNvSpPr/>
      </xdr:nvSpPr>
      <xdr:spPr>
        <a:xfrm>
          <a:off x="0" y="0"/>
          <a:ext cx="0" cy="0"/>
        </a:xfrm>
        <a:prstGeom prst="rect">
          <a:avLst/>
        </a:prstGeom>
      </xdr:spPr>
    </xdr:sp>
    <xdr:clientData/>
  </xdr:twoCellAnchor>
  <xdr:twoCellAnchor editAs="oneCell">
    <xdr:from>
      <xdr:col>4</xdr:col>
      <xdr:colOff>0</xdr:colOff>
      <xdr:row>799</xdr:row>
      <xdr:rowOff>0</xdr:rowOff>
    </xdr:from>
    <xdr:to>
      <xdr:col>4</xdr:col>
      <xdr:colOff>152400</xdr:colOff>
      <xdr:row>799</xdr:row>
      <xdr:rowOff>152400</xdr:rowOff>
    </xdr:to>
    <xdr:pic>
      <xdr:nvPicPr>
        <xdr:cNvPr id="533" name="Picture 532" descr="Documents icon">
          <a:extLst>
            <a:ext uri="{FF2B5EF4-FFF2-40B4-BE49-F238E27FC236}">
              <a16:creationId xmlns:a16="http://schemas.microsoft.com/office/drawing/2014/main" xmlns="" id="{00000000-0008-0000-0600-00001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5990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1777</xdr:row>
      <xdr:rowOff>152400</xdr:rowOff>
    </xdr:from>
    <xdr:to>
      <xdr:col>3</xdr:col>
      <xdr:colOff>165100</xdr:colOff>
      <xdr:row>1778</xdr:row>
      <xdr:rowOff>152400</xdr:rowOff>
    </xdr:to>
    <xdr:sp macro="" textlink="">
      <xdr:nvSpPr>
        <xdr:cNvPr id="7701" name="Control 533" hidden="1">
          <a:extLst>
            <a:ext uri="{63B3BB69-23CF-44E3-9099-C40C66FF867C}">
              <a14:compatExt xmlns:a14="http://schemas.microsoft.com/office/drawing/2010/main" spid="_x0000_s7701"/>
            </a:ext>
            <a:ext uri="{FF2B5EF4-FFF2-40B4-BE49-F238E27FC236}">
              <a16:creationId xmlns:a16="http://schemas.microsoft.com/office/drawing/2014/main" xmlns="" id="{00000000-0008-0000-0600-0000151E0000}"/>
            </a:ext>
          </a:extLst>
        </xdr:cNvPr>
        <xdr:cNvSpPr/>
      </xdr:nvSpPr>
      <xdr:spPr>
        <a:xfrm>
          <a:off x="0" y="0"/>
          <a:ext cx="0" cy="0"/>
        </a:xfrm>
        <a:prstGeom prst="rect">
          <a:avLst/>
        </a:prstGeom>
      </xdr:spPr>
    </xdr:sp>
    <xdr:clientData/>
  </xdr:twoCellAnchor>
  <xdr:twoCellAnchor editAs="oneCell">
    <xdr:from>
      <xdr:col>4</xdr:col>
      <xdr:colOff>0</xdr:colOff>
      <xdr:row>802</xdr:row>
      <xdr:rowOff>0</xdr:rowOff>
    </xdr:from>
    <xdr:to>
      <xdr:col>4</xdr:col>
      <xdr:colOff>152400</xdr:colOff>
      <xdr:row>802</xdr:row>
      <xdr:rowOff>152400</xdr:rowOff>
    </xdr:to>
    <xdr:pic>
      <xdr:nvPicPr>
        <xdr:cNvPr id="535" name="Picture 534" descr="Documents icon">
          <a:extLst>
            <a:ext uri="{FF2B5EF4-FFF2-40B4-BE49-F238E27FC236}">
              <a16:creationId xmlns:a16="http://schemas.microsoft.com/office/drawing/2014/main" xmlns="" id="{00000000-0008-0000-0600-00001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1419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1784</xdr:row>
      <xdr:rowOff>114300</xdr:rowOff>
    </xdr:from>
    <xdr:to>
      <xdr:col>3</xdr:col>
      <xdr:colOff>165100</xdr:colOff>
      <xdr:row>1785</xdr:row>
      <xdr:rowOff>114300</xdr:rowOff>
    </xdr:to>
    <xdr:sp macro="" textlink="">
      <xdr:nvSpPr>
        <xdr:cNvPr id="7703" name="Control 535" hidden="1">
          <a:extLst>
            <a:ext uri="{63B3BB69-23CF-44E3-9099-C40C66FF867C}">
              <a14:compatExt xmlns:a14="http://schemas.microsoft.com/office/drawing/2010/main" spid="_x0000_s7703"/>
            </a:ext>
            <a:ext uri="{FF2B5EF4-FFF2-40B4-BE49-F238E27FC236}">
              <a16:creationId xmlns:a16="http://schemas.microsoft.com/office/drawing/2014/main" xmlns="" id="{00000000-0008-0000-0600-0000171E0000}"/>
            </a:ext>
          </a:extLst>
        </xdr:cNvPr>
        <xdr:cNvSpPr/>
      </xdr:nvSpPr>
      <xdr:spPr>
        <a:xfrm>
          <a:off x="0" y="0"/>
          <a:ext cx="0" cy="0"/>
        </a:xfrm>
        <a:prstGeom prst="rect">
          <a:avLst/>
        </a:prstGeom>
      </xdr:spPr>
    </xdr:sp>
    <xdr:clientData/>
  </xdr:twoCellAnchor>
  <xdr:twoCellAnchor editAs="oneCell">
    <xdr:from>
      <xdr:col>4</xdr:col>
      <xdr:colOff>0</xdr:colOff>
      <xdr:row>805</xdr:row>
      <xdr:rowOff>0</xdr:rowOff>
    </xdr:from>
    <xdr:to>
      <xdr:col>4</xdr:col>
      <xdr:colOff>152400</xdr:colOff>
      <xdr:row>805</xdr:row>
      <xdr:rowOff>152400</xdr:rowOff>
    </xdr:to>
    <xdr:pic>
      <xdr:nvPicPr>
        <xdr:cNvPr id="537" name="Picture 536" descr="Documents icon">
          <a:extLst>
            <a:ext uri="{FF2B5EF4-FFF2-40B4-BE49-F238E27FC236}">
              <a16:creationId xmlns:a16="http://schemas.microsoft.com/office/drawing/2014/main" xmlns="" id="{00000000-0008-0000-0600-00001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6848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1791</xdr:row>
      <xdr:rowOff>50800</xdr:rowOff>
    </xdr:from>
    <xdr:to>
      <xdr:col>3</xdr:col>
      <xdr:colOff>165100</xdr:colOff>
      <xdr:row>1792</xdr:row>
      <xdr:rowOff>50800</xdr:rowOff>
    </xdr:to>
    <xdr:sp macro="" textlink="">
      <xdr:nvSpPr>
        <xdr:cNvPr id="7705" name="Control 537" hidden="1">
          <a:extLst>
            <a:ext uri="{63B3BB69-23CF-44E3-9099-C40C66FF867C}">
              <a14:compatExt xmlns:a14="http://schemas.microsoft.com/office/drawing/2010/main" spid="_x0000_s7705"/>
            </a:ext>
            <a:ext uri="{FF2B5EF4-FFF2-40B4-BE49-F238E27FC236}">
              <a16:creationId xmlns:a16="http://schemas.microsoft.com/office/drawing/2014/main" xmlns="" id="{00000000-0008-0000-0600-0000191E0000}"/>
            </a:ext>
          </a:extLst>
        </xdr:cNvPr>
        <xdr:cNvSpPr/>
      </xdr:nvSpPr>
      <xdr:spPr>
        <a:xfrm>
          <a:off x="0" y="0"/>
          <a:ext cx="0" cy="0"/>
        </a:xfrm>
        <a:prstGeom prst="rect">
          <a:avLst/>
        </a:prstGeom>
      </xdr:spPr>
    </xdr:sp>
    <xdr:clientData/>
  </xdr:twoCellAnchor>
  <xdr:twoCellAnchor editAs="oneCell">
    <xdr:from>
      <xdr:col>4</xdr:col>
      <xdr:colOff>0</xdr:colOff>
      <xdr:row>808</xdr:row>
      <xdr:rowOff>0</xdr:rowOff>
    </xdr:from>
    <xdr:to>
      <xdr:col>4</xdr:col>
      <xdr:colOff>152400</xdr:colOff>
      <xdr:row>808</xdr:row>
      <xdr:rowOff>152400</xdr:rowOff>
    </xdr:to>
    <xdr:pic>
      <xdr:nvPicPr>
        <xdr:cNvPr id="539" name="Picture 538" descr="Documents icon">
          <a:extLst>
            <a:ext uri="{FF2B5EF4-FFF2-40B4-BE49-F238E27FC236}">
              <a16:creationId xmlns:a16="http://schemas.microsoft.com/office/drawing/2014/main" xmlns="" id="{00000000-0008-0000-0600-00001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2278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1797</xdr:row>
      <xdr:rowOff>152400</xdr:rowOff>
    </xdr:from>
    <xdr:to>
      <xdr:col>3</xdr:col>
      <xdr:colOff>165100</xdr:colOff>
      <xdr:row>1798</xdr:row>
      <xdr:rowOff>152400</xdr:rowOff>
    </xdr:to>
    <xdr:sp macro="" textlink="">
      <xdr:nvSpPr>
        <xdr:cNvPr id="7707" name="Control 539" hidden="1">
          <a:extLst>
            <a:ext uri="{63B3BB69-23CF-44E3-9099-C40C66FF867C}">
              <a14:compatExt xmlns:a14="http://schemas.microsoft.com/office/drawing/2010/main" spid="_x0000_s7707"/>
            </a:ext>
            <a:ext uri="{FF2B5EF4-FFF2-40B4-BE49-F238E27FC236}">
              <a16:creationId xmlns:a16="http://schemas.microsoft.com/office/drawing/2014/main" xmlns="" id="{00000000-0008-0000-0600-00001B1E0000}"/>
            </a:ext>
          </a:extLst>
        </xdr:cNvPr>
        <xdr:cNvSpPr/>
      </xdr:nvSpPr>
      <xdr:spPr>
        <a:xfrm>
          <a:off x="0" y="0"/>
          <a:ext cx="0" cy="0"/>
        </a:xfrm>
        <a:prstGeom prst="rect">
          <a:avLst/>
        </a:prstGeom>
      </xdr:spPr>
    </xdr:sp>
    <xdr:clientData/>
  </xdr:twoCellAnchor>
  <xdr:twoCellAnchor editAs="oneCell">
    <xdr:from>
      <xdr:col>4</xdr:col>
      <xdr:colOff>0</xdr:colOff>
      <xdr:row>811</xdr:row>
      <xdr:rowOff>0</xdr:rowOff>
    </xdr:from>
    <xdr:to>
      <xdr:col>4</xdr:col>
      <xdr:colOff>152400</xdr:colOff>
      <xdr:row>811</xdr:row>
      <xdr:rowOff>152400</xdr:rowOff>
    </xdr:to>
    <xdr:pic>
      <xdr:nvPicPr>
        <xdr:cNvPr id="541" name="Picture 540" descr="Documents icon">
          <a:extLst>
            <a:ext uri="{FF2B5EF4-FFF2-40B4-BE49-F238E27FC236}">
              <a16:creationId xmlns:a16="http://schemas.microsoft.com/office/drawing/2014/main" xmlns="" id="{00000000-0008-0000-0600-00001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67707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1804</xdr:row>
      <xdr:rowOff>76200</xdr:rowOff>
    </xdr:from>
    <xdr:to>
      <xdr:col>3</xdr:col>
      <xdr:colOff>165100</xdr:colOff>
      <xdr:row>1805</xdr:row>
      <xdr:rowOff>76200</xdr:rowOff>
    </xdr:to>
    <xdr:sp macro="" textlink="">
      <xdr:nvSpPr>
        <xdr:cNvPr id="7709" name="Control 541" hidden="1">
          <a:extLst>
            <a:ext uri="{63B3BB69-23CF-44E3-9099-C40C66FF867C}">
              <a14:compatExt xmlns:a14="http://schemas.microsoft.com/office/drawing/2010/main" spid="_x0000_s7709"/>
            </a:ext>
            <a:ext uri="{FF2B5EF4-FFF2-40B4-BE49-F238E27FC236}">
              <a16:creationId xmlns:a16="http://schemas.microsoft.com/office/drawing/2014/main" xmlns="" id="{00000000-0008-0000-0600-00001D1E0000}"/>
            </a:ext>
          </a:extLst>
        </xdr:cNvPr>
        <xdr:cNvSpPr/>
      </xdr:nvSpPr>
      <xdr:spPr>
        <a:xfrm>
          <a:off x="0" y="0"/>
          <a:ext cx="0" cy="0"/>
        </a:xfrm>
        <a:prstGeom prst="rect">
          <a:avLst/>
        </a:prstGeom>
      </xdr:spPr>
    </xdr:sp>
    <xdr:clientData/>
  </xdr:twoCellAnchor>
  <xdr:twoCellAnchor editAs="oneCell">
    <xdr:from>
      <xdr:col>4</xdr:col>
      <xdr:colOff>0</xdr:colOff>
      <xdr:row>814</xdr:row>
      <xdr:rowOff>0</xdr:rowOff>
    </xdr:from>
    <xdr:to>
      <xdr:col>4</xdr:col>
      <xdr:colOff>152400</xdr:colOff>
      <xdr:row>814</xdr:row>
      <xdr:rowOff>152400</xdr:rowOff>
    </xdr:to>
    <xdr:pic>
      <xdr:nvPicPr>
        <xdr:cNvPr id="543" name="Picture 542" descr="Documents icon">
          <a:extLst>
            <a:ext uri="{FF2B5EF4-FFF2-40B4-BE49-F238E27FC236}">
              <a16:creationId xmlns:a16="http://schemas.microsoft.com/office/drawing/2014/main" xmlns="" id="{00000000-0008-0000-0600-00001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3136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1811</xdr:row>
      <xdr:rowOff>101600</xdr:rowOff>
    </xdr:from>
    <xdr:to>
      <xdr:col>3</xdr:col>
      <xdr:colOff>165100</xdr:colOff>
      <xdr:row>1812</xdr:row>
      <xdr:rowOff>101600</xdr:rowOff>
    </xdr:to>
    <xdr:sp macro="" textlink="">
      <xdr:nvSpPr>
        <xdr:cNvPr id="7711" name="Control 543" hidden="1">
          <a:extLst>
            <a:ext uri="{63B3BB69-23CF-44E3-9099-C40C66FF867C}">
              <a14:compatExt xmlns:a14="http://schemas.microsoft.com/office/drawing/2010/main" spid="_x0000_s7711"/>
            </a:ext>
            <a:ext uri="{FF2B5EF4-FFF2-40B4-BE49-F238E27FC236}">
              <a16:creationId xmlns:a16="http://schemas.microsoft.com/office/drawing/2014/main" xmlns="" id="{00000000-0008-0000-0600-00001F1E0000}"/>
            </a:ext>
          </a:extLst>
        </xdr:cNvPr>
        <xdr:cNvSpPr/>
      </xdr:nvSpPr>
      <xdr:spPr>
        <a:xfrm>
          <a:off x="0" y="0"/>
          <a:ext cx="0" cy="0"/>
        </a:xfrm>
        <a:prstGeom prst="rect">
          <a:avLst/>
        </a:prstGeom>
      </xdr:spPr>
    </xdr:sp>
    <xdr:clientData/>
  </xdr:twoCellAnchor>
  <xdr:twoCellAnchor editAs="oneCell">
    <xdr:from>
      <xdr:col>4</xdr:col>
      <xdr:colOff>0</xdr:colOff>
      <xdr:row>817</xdr:row>
      <xdr:rowOff>0</xdr:rowOff>
    </xdr:from>
    <xdr:to>
      <xdr:col>4</xdr:col>
      <xdr:colOff>152400</xdr:colOff>
      <xdr:row>817</xdr:row>
      <xdr:rowOff>152400</xdr:rowOff>
    </xdr:to>
    <xdr:pic>
      <xdr:nvPicPr>
        <xdr:cNvPr id="545" name="Picture 544" descr="Documents icon">
          <a:extLst>
            <a:ext uri="{FF2B5EF4-FFF2-40B4-BE49-F238E27FC236}">
              <a16:creationId xmlns:a16="http://schemas.microsoft.com/office/drawing/2014/main" xmlns="" id="{00000000-0008-0000-0600-00002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8565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1817</xdr:row>
      <xdr:rowOff>177800</xdr:rowOff>
    </xdr:from>
    <xdr:to>
      <xdr:col>3</xdr:col>
      <xdr:colOff>165100</xdr:colOff>
      <xdr:row>1818</xdr:row>
      <xdr:rowOff>177800</xdr:rowOff>
    </xdr:to>
    <xdr:sp macro="" textlink="">
      <xdr:nvSpPr>
        <xdr:cNvPr id="7713" name="Control 545" hidden="1">
          <a:extLst>
            <a:ext uri="{63B3BB69-23CF-44E3-9099-C40C66FF867C}">
              <a14:compatExt xmlns:a14="http://schemas.microsoft.com/office/drawing/2010/main" spid="_x0000_s7713"/>
            </a:ext>
            <a:ext uri="{FF2B5EF4-FFF2-40B4-BE49-F238E27FC236}">
              <a16:creationId xmlns:a16="http://schemas.microsoft.com/office/drawing/2014/main" xmlns="" id="{00000000-0008-0000-0600-0000211E0000}"/>
            </a:ext>
          </a:extLst>
        </xdr:cNvPr>
        <xdr:cNvSpPr/>
      </xdr:nvSpPr>
      <xdr:spPr>
        <a:xfrm>
          <a:off x="0" y="0"/>
          <a:ext cx="0" cy="0"/>
        </a:xfrm>
        <a:prstGeom prst="rect">
          <a:avLst/>
        </a:prstGeom>
      </xdr:spPr>
    </xdr:sp>
    <xdr:clientData/>
  </xdr:twoCellAnchor>
  <xdr:twoCellAnchor editAs="oneCell">
    <xdr:from>
      <xdr:col>4</xdr:col>
      <xdr:colOff>0</xdr:colOff>
      <xdr:row>820</xdr:row>
      <xdr:rowOff>0</xdr:rowOff>
    </xdr:from>
    <xdr:to>
      <xdr:col>4</xdr:col>
      <xdr:colOff>152400</xdr:colOff>
      <xdr:row>820</xdr:row>
      <xdr:rowOff>152400</xdr:rowOff>
    </xdr:to>
    <xdr:pic>
      <xdr:nvPicPr>
        <xdr:cNvPr id="547" name="Picture 546" descr="Documents icon">
          <a:extLst>
            <a:ext uri="{FF2B5EF4-FFF2-40B4-BE49-F238E27FC236}">
              <a16:creationId xmlns:a16="http://schemas.microsoft.com/office/drawing/2014/main" xmlns="" id="{00000000-0008-0000-0600-00002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9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1824</xdr:row>
      <xdr:rowOff>114300</xdr:rowOff>
    </xdr:from>
    <xdr:to>
      <xdr:col>3</xdr:col>
      <xdr:colOff>165100</xdr:colOff>
      <xdr:row>1825</xdr:row>
      <xdr:rowOff>114300</xdr:rowOff>
    </xdr:to>
    <xdr:sp macro="" textlink="">
      <xdr:nvSpPr>
        <xdr:cNvPr id="7715" name="Control 547" hidden="1">
          <a:extLst>
            <a:ext uri="{63B3BB69-23CF-44E3-9099-C40C66FF867C}">
              <a14:compatExt xmlns:a14="http://schemas.microsoft.com/office/drawing/2010/main" spid="_x0000_s7715"/>
            </a:ext>
            <a:ext uri="{FF2B5EF4-FFF2-40B4-BE49-F238E27FC236}">
              <a16:creationId xmlns:a16="http://schemas.microsoft.com/office/drawing/2014/main" xmlns="" id="{00000000-0008-0000-0600-0000231E0000}"/>
            </a:ext>
          </a:extLst>
        </xdr:cNvPr>
        <xdr:cNvSpPr/>
      </xdr:nvSpPr>
      <xdr:spPr>
        <a:xfrm>
          <a:off x="0" y="0"/>
          <a:ext cx="0" cy="0"/>
        </a:xfrm>
        <a:prstGeom prst="rect">
          <a:avLst/>
        </a:prstGeom>
      </xdr:spPr>
    </xdr:sp>
    <xdr:clientData/>
  </xdr:twoCellAnchor>
  <xdr:twoCellAnchor editAs="oneCell">
    <xdr:from>
      <xdr:col>4</xdr:col>
      <xdr:colOff>0</xdr:colOff>
      <xdr:row>823</xdr:row>
      <xdr:rowOff>0</xdr:rowOff>
    </xdr:from>
    <xdr:to>
      <xdr:col>4</xdr:col>
      <xdr:colOff>152400</xdr:colOff>
      <xdr:row>823</xdr:row>
      <xdr:rowOff>152400</xdr:rowOff>
    </xdr:to>
    <xdr:pic>
      <xdr:nvPicPr>
        <xdr:cNvPr id="549" name="Picture 548" descr="Documents icon">
          <a:extLst>
            <a:ext uri="{FF2B5EF4-FFF2-40B4-BE49-F238E27FC236}">
              <a16:creationId xmlns:a16="http://schemas.microsoft.com/office/drawing/2014/main" xmlns="" id="{00000000-0008-0000-0600-00002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942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1831</xdr:row>
      <xdr:rowOff>12700</xdr:rowOff>
    </xdr:from>
    <xdr:to>
      <xdr:col>3</xdr:col>
      <xdr:colOff>165100</xdr:colOff>
      <xdr:row>1832</xdr:row>
      <xdr:rowOff>12700</xdr:rowOff>
    </xdr:to>
    <xdr:sp macro="" textlink="">
      <xdr:nvSpPr>
        <xdr:cNvPr id="7717" name="Control 549" hidden="1">
          <a:extLst>
            <a:ext uri="{63B3BB69-23CF-44E3-9099-C40C66FF867C}">
              <a14:compatExt xmlns:a14="http://schemas.microsoft.com/office/drawing/2010/main" spid="_x0000_s7717"/>
            </a:ext>
            <a:ext uri="{FF2B5EF4-FFF2-40B4-BE49-F238E27FC236}">
              <a16:creationId xmlns:a16="http://schemas.microsoft.com/office/drawing/2014/main" xmlns="" id="{00000000-0008-0000-0600-0000251E0000}"/>
            </a:ext>
          </a:extLst>
        </xdr:cNvPr>
        <xdr:cNvSpPr/>
      </xdr:nvSpPr>
      <xdr:spPr>
        <a:xfrm>
          <a:off x="0" y="0"/>
          <a:ext cx="0" cy="0"/>
        </a:xfrm>
        <a:prstGeom prst="rect">
          <a:avLst/>
        </a:prstGeom>
      </xdr:spPr>
    </xdr:sp>
    <xdr:clientData/>
  </xdr:twoCellAnchor>
  <xdr:twoCellAnchor editAs="oneCell">
    <xdr:from>
      <xdr:col>4</xdr:col>
      <xdr:colOff>0</xdr:colOff>
      <xdr:row>826</xdr:row>
      <xdr:rowOff>0</xdr:rowOff>
    </xdr:from>
    <xdr:to>
      <xdr:col>4</xdr:col>
      <xdr:colOff>152400</xdr:colOff>
      <xdr:row>826</xdr:row>
      <xdr:rowOff>152400</xdr:rowOff>
    </xdr:to>
    <xdr:pic>
      <xdr:nvPicPr>
        <xdr:cNvPr id="551" name="Picture 550" descr="Documents icon">
          <a:extLst>
            <a:ext uri="{FF2B5EF4-FFF2-40B4-BE49-F238E27FC236}">
              <a16:creationId xmlns:a16="http://schemas.microsoft.com/office/drawing/2014/main" xmlns="" id="{00000000-0008-0000-0600-00002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4853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1838</xdr:row>
      <xdr:rowOff>38100</xdr:rowOff>
    </xdr:from>
    <xdr:to>
      <xdr:col>3</xdr:col>
      <xdr:colOff>165100</xdr:colOff>
      <xdr:row>1839</xdr:row>
      <xdr:rowOff>38100</xdr:rowOff>
    </xdr:to>
    <xdr:sp macro="" textlink="">
      <xdr:nvSpPr>
        <xdr:cNvPr id="7719" name="Control 551" hidden="1">
          <a:extLst>
            <a:ext uri="{63B3BB69-23CF-44E3-9099-C40C66FF867C}">
              <a14:compatExt xmlns:a14="http://schemas.microsoft.com/office/drawing/2010/main" spid="_x0000_s7719"/>
            </a:ext>
            <a:ext uri="{FF2B5EF4-FFF2-40B4-BE49-F238E27FC236}">
              <a16:creationId xmlns:a16="http://schemas.microsoft.com/office/drawing/2014/main" xmlns="" id="{00000000-0008-0000-0600-0000271E0000}"/>
            </a:ext>
          </a:extLst>
        </xdr:cNvPr>
        <xdr:cNvSpPr/>
      </xdr:nvSpPr>
      <xdr:spPr>
        <a:xfrm>
          <a:off x="0" y="0"/>
          <a:ext cx="0" cy="0"/>
        </a:xfrm>
        <a:prstGeom prst="rect">
          <a:avLst/>
        </a:prstGeom>
      </xdr:spPr>
    </xdr:sp>
    <xdr:clientData/>
  </xdr:twoCellAnchor>
  <xdr:twoCellAnchor editAs="oneCell">
    <xdr:from>
      <xdr:col>4</xdr:col>
      <xdr:colOff>0</xdr:colOff>
      <xdr:row>829</xdr:row>
      <xdr:rowOff>0</xdr:rowOff>
    </xdr:from>
    <xdr:to>
      <xdr:col>4</xdr:col>
      <xdr:colOff>152400</xdr:colOff>
      <xdr:row>829</xdr:row>
      <xdr:rowOff>152400</xdr:rowOff>
    </xdr:to>
    <xdr:pic>
      <xdr:nvPicPr>
        <xdr:cNvPr id="553" name="Picture 552" descr="Documents icon">
          <a:extLst>
            <a:ext uri="{FF2B5EF4-FFF2-40B4-BE49-F238E27FC236}">
              <a16:creationId xmlns:a16="http://schemas.microsoft.com/office/drawing/2014/main" xmlns="" id="{00000000-0008-0000-0600-00002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0282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1844</xdr:row>
      <xdr:rowOff>76200</xdr:rowOff>
    </xdr:from>
    <xdr:to>
      <xdr:col>3</xdr:col>
      <xdr:colOff>165100</xdr:colOff>
      <xdr:row>1845</xdr:row>
      <xdr:rowOff>76200</xdr:rowOff>
    </xdr:to>
    <xdr:sp macro="" textlink="">
      <xdr:nvSpPr>
        <xdr:cNvPr id="7721" name="Control 553" hidden="1">
          <a:extLst>
            <a:ext uri="{63B3BB69-23CF-44E3-9099-C40C66FF867C}">
              <a14:compatExt xmlns:a14="http://schemas.microsoft.com/office/drawing/2010/main" spid="_x0000_s7721"/>
            </a:ext>
            <a:ext uri="{FF2B5EF4-FFF2-40B4-BE49-F238E27FC236}">
              <a16:creationId xmlns:a16="http://schemas.microsoft.com/office/drawing/2014/main" xmlns="" id="{00000000-0008-0000-0600-0000291E0000}"/>
            </a:ext>
          </a:extLst>
        </xdr:cNvPr>
        <xdr:cNvSpPr/>
      </xdr:nvSpPr>
      <xdr:spPr>
        <a:xfrm>
          <a:off x="0" y="0"/>
          <a:ext cx="0" cy="0"/>
        </a:xfrm>
        <a:prstGeom prst="rect">
          <a:avLst/>
        </a:prstGeom>
      </xdr:spPr>
    </xdr:sp>
    <xdr:clientData/>
  </xdr:twoCellAnchor>
  <xdr:twoCellAnchor editAs="oneCell">
    <xdr:from>
      <xdr:col>4</xdr:col>
      <xdr:colOff>0</xdr:colOff>
      <xdr:row>832</xdr:row>
      <xdr:rowOff>0</xdr:rowOff>
    </xdr:from>
    <xdr:to>
      <xdr:col>4</xdr:col>
      <xdr:colOff>152400</xdr:colOff>
      <xdr:row>832</xdr:row>
      <xdr:rowOff>152400</xdr:rowOff>
    </xdr:to>
    <xdr:pic>
      <xdr:nvPicPr>
        <xdr:cNvPr id="555" name="Picture 554" descr="Documents icon">
          <a:extLst>
            <a:ext uri="{FF2B5EF4-FFF2-40B4-BE49-F238E27FC236}">
              <a16:creationId xmlns:a16="http://schemas.microsoft.com/office/drawing/2014/main" xmlns="" id="{00000000-0008-0000-0600-00002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57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1851</xdr:row>
      <xdr:rowOff>38100</xdr:rowOff>
    </xdr:from>
    <xdr:to>
      <xdr:col>0</xdr:col>
      <xdr:colOff>165100</xdr:colOff>
      <xdr:row>1852</xdr:row>
      <xdr:rowOff>38100</xdr:rowOff>
    </xdr:to>
    <xdr:sp macro="" textlink="">
      <xdr:nvSpPr>
        <xdr:cNvPr id="7735" name="Control 567" hidden="1">
          <a:extLst>
            <a:ext uri="{63B3BB69-23CF-44E3-9099-C40C66FF867C}">
              <a14:compatExt xmlns:a14="http://schemas.microsoft.com/office/drawing/2010/main" spid="_x0000_s7735"/>
            </a:ext>
            <a:ext uri="{FF2B5EF4-FFF2-40B4-BE49-F238E27FC236}">
              <a16:creationId xmlns:a16="http://schemas.microsoft.com/office/drawing/2014/main" xmlns="" id="{00000000-0008-0000-0600-0000371E0000}"/>
            </a:ext>
          </a:extLst>
        </xdr:cNvPr>
        <xdr:cNvSpPr/>
      </xdr:nvSpPr>
      <xdr:spPr>
        <a:xfrm>
          <a:off x="0" y="0"/>
          <a:ext cx="0" cy="0"/>
        </a:xfrm>
        <a:prstGeom prst="rect">
          <a:avLst/>
        </a:prstGeom>
      </xdr:spPr>
    </xdr:sp>
    <xdr:clientData/>
  </xdr:twoCellAnchor>
  <xdr:twoCellAnchor editAs="oneCell">
    <xdr:from>
      <xdr:col>1</xdr:col>
      <xdr:colOff>0</xdr:colOff>
      <xdr:row>835</xdr:row>
      <xdr:rowOff>0</xdr:rowOff>
    </xdr:from>
    <xdr:to>
      <xdr:col>1</xdr:col>
      <xdr:colOff>152400</xdr:colOff>
      <xdr:row>835</xdr:row>
      <xdr:rowOff>152400</xdr:rowOff>
    </xdr:to>
    <xdr:pic>
      <xdr:nvPicPr>
        <xdr:cNvPr id="569" name="Picture 568" descr="Documents icon">
          <a:extLst>
            <a:ext uri="{FF2B5EF4-FFF2-40B4-BE49-F238E27FC236}">
              <a16:creationId xmlns:a16="http://schemas.microsoft.com/office/drawing/2014/main" xmlns="" id="{00000000-0008-0000-0600-00003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114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1857</xdr:row>
      <xdr:rowOff>152400</xdr:rowOff>
    </xdr:from>
    <xdr:to>
      <xdr:col>0</xdr:col>
      <xdr:colOff>165100</xdr:colOff>
      <xdr:row>1858</xdr:row>
      <xdr:rowOff>152400</xdr:rowOff>
    </xdr:to>
    <xdr:sp macro="" textlink="">
      <xdr:nvSpPr>
        <xdr:cNvPr id="7737" name="Control 569" hidden="1">
          <a:extLst>
            <a:ext uri="{63B3BB69-23CF-44E3-9099-C40C66FF867C}">
              <a14:compatExt xmlns:a14="http://schemas.microsoft.com/office/drawing/2010/main" spid="_x0000_s7737"/>
            </a:ext>
            <a:ext uri="{FF2B5EF4-FFF2-40B4-BE49-F238E27FC236}">
              <a16:creationId xmlns:a16="http://schemas.microsoft.com/office/drawing/2014/main" xmlns="" id="{00000000-0008-0000-0600-0000391E0000}"/>
            </a:ext>
          </a:extLst>
        </xdr:cNvPr>
        <xdr:cNvSpPr/>
      </xdr:nvSpPr>
      <xdr:spPr>
        <a:xfrm>
          <a:off x="0" y="0"/>
          <a:ext cx="0" cy="0"/>
        </a:xfrm>
        <a:prstGeom prst="rect">
          <a:avLst/>
        </a:prstGeom>
      </xdr:spPr>
    </xdr:sp>
    <xdr:clientData/>
  </xdr:twoCellAnchor>
  <xdr:twoCellAnchor editAs="oneCell">
    <xdr:from>
      <xdr:col>1</xdr:col>
      <xdr:colOff>0</xdr:colOff>
      <xdr:row>838</xdr:row>
      <xdr:rowOff>0</xdr:rowOff>
    </xdr:from>
    <xdr:to>
      <xdr:col>1</xdr:col>
      <xdr:colOff>152400</xdr:colOff>
      <xdr:row>838</xdr:row>
      <xdr:rowOff>152400</xdr:rowOff>
    </xdr:to>
    <xdr:pic>
      <xdr:nvPicPr>
        <xdr:cNvPr id="571" name="Picture 570" descr="Documents icon">
          <a:extLst>
            <a:ext uri="{FF2B5EF4-FFF2-40B4-BE49-F238E27FC236}">
              <a16:creationId xmlns:a16="http://schemas.microsoft.com/office/drawing/2014/main" xmlns="" id="{00000000-0008-0000-0600-00003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1657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1864</xdr:row>
      <xdr:rowOff>76200</xdr:rowOff>
    </xdr:from>
    <xdr:to>
      <xdr:col>0</xdr:col>
      <xdr:colOff>165100</xdr:colOff>
      <xdr:row>1865</xdr:row>
      <xdr:rowOff>76200</xdr:rowOff>
    </xdr:to>
    <xdr:sp macro="" textlink="">
      <xdr:nvSpPr>
        <xdr:cNvPr id="7739" name="Control 571" hidden="1">
          <a:extLst>
            <a:ext uri="{63B3BB69-23CF-44E3-9099-C40C66FF867C}">
              <a14:compatExt xmlns:a14="http://schemas.microsoft.com/office/drawing/2010/main" spid="_x0000_s7739"/>
            </a:ext>
            <a:ext uri="{FF2B5EF4-FFF2-40B4-BE49-F238E27FC236}">
              <a16:creationId xmlns:a16="http://schemas.microsoft.com/office/drawing/2014/main" xmlns="" id="{00000000-0008-0000-0600-00003B1E0000}"/>
            </a:ext>
          </a:extLst>
        </xdr:cNvPr>
        <xdr:cNvSpPr/>
      </xdr:nvSpPr>
      <xdr:spPr>
        <a:xfrm>
          <a:off x="0" y="0"/>
          <a:ext cx="0" cy="0"/>
        </a:xfrm>
        <a:prstGeom prst="rect">
          <a:avLst/>
        </a:prstGeom>
      </xdr:spPr>
    </xdr:sp>
    <xdr:clientData/>
  </xdr:twoCellAnchor>
  <xdr:twoCellAnchor editAs="oneCell">
    <xdr:from>
      <xdr:col>1</xdr:col>
      <xdr:colOff>0</xdr:colOff>
      <xdr:row>841</xdr:row>
      <xdr:rowOff>0</xdr:rowOff>
    </xdr:from>
    <xdr:to>
      <xdr:col>1</xdr:col>
      <xdr:colOff>152400</xdr:colOff>
      <xdr:row>841</xdr:row>
      <xdr:rowOff>152400</xdr:rowOff>
    </xdr:to>
    <xdr:pic>
      <xdr:nvPicPr>
        <xdr:cNvPr id="573" name="Picture 572" descr="Documents icon">
          <a:extLst>
            <a:ext uri="{FF2B5EF4-FFF2-40B4-BE49-F238E27FC236}">
              <a16:creationId xmlns:a16="http://schemas.microsoft.com/office/drawing/2014/main" xmlns="" id="{00000000-0008-0000-0600-00003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199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1871</xdr:row>
      <xdr:rowOff>63500</xdr:rowOff>
    </xdr:from>
    <xdr:to>
      <xdr:col>0</xdr:col>
      <xdr:colOff>165100</xdr:colOff>
      <xdr:row>1872</xdr:row>
      <xdr:rowOff>63500</xdr:rowOff>
    </xdr:to>
    <xdr:sp macro="" textlink="">
      <xdr:nvSpPr>
        <xdr:cNvPr id="7741" name="Control 573" hidden="1">
          <a:extLst>
            <a:ext uri="{63B3BB69-23CF-44E3-9099-C40C66FF867C}">
              <a14:compatExt xmlns:a14="http://schemas.microsoft.com/office/drawing/2010/main" spid="_x0000_s7741"/>
            </a:ext>
            <a:ext uri="{FF2B5EF4-FFF2-40B4-BE49-F238E27FC236}">
              <a16:creationId xmlns:a16="http://schemas.microsoft.com/office/drawing/2014/main" xmlns="" id="{00000000-0008-0000-0600-00003D1E0000}"/>
            </a:ext>
          </a:extLst>
        </xdr:cNvPr>
        <xdr:cNvSpPr/>
      </xdr:nvSpPr>
      <xdr:spPr>
        <a:xfrm>
          <a:off x="0" y="0"/>
          <a:ext cx="0" cy="0"/>
        </a:xfrm>
        <a:prstGeom prst="rect">
          <a:avLst/>
        </a:prstGeom>
      </xdr:spPr>
    </xdr:sp>
    <xdr:clientData/>
  </xdr:twoCellAnchor>
  <xdr:twoCellAnchor editAs="oneCell">
    <xdr:from>
      <xdr:col>1</xdr:col>
      <xdr:colOff>0</xdr:colOff>
      <xdr:row>844</xdr:row>
      <xdr:rowOff>0</xdr:rowOff>
    </xdr:from>
    <xdr:to>
      <xdr:col>1</xdr:col>
      <xdr:colOff>152400</xdr:colOff>
      <xdr:row>844</xdr:row>
      <xdr:rowOff>152400</xdr:rowOff>
    </xdr:to>
    <xdr:pic>
      <xdr:nvPicPr>
        <xdr:cNvPr id="575" name="Picture 574" descr="Documents icon">
          <a:extLst>
            <a:ext uri="{FF2B5EF4-FFF2-40B4-BE49-F238E27FC236}">
              <a16:creationId xmlns:a16="http://schemas.microsoft.com/office/drawing/2014/main" xmlns="" id="{00000000-0008-0000-0600-00003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2742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1877</xdr:row>
      <xdr:rowOff>152400</xdr:rowOff>
    </xdr:from>
    <xdr:to>
      <xdr:col>0</xdr:col>
      <xdr:colOff>165100</xdr:colOff>
      <xdr:row>1878</xdr:row>
      <xdr:rowOff>152400</xdr:rowOff>
    </xdr:to>
    <xdr:sp macro="" textlink="">
      <xdr:nvSpPr>
        <xdr:cNvPr id="7743" name="Control 575" hidden="1">
          <a:extLst>
            <a:ext uri="{63B3BB69-23CF-44E3-9099-C40C66FF867C}">
              <a14:compatExt xmlns:a14="http://schemas.microsoft.com/office/drawing/2010/main" spid="_x0000_s7743"/>
            </a:ext>
            <a:ext uri="{FF2B5EF4-FFF2-40B4-BE49-F238E27FC236}">
              <a16:creationId xmlns:a16="http://schemas.microsoft.com/office/drawing/2014/main" xmlns="" id="{00000000-0008-0000-0600-00003F1E0000}"/>
            </a:ext>
          </a:extLst>
        </xdr:cNvPr>
        <xdr:cNvSpPr/>
      </xdr:nvSpPr>
      <xdr:spPr>
        <a:xfrm>
          <a:off x="0" y="0"/>
          <a:ext cx="0" cy="0"/>
        </a:xfrm>
        <a:prstGeom prst="rect">
          <a:avLst/>
        </a:prstGeom>
      </xdr:spPr>
    </xdr:sp>
    <xdr:clientData/>
  </xdr:twoCellAnchor>
  <xdr:twoCellAnchor editAs="oneCell">
    <xdr:from>
      <xdr:col>1</xdr:col>
      <xdr:colOff>0</xdr:colOff>
      <xdr:row>847</xdr:row>
      <xdr:rowOff>0</xdr:rowOff>
    </xdr:from>
    <xdr:to>
      <xdr:col>1</xdr:col>
      <xdr:colOff>152400</xdr:colOff>
      <xdr:row>847</xdr:row>
      <xdr:rowOff>152400</xdr:rowOff>
    </xdr:to>
    <xdr:pic>
      <xdr:nvPicPr>
        <xdr:cNvPr id="577" name="Picture 576" descr="Documents icon">
          <a:extLst>
            <a:ext uri="{FF2B5EF4-FFF2-40B4-BE49-F238E27FC236}">
              <a16:creationId xmlns:a16="http://schemas.microsoft.com/office/drawing/2014/main" xmlns="" id="{00000000-0008-0000-0600-00004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285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1884</xdr:row>
      <xdr:rowOff>101600</xdr:rowOff>
    </xdr:from>
    <xdr:to>
      <xdr:col>0</xdr:col>
      <xdr:colOff>165100</xdr:colOff>
      <xdr:row>1885</xdr:row>
      <xdr:rowOff>101600</xdr:rowOff>
    </xdr:to>
    <xdr:sp macro="" textlink="">
      <xdr:nvSpPr>
        <xdr:cNvPr id="7745" name="Control 577" hidden="1">
          <a:extLst>
            <a:ext uri="{63B3BB69-23CF-44E3-9099-C40C66FF867C}">
              <a14:compatExt xmlns:a14="http://schemas.microsoft.com/office/drawing/2010/main" spid="_x0000_s7745"/>
            </a:ext>
            <a:ext uri="{FF2B5EF4-FFF2-40B4-BE49-F238E27FC236}">
              <a16:creationId xmlns:a16="http://schemas.microsoft.com/office/drawing/2014/main" xmlns="" id="{00000000-0008-0000-0600-0000411E0000}"/>
            </a:ext>
          </a:extLst>
        </xdr:cNvPr>
        <xdr:cNvSpPr/>
      </xdr:nvSpPr>
      <xdr:spPr>
        <a:xfrm>
          <a:off x="0" y="0"/>
          <a:ext cx="0" cy="0"/>
        </a:xfrm>
        <a:prstGeom prst="rect">
          <a:avLst/>
        </a:prstGeom>
      </xdr:spPr>
    </xdr:sp>
    <xdr:clientData/>
  </xdr:twoCellAnchor>
  <xdr:twoCellAnchor editAs="oneCell">
    <xdr:from>
      <xdr:col>1</xdr:col>
      <xdr:colOff>0</xdr:colOff>
      <xdr:row>850</xdr:row>
      <xdr:rowOff>0</xdr:rowOff>
    </xdr:from>
    <xdr:to>
      <xdr:col>1</xdr:col>
      <xdr:colOff>152400</xdr:colOff>
      <xdr:row>850</xdr:row>
      <xdr:rowOff>152400</xdr:rowOff>
    </xdr:to>
    <xdr:pic>
      <xdr:nvPicPr>
        <xdr:cNvPr id="579" name="Picture 578" descr="Documents icon">
          <a:extLst>
            <a:ext uri="{FF2B5EF4-FFF2-40B4-BE49-F238E27FC236}">
              <a16:creationId xmlns:a16="http://schemas.microsoft.com/office/drawing/2014/main" xmlns="" id="{00000000-0008-0000-0600-00004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3828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1851</xdr:row>
      <xdr:rowOff>38100</xdr:rowOff>
    </xdr:from>
    <xdr:to>
      <xdr:col>3</xdr:col>
      <xdr:colOff>165100</xdr:colOff>
      <xdr:row>1852</xdr:row>
      <xdr:rowOff>38100</xdr:rowOff>
    </xdr:to>
    <xdr:sp macro="" textlink="">
      <xdr:nvSpPr>
        <xdr:cNvPr id="7759" name="Control 591" hidden="1">
          <a:extLst>
            <a:ext uri="{63B3BB69-23CF-44E3-9099-C40C66FF867C}">
              <a14:compatExt xmlns:a14="http://schemas.microsoft.com/office/drawing/2010/main" spid="_x0000_s7759"/>
            </a:ext>
            <a:ext uri="{FF2B5EF4-FFF2-40B4-BE49-F238E27FC236}">
              <a16:creationId xmlns:a16="http://schemas.microsoft.com/office/drawing/2014/main" xmlns="" id="{00000000-0008-0000-0600-00004F1E0000}"/>
            </a:ext>
          </a:extLst>
        </xdr:cNvPr>
        <xdr:cNvSpPr/>
      </xdr:nvSpPr>
      <xdr:spPr>
        <a:xfrm>
          <a:off x="0" y="0"/>
          <a:ext cx="0" cy="0"/>
        </a:xfrm>
        <a:prstGeom prst="rect">
          <a:avLst/>
        </a:prstGeom>
      </xdr:spPr>
    </xdr:sp>
    <xdr:clientData/>
  </xdr:twoCellAnchor>
  <xdr:twoCellAnchor editAs="oneCell">
    <xdr:from>
      <xdr:col>4</xdr:col>
      <xdr:colOff>0</xdr:colOff>
      <xdr:row>835</xdr:row>
      <xdr:rowOff>0</xdr:rowOff>
    </xdr:from>
    <xdr:to>
      <xdr:col>4</xdr:col>
      <xdr:colOff>152400</xdr:colOff>
      <xdr:row>835</xdr:row>
      <xdr:rowOff>152400</xdr:rowOff>
    </xdr:to>
    <xdr:pic>
      <xdr:nvPicPr>
        <xdr:cNvPr id="593" name="Picture 592" descr="Documents icon">
          <a:extLst>
            <a:ext uri="{FF2B5EF4-FFF2-40B4-BE49-F238E27FC236}">
              <a16:creationId xmlns:a16="http://schemas.microsoft.com/office/drawing/2014/main" xmlns="" id="{00000000-0008-0000-0600-00005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114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1857</xdr:row>
      <xdr:rowOff>152400</xdr:rowOff>
    </xdr:from>
    <xdr:to>
      <xdr:col>3</xdr:col>
      <xdr:colOff>165100</xdr:colOff>
      <xdr:row>1858</xdr:row>
      <xdr:rowOff>152400</xdr:rowOff>
    </xdr:to>
    <xdr:sp macro="" textlink="">
      <xdr:nvSpPr>
        <xdr:cNvPr id="7761" name="Control 593" hidden="1">
          <a:extLst>
            <a:ext uri="{63B3BB69-23CF-44E3-9099-C40C66FF867C}">
              <a14:compatExt xmlns:a14="http://schemas.microsoft.com/office/drawing/2010/main" spid="_x0000_s7761"/>
            </a:ext>
            <a:ext uri="{FF2B5EF4-FFF2-40B4-BE49-F238E27FC236}">
              <a16:creationId xmlns:a16="http://schemas.microsoft.com/office/drawing/2014/main" xmlns="" id="{00000000-0008-0000-0600-0000511E0000}"/>
            </a:ext>
          </a:extLst>
        </xdr:cNvPr>
        <xdr:cNvSpPr/>
      </xdr:nvSpPr>
      <xdr:spPr>
        <a:xfrm>
          <a:off x="0" y="0"/>
          <a:ext cx="0" cy="0"/>
        </a:xfrm>
        <a:prstGeom prst="rect">
          <a:avLst/>
        </a:prstGeom>
      </xdr:spPr>
    </xdr:sp>
    <xdr:clientData/>
  </xdr:twoCellAnchor>
  <xdr:twoCellAnchor editAs="oneCell">
    <xdr:from>
      <xdr:col>4</xdr:col>
      <xdr:colOff>0</xdr:colOff>
      <xdr:row>838</xdr:row>
      <xdr:rowOff>0</xdr:rowOff>
    </xdr:from>
    <xdr:to>
      <xdr:col>4</xdr:col>
      <xdr:colOff>152400</xdr:colOff>
      <xdr:row>838</xdr:row>
      <xdr:rowOff>152400</xdr:rowOff>
    </xdr:to>
    <xdr:pic>
      <xdr:nvPicPr>
        <xdr:cNvPr id="595" name="Picture 594" descr="Documents icon">
          <a:extLst>
            <a:ext uri="{FF2B5EF4-FFF2-40B4-BE49-F238E27FC236}">
              <a16:creationId xmlns:a16="http://schemas.microsoft.com/office/drawing/2014/main" xmlns="" id="{00000000-0008-0000-0600-00005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6570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1864</xdr:row>
      <xdr:rowOff>76200</xdr:rowOff>
    </xdr:from>
    <xdr:to>
      <xdr:col>3</xdr:col>
      <xdr:colOff>165100</xdr:colOff>
      <xdr:row>1865</xdr:row>
      <xdr:rowOff>76200</xdr:rowOff>
    </xdr:to>
    <xdr:sp macro="" textlink="">
      <xdr:nvSpPr>
        <xdr:cNvPr id="7763" name="Control 595" hidden="1">
          <a:extLst>
            <a:ext uri="{63B3BB69-23CF-44E3-9099-C40C66FF867C}">
              <a14:compatExt xmlns:a14="http://schemas.microsoft.com/office/drawing/2010/main" spid="_x0000_s7763"/>
            </a:ext>
            <a:ext uri="{FF2B5EF4-FFF2-40B4-BE49-F238E27FC236}">
              <a16:creationId xmlns:a16="http://schemas.microsoft.com/office/drawing/2014/main" xmlns="" id="{00000000-0008-0000-0600-0000531E0000}"/>
            </a:ext>
          </a:extLst>
        </xdr:cNvPr>
        <xdr:cNvSpPr/>
      </xdr:nvSpPr>
      <xdr:spPr>
        <a:xfrm>
          <a:off x="0" y="0"/>
          <a:ext cx="0" cy="0"/>
        </a:xfrm>
        <a:prstGeom prst="rect">
          <a:avLst/>
        </a:prstGeom>
      </xdr:spPr>
    </xdr:sp>
    <xdr:clientData/>
  </xdr:twoCellAnchor>
  <xdr:twoCellAnchor editAs="oneCell">
    <xdr:from>
      <xdr:col>4</xdr:col>
      <xdr:colOff>0</xdr:colOff>
      <xdr:row>841</xdr:row>
      <xdr:rowOff>0</xdr:rowOff>
    </xdr:from>
    <xdr:to>
      <xdr:col>4</xdr:col>
      <xdr:colOff>152400</xdr:colOff>
      <xdr:row>841</xdr:row>
      <xdr:rowOff>152400</xdr:rowOff>
    </xdr:to>
    <xdr:pic>
      <xdr:nvPicPr>
        <xdr:cNvPr id="597" name="Picture 596" descr="Documents icon">
          <a:extLst>
            <a:ext uri="{FF2B5EF4-FFF2-40B4-BE49-F238E27FC236}">
              <a16:creationId xmlns:a16="http://schemas.microsoft.com/office/drawing/2014/main" xmlns="" id="{00000000-0008-0000-0600-00005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999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1871</xdr:row>
      <xdr:rowOff>63500</xdr:rowOff>
    </xdr:from>
    <xdr:to>
      <xdr:col>3</xdr:col>
      <xdr:colOff>165100</xdr:colOff>
      <xdr:row>1872</xdr:row>
      <xdr:rowOff>63500</xdr:rowOff>
    </xdr:to>
    <xdr:sp macro="" textlink="">
      <xdr:nvSpPr>
        <xdr:cNvPr id="7765" name="Control 597" hidden="1">
          <a:extLst>
            <a:ext uri="{63B3BB69-23CF-44E3-9099-C40C66FF867C}">
              <a14:compatExt xmlns:a14="http://schemas.microsoft.com/office/drawing/2010/main" spid="_x0000_s7765"/>
            </a:ext>
            <a:ext uri="{FF2B5EF4-FFF2-40B4-BE49-F238E27FC236}">
              <a16:creationId xmlns:a16="http://schemas.microsoft.com/office/drawing/2014/main" xmlns="" id="{00000000-0008-0000-0600-0000551E0000}"/>
            </a:ext>
          </a:extLst>
        </xdr:cNvPr>
        <xdr:cNvSpPr/>
      </xdr:nvSpPr>
      <xdr:spPr>
        <a:xfrm>
          <a:off x="0" y="0"/>
          <a:ext cx="0" cy="0"/>
        </a:xfrm>
        <a:prstGeom prst="rect">
          <a:avLst/>
        </a:prstGeom>
      </xdr:spPr>
    </xdr:sp>
    <xdr:clientData/>
  </xdr:twoCellAnchor>
  <xdr:twoCellAnchor editAs="oneCell">
    <xdr:from>
      <xdr:col>4</xdr:col>
      <xdr:colOff>0</xdr:colOff>
      <xdr:row>844</xdr:row>
      <xdr:rowOff>0</xdr:rowOff>
    </xdr:from>
    <xdr:to>
      <xdr:col>4</xdr:col>
      <xdr:colOff>152400</xdr:colOff>
      <xdr:row>844</xdr:row>
      <xdr:rowOff>152400</xdr:rowOff>
    </xdr:to>
    <xdr:pic>
      <xdr:nvPicPr>
        <xdr:cNvPr id="599" name="Picture 598" descr="Documents icon">
          <a:extLst>
            <a:ext uri="{FF2B5EF4-FFF2-40B4-BE49-F238E27FC236}">
              <a16:creationId xmlns:a16="http://schemas.microsoft.com/office/drawing/2014/main" xmlns="" id="{00000000-0008-0000-0600-00005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42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1877</xdr:row>
      <xdr:rowOff>152400</xdr:rowOff>
    </xdr:from>
    <xdr:to>
      <xdr:col>3</xdr:col>
      <xdr:colOff>165100</xdr:colOff>
      <xdr:row>1878</xdr:row>
      <xdr:rowOff>152400</xdr:rowOff>
    </xdr:to>
    <xdr:sp macro="" textlink="">
      <xdr:nvSpPr>
        <xdr:cNvPr id="7767" name="Control 599" hidden="1">
          <a:extLst>
            <a:ext uri="{63B3BB69-23CF-44E3-9099-C40C66FF867C}">
              <a14:compatExt xmlns:a14="http://schemas.microsoft.com/office/drawing/2010/main" spid="_x0000_s7767"/>
            </a:ext>
            <a:ext uri="{FF2B5EF4-FFF2-40B4-BE49-F238E27FC236}">
              <a16:creationId xmlns:a16="http://schemas.microsoft.com/office/drawing/2014/main" xmlns="" id="{00000000-0008-0000-0600-0000571E0000}"/>
            </a:ext>
          </a:extLst>
        </xdr:cNvPr>
        <xdr:cNvSpPr/>
      </xdr:nvSpPr>
      <xdr:spPr>
        <a:xfrm>
          <a:off x="0" y="0"/>
          <a:ext cx="0" cy="0"/>
        </a:xfrm>
        <a:prstGeom prst="rect">
          <a:avLst/>
        </a:prstGeom>
      </xdr:spPr>
    </xdr:sp>
    <xdr:clientData/>
  </xdr:twoCellAnchor>
  <xdr:twoCellAnchor editAs="oneCell">
    <xdr:from>
      <xdr:col>4</xdr:col>
      <xdr:colOff>0</xdr:colOff>
      <xdr:row>847</xdr:row>
      <xdr:rowOff>0</xdr:rowOff>
    </xdr:from>
    <xdr:to>
      <xdr:col>4</xdr:col>
      <xdr:colOff>152400</xdr:colOff>
      <xdr:row>847</xdr:row>
      <xdr:rowOff>152400</xdr:rowOff>
    </xdr:to>
    <xdr:pic>
      <xdr:nvPicPr>
        <xdr:cNvPr id="601" name="Picture 600" descr="Documents icon">
          <a:extLst>
            <a:ext uri="{FF2B5EF4-FFF2-40B4-BE49-F238E27FC236}">
              <a16:creationId xmlns:a16="http://schemas.microsoft.com/office/drawing/2014/main" xmlns="" id="{00000000-0008-0000-0600-00005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2858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1884</xdr:row>
      <xdr:rowOff>101600</xdr:rowOff>
    </xdr:from>
    <xdr:to>
      <xdr:col>3</xdr:col>
      <xdr:colOff>165100</xdr:colOff>
      <xdr:row>1885</xdr:row>
      <xdr:rowOff>101600</xdr:rowOff>
    </xdr:to>
    <xdr:sp macro="" textlink="">
      <xdr:nvSpPr>
        <xdr:cNvPr id="7769" name="Control 601" hidden="1">
          <a:extLst>
            <a:ext uri="{63B3BB69-23CF-44E3-9099-C40C66FF867C}">
              <a14:compatExt xmlns:a14="http://schemas.microsoft.com/office/drawing/2010/main" spid="_x0000_s7769"/>
            </a:ext>
            <a:ext uri="{FF2B5EF4-FFF2-40B4-BE49-F238E27FC236}">
              <a16:creationId xmlns:a16="http://schemas.microsoft.com/office/drawing/2014/main" xmlns="" id="{00000000-0008-0000-0600-0000591E0000}"/>
            </a:ext>
          </a:extLst>
        </xdr:cNvPr>
        <xdr:cNvSpPr/>
      </xdr:nvSpPr>
      <xdr:spPr>
        <a:xfrm>
          <a:off x="0" y="0"/>
          <a:ext cx="0" cy="0"/>
        </a:xfrm>
        <a:prstGeom prst="rect">
          <a:avLst/>
        </a:prstGeom>
      </xdr:spPr>
    </xdr:sp>
    <xdr:clientData/>
  </xdr:twoCellAnchor>
  <xdr:twoCellAnchor editAs="oneCell">
    <xdr:from>
      <xdr:col>4</xdr:col>
      <xdr:colOff>0</xdr:colOff>
      <xdr:row>850</xdr:row>
      <xdr:rowOff>0</xdr:rowOff>
    </xdr:from>
    <xdr:to>
      <xdr:col>4</xdr:col>
      <xdr:colOff>152400</xdr:colOff>
      <xdr:row>850</xdr:row>
      <xdr:rowOff>152400</xdr:rowOff>
    </xdr:to>
    <xdr:pic>
      <xdr:nvPicPr>
        <xdr:cNvPr id="603" name="Picture 602" descr="Documents icon">
          <a:extLst>
            <a:ext uri="{FF2B5EF4-FFF2-40B4-BE49-F238E27FC236}">
              <a16:creationId xmlns:a16="http://schemas.microsoft.com/office/drawing/2014/main" xmlns="" id="{00000000-0008-0000-0600-00005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8287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0</xdr:colOff>
      <xdr:row>7</xdr:row>
      <xdr:rowOff>0</xdr:rowOff>
    </xdr:from>
    <xdr:ext cx="152400" cy="152400"/>
    <xdr:pic>
      <xdr:nvPicPr>
        <xdr:cNvPr id="604" name="Picture 603" descr="Documents icon">
          <a:extLst>
            <a:ext uri="{FF2B5EF4-FFF2-40B4-BE49-F238E27FC236}">
              <a16:creationId xmlns:a16="http://schemas.microsoft.com/office/drawing/2014/main" xmlns="" id="{00000000-0008-0000-0600-00005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xdr:row>
      <xdr:rowOff>0</xdr:rowOff>
    </xdr:from>
    <xdr:ext cx="152400" cy="152400"/>
    <xdr:pic>
      <xdr:nvPicPr>
        <xdr:cNvPr id="605" name="Picture 604" descr="Documents icon">
          <a:extLst>
            <a:ext uri="{FF2B5EF4-FFF2-40B4-BE49-F238E27FC236}">
              <a16:creationId xmlns:a16="http://schemas.microsoft.com/office/drawing/2014/main" xmlns="" id="{00000000-0008-0000-0600-00005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6" name="Picture 605" descr="Documents icon">
          <a:extLst>
            <a:ext uri="{FF2B5EF4-FFF2-40B4-BE49-F238E27FC236}">
              <a16:creationId xmlns:a16="http://schemas.microsoft.com/office/drawing/2014/main" xmlns="" id="{00000000-0008-0000-0600-00005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xdr:row>
      <xdr:rowOff>0</xdr:rowOff>
    </xdr:from>
    <xdr:ext cx="152400" cy="152400"/>
    <xdr:pic>
      <xdr:nvPicPr>
        <xdr:cNvPr id="607" name="Picture 606" descr="Documents icon">
          <a:extLst>
            <a:ext uri="{FF2B5EF4-FFF2-40B4-BE49-F238E27FC236}">
              <a16:creationId xmlns:a16="http://schemas.microsoft.com/office/drawing/2014/main" xmlns="" id="{00000000-0008-0000-0600-00005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xdr:row>
      <xdr:rowOff>0</xdr:rowOff>
    </xdr:from>
    <xdr:ext cx="152400" cy="152400"/>
    <xdr:pic>
      <xdr:nvPicPr>
        <xdr:cNvPr id="608" name="Picture 607" descr="Documents icon">
          <a:extLst>
            <a:ext uri="{FF2B5EF4-FFF2-40B4-BE49-F238E27FC236}">
              <a16:creationId xmlns:a16="http://schemas.microsoft.com/office/drawing/2014/main" xmlns="" id="{00000000-0008-0000-0600-00006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09" name="Picture 608" descr="Documents icon">
          <a:extLst>
            <a:ext uri="{FF2B5EF4-FFF2-40B4-BE49-F238E27FC236}">
              <a16:creationId xmlns:a16="http://schemas.microsoft.com/office/drawing/2014/main" xmlns="" id="{00000000-0008-0000-0600-00006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xdr:row>
      <xdr:rowOff>0</xdr:rowOff>
    </xdr:from>
    <xdr:ext cx="152400" cy="152400"/>
    <xdr:pic>
      <xdr:nvPicPr>
        <xdr:cNvPr id="610" name="Picture 609" descr="Documents icon">
          <a:extLst>
            <a:ext uri="{FF2B5EF4-FFF2-40B4-BE49-F238E27FC236}">
              <a16:creationId xmlns:a16="http://schemas.microsoft.com/office/drawing/2014/main" xmlns="" id="{00000000-0008-0000-0600-00006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xdr:row>
      <xdr:rowOff>0</xdr:rowOff>
    </xdr:from>
    <xdr:ext cx="152400" cy="152400"/>
    <xdr:pic>
      <xdr:nvPicPr>
        <xdr:cNvPr id="611" name="Picture 610" descr="Documents icon">
          <a:extLst>
            <a:ext uri="{FF2B5EF4-FFF2-40B4-BE49-F238E27FC236}">
              <a16:creationId xmlns:a16="http://schemas.microsoft.com/office/drawing/2014/main" xmlns="" id="{00000000-0008-0000-0600-00006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2" name="Picture 611" descr="Documents icon">
          <a:extLst>
            <a:ext uri="{FF2B5EF4-FFF2-40B4-BE49-F238E27FC236}">
              <a16:creationId xmlns:a16="http://schemas.microsoft.com/office/drawing/2014/main" xmlns="" id="{00000000-0008-0000-0600-00006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xdr:row>
      <xdr:rowOff>0</xdr:rowOff>
    </xdr:from>
    <xdr:ext cx="152400" cy="152400"/>
    <xdr:pic>
      <xdr:nvPicPr>
        <xdr:cNvPr id="613" name="Picture 612" descr="Documents icon">
          <a:extLst>
            <a:ext uri="{FF2B5EF4-FFF2-40B4-BE49-F238E27FC236}">
              <a16:creationId xmlns:a16="http://schemas.microsoft.com/office/drawing/2014/main" xmlns="" id="{00000000-0008-0000-0600-00006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xdr:row>
      <xdr:rowOff>0</xdr:rowOff>
    </xdr:from>
    <xdr:ext cx="152400" cy="152400"/>
    <xdr:pic>
      <xdr:nvPicPr>
        <xdr:cNvPr id="614" name="Picture 613" descr="Documents icon">
          <a:extLst>
            <a:ext uri="{FF2B5EF4-FFF2-40B4-BE49-F238E27FC236}">
              <a16:creationId xmlns:a16="http://schemas.microsoft.com/office/drawing/2014/main" xmlns="" id="{00000000-0008-0000-0600-00006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5" name="Picture 614" descr="Documents icon">
          <a:extLst>
            <a:ext uri="{FF2B5EF4-FFF2-40B4-BE49-F238E27FC236}">
              <a16:creationId xmlns:a16="http://schemas.microsoft.com/office/drawing/2014/main" xmlns="" id="{00000000-0008-0000-0600-00006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xdr:row>
      <xdr:rowOff>0</xdr:rowOff>
    </xdr:from>
    <xdr:ext cx="152400" cy="152400"/>
    <xdr:pic>
      <xdr:nvPicPr>
        <xdr:cNvPr id="616" name="Picture 615" descr="Documents icon">
          <a:extLst>
            <a:ext uri="{FF2B5EF4-FFF2-40B4-BE49-F238E27FC236}">
              <a16:creationId xmlns:a16="http://schemas.microsoft.com/office/drawing/2014/main" xmlns="" id="{00000000-0008-0000-0600-00006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xdr:row>
      <xdr:rowOff>0</xdr:rowOff>
    </xdr:from>
    <xdr:ext cx="152400" cy="152400"/>
    <xdr:pic>
      <xdr:nvPicPr>
        <xdr:cNvPr id="617" name="Picture 616" descr="Documents icon">
          <a:extLst>
            <a:ext uri="{FF2B5EF4-FFF2-40B4-BE49-F238E27FC236}">
              <a16:creationId xmlns:a16="http://schemas.microsoft.com/office/drawing/2014/main" xmlns="" id="{00000000-0008-0000-0600-00006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8" name="Picture 617" descr="Documents icon">
          <a:extLst>
            <a:ext uri="{FF2B5EF4-FFF2-40B4-BE49-F238E27FC236}">
              <a16:creationId xmlns:a16="http://schemas.microsoft.com/office/drawing/2014/main" xmlns="" id="{00000000-0008-0000-0600-00006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xdr:row>
      <xdr:rowOff>0</xdr:rowOff>
    </xdr:from>
    <xdr:ext cx="152400" cy="152400"/>
    <xdr:pic>
      <xdr:nvPicPr>
        <xdr:cNvPr id="619" name="Picture 618" descr="Documents icon">
          <a:extLst>
            <a:ext uri="{FF2B5EF4-FFF2-40B4-BE49-F238E27FC236}">
              <a16:creationId xmlns:a16="http://schemas.microsoft.com/office/drawing/2014/main" xmlns="" id="{00000000-0008-0000-0600-00006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xdr:row>
      <xdr:rowOff>0</xdr:rowOff>
    </xdr:from>
    <xdr:ext cx="152400" cy="152400"/>
    <xdr:pic>
      <xdr:nvPicPr>
        <xdr:cNvPr id="620" name="Picture 619" descr="Documents icon">
          <a:extLst>
            <a:ext uri="{FF2B5EF4-FFF2-40B4-BE49-F238E27FC236}">
              <a16:creationId xmlns:a16="http://schemas.microsoft.com/office/drawing/2014/main" xmlns="" id="{00000000-0008-0000-0600-00006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1" name="Picture 620" descr="Documents icon">
          <a:extLst>
            <a:ext uri="{FF2B5EF4-FFF2-40B4-BE49-F238E27FC236}">
              <a16:creationId xmlns:a16="http://schemas.microsoft.com/office/drawing/2014/main" xmlns="" id="{00000000-0008-0000-0600-00006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xdr:row>
      <xdr:rowOff>0</xdr:rowOff>
    </xdr:from>
    <xdr:ext cx="152400" cy="152400"/>
    <xdr:pic>
      <xdr:nvPicPr>
        <xdr:cNvPr id="622" name="Picture 621" descr="Documents icon">
          <a:extLst>
            <a:ext uri="{FF2B5EF4-FFF2-40B4-BE49-F238E27FC236}">
              <a16:creationId xmlns:a16="http://schemas.microsoft.com/office/drawing/2014/main" xmlns="" id="{00000000-0008-0000-0600-00006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xdr:row>
      <xdr:rowOff>0</xdr:rowOff>
    </xdr:from>
    <xdr:ext cx="152400" cy="152400"/>
    <xdr:pic>
      <xdr:nvPicPr>
        <xdr:cNvPr id="623" name="Picture 622" descr="Documents icon">
          <a:extLst>
            <a:ext uri="{FF2B5EF4-FFF2-40B4-BE49-F238E27FC236}">
              <a16:creationId xmlns:a16="http://schemas.microsoft.com/office/drawing/2014/main" xmlns="" id="{00000000-0008-0000-0600-00006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4" name="Picture 623" descr="Documents icon">
          <a:extLst>
            <a:ext uri="{FF2B5EF4-FFF2-40B4-BE49-F238E27FC236}">
              <a16:creationId xmlns:a16="http://schemas.microsoft.com/office/drawing/2014/main" xmlns="" id="{00000000-0008-0000-0600-00007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xdr:row>
      <xdr:rowOff>0</xdr:rowOff>
    </xdr:from>
    <xdr:ext cx="152400" cy="152400"/>
    <xdr:pic>
      <xdr:nvPicPr>
        <xdr:cNvPr id="625" name="Picture 624" descr="Documents icon">
          <a:extLst>
            <a:ext uri="{FF2B5EF4-FFF2-40B4-BE49-F238E27FC236}">
              <a16:creationId xmlns:a16="http://schemas.microsoft.com/office/drawing/2014/main" xmlns="" id="{00000000-0008-0000-0600-00007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xdr:row>
      <xdr:rowOff>0</xdr:rowOff>
    </xdr:from>
    <xdr:ext cx="152400" cy="152400"/>
    <xdr:pic>
      <xdr:nvPicPr>
        <xdr:cNvPr id="626" name="Picture 625" descr="Documents icon">
          <a:extLst>
            <a:ext uri="{FF2B5EF4-FFF2-40B4-BE49-F238E27FC236}">
              <a16:creationId xmlns:a16="http://schemas.microsoft.com/office/drawing/2014/main" xmlns="" id="{00000000-0008-0000-0600-00007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7" name="Picture 626" descr="Documents icon">
          <a:extLst>
            <a:ext uri="{FF2B5EF4-FFF2-40B4-BE49-F238E27FC236}">
              <a16:creationId xmlns:a16="http://schemas.microsoft.com/office/drawing/2014/main" xmlns="" id="{00000000-0008-0000-0600-00007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xdr:row>
      <xdr:rowOff>0</xdr:rowOff>
    </xdr:from>
    <xdr:ext cx="152400" cy="152400"/>
    <xdr:pic>
      <xdr:nvPicPr>
        <xdr:cNvPr id="628" name="Picture 627" descr="Documents icon">
          <a:extLst>
            <a:ext uri="{FF2B5EF4-FFF2-40B4-BE49-F238E27FC236}">
              <a16:creationId xmlns:a16="http://schemas.microsoft.com/office/drawing/2014/main" xmlns="" id="{00000000-0008-0000-0600-00007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xdr:row>
      <xdr:rowOff>0</xdr:rowOff>
    </xdr:from>
    <xdr:ext cx="152400" cy="152400"/>
    <xdr:pic>
      <xdr:nvPicPr>
        <xdr:cNvPr id="629" name="Picture 628" descr="Documents icon">
          <a:extLst>
            <a:ext uri="{FF2B5EF4-FFF2-40B4-BE49-F238E27FC236}">
              <a16:creationId xmlns:a16="http://schemas.microsoft.com/office/drawing/2014/main" xmlns="" id="{00000000-0008-0000-0600-00007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0" name="Picture 629" descr="Documents icon">
          <a:extLst>
            <a:ext uri="{FF2B5EF4-FFF2-40B4-BE49-F238E27FC236}">
              <a16:creationId xmlns:a16="http://schemas.microsoft.com/office/drawing/2014/main" xmlns="" id="{00000000-0008-0000-0600-00007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xdr:row>
      <xdr:rowOff>0</xdr:rowOff>
    </xdr:from>
    <xdr:ext cx="152400" cy="152400"/>
    <xdr:pic>
      <xdr:nvPicPr>
        <xdr:cNvPr id="631" name="Picture 630" descr="Documents icon">
          <a:extLst>
            <a:ext uri="{FF2B5EF4-FFF2-40B4-BE49-F238E27FC236}">
              <a16:creationId xmlns:a16="http://schemas.microsoft.com/office/drawing/2014/main" xmlns="" id="{00000000-0008-0000-0600-00007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xdr:row>
      <xdr:rowOff>0</xdr:rowOff>
    </xdr:from>
    <xdr:ext cx="152400" cy="152400"/>
    <xdr:pic>
      <xdr:nvPicPr>
        <xdr:cNvPr id="632" name="Picture 631" descr="Documents icon">
          <a:extLst>
            <a:ext uri="{FF2B5EF4-FFF2-40B4-BE49-F238E27FC236}">
              <a16:creationId xmlns:a16="http://schemas.microsoft.com/office/drawing/2014/main" xmlns="" id="{00000000-0008-0000-0600-00007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3" name="Picture 632" descr="Documents icon">
          <a:extLst>
            <a:ext uri="{FF2B5EF4-FFF2-40B4-BE49-F238E27FC236}">
              <a16:creationId xmlns:a16="http://schemas.microsoft.com/office/drawing/2014/main" xmlns="" id="{00000000-0008-0000-0600-00007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xdr:row>
      <xdr:rowOff>0</xdr:rowOff>
    </xdr:from>
    <xdr:ext cx="152400" cy="152400"/>
    <xdr:pic>
      <xdr:nvPicPr>
        <xdr:cNvPr id="634" name="Picture 633" descr="Documents icon">
          <a:extLst>
            <a:ext uri="{FF2B5EF4-FFF2-40B4-BE49-F238E27FC236}">
              <a16:creationId xmlns:a16="http://schemas.microsoft.com/office/drawing/2014/main" xmlns="" id="{00000000-0008-0000-0600-00007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xdr:row>
      <xdr:rowOff>0</xdr:rowOff>
    </xdr:from>
    <xdr:ext cx="152400" cy="152400"/>
    <xdr:pic>
      <xdr:nvPicPr>
        <xdr:cNvPr id="635" name="Picture 634" descr="Documents icon">
          <a:extLst>
            <a:ext uri="{FF2B5EF4-FFF2-40B4-BE49-F238E27FC236}">
              <a16:creationId xmlns:a16="http://schemas.microsoft.com/office/drawing/2014/main" xmlns="" id="{00000000-0008-0000-0600-00007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6" name="Picture 635" descr="Documents icon">
          <a:extLst>
            <a:ext uri="{FF2B5EF4-FFF2-40B4-BE49-F238E27FC236}">
              <a16:creationId xmlns:a16="http://schemas.microsoft.com/office/drawing/2014/main" xmlns="" id="{00000000-0008-0000-0600-00007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xdr:row>
      <xdr:rowOff>0</xdr:rowOff>
    </xdr:from>
    <xdr:ext cx="152400" cy="152400"/>
    <xdr:pic>
      <xdr:nvPicPr>
        <xdr:cNvPr id="637" name="Picture 636" descr="Documents icon">
          <a:extLst>
            <a:ext uri="{FF2B5EF4-FFF2-40B4-BE49-F238E27FC236}">
              <a16:creationId xmlns:a16="http://schemas.microsoft.com/office/drawing/2014/main" xmlns="" id="{00000000-0008-0000-0600-00007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xdr:row>
      <xdr:rowOff>0</xdr:rowOff>
    </xdr:from>
    <xdr:ext cx="152400" cy="152400"/>
    <xdr:pic>
      <xdr:nvPicPr>
        <xdr:cNvPr id="638" name="Picture 637" descr="Documents icon">
          <a:extLst>
            <a:ext uri="{FF2B5EF4-FFF2-40B4-BE49-F238E27FC236}">
              <a16:creationId xmlns:a16="http://schemas.microsoft.com/office/drawing/2014/main" xmlns="" id="{00000000-0008-0000-0600-00007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39" name="Picture 638" descr="Documents icon">
          <a:extLst>
            <a:ext uri="{FF2B5EF4-FFF2-40B4-BE49-F238E27FC236}">
              <a16:creationId xmlns:a16="http://schemas.microsoft.com/office/drawing/2014/main" xmlns="" id="{00000000-0008-0000-0600-00007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xdr:row>
      <xdr:rowOff>0</xdr:rowOff>
    </xdr:from>
    <xdr:ext cx="152400" cy="152400"/>
    <xdr:pic>
      <xdr:nvPicPr>
        <xdr:cNvPr id="640" name="Picture 639" descr="Documents icon">
          <a:extLst>
            <a:ext uri="{FF2B5EF4-FFF2-40B4-BE49-F238E27FC236}">
              <a16:creationId xmlns:a16="http://schemas.microsoft.com/office/drawing/2014/main" xmlns="" id="{00000000-0008-0000-0600-00008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xdr:row>
      <xdr:rowOff>0</xdr:rowOff>
    </xdr:from>
    <xdr:ext cx="152400" cy="152400"/>
    <xdr:pic>
      <xdr:nvPicPr>
        <xdr:cNvPr id="641" name="Picture 640" descr="Documents icon">
          <a:extLst>
            <a:ext uri="{FF2B5EF4-FFF2-40B4-BE49-F238E27FC236}">
              <a16:creationId xmlns:a16="http://schemas.microsoft.com/office/drawing/2014/main" xmlns="" id="{00000000-0008-0000-0600-00008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2" name="Picture 641" descr="Documents icon">
          <a:extLst>
            <a:ext uri="{FF2B5EF4-FFF2-40B4-BE49-F238E27FC236}">
              <a16:creationId xmlns:a16="http://schemas.microsoft.com/office/drawing/2014/main" xmlns="" id="{00000000-0008-0000-0600-00008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85</xdr:row>
      <xdr:rowOff>0</xdr:rowOff>
    </xdr:from>
    <xdr:ext cx="152400" cy="152400"/>
    <xdr:pic>
      <xdr:nvPicPr>
        <xdr:cNvPr id="643" name="Picture 642" descr="Documents icon">
          <a:extLst>
            <a:ext uri="{FF2B5EF4-FFF2-40B4-BE49-F238E27FC236}">
              <a16:creationId xmlns:a16="http://schemas.microsoft.com/office/drawing/2014/main" xmlns="" id="{00000000-0008-0000-0600-00008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88</xdr:row>
      <xdr:rowOff>0</xdr:rowOff>
    </xdr:from>
    <xdr:ext cx="152400" cy="152400"/>
    <xdr:pic>
      <xdr:nvPicPr>
        <xdr:cNvPr id="644" name="Picture 643" descr="Documents icon">
          <a:extLst>
            <a:ext uri="{FF2B5EF4-FFF2-40B4-BE49-F238E27FC236}">
              <a16:creationId xmlns:a16="http://schemas.microsoft.com/office/drawing/2014/main" xmlns="" id="{00000000-0008-0000-0600-00008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5" name="Picture 644" descr="Documents icon">
          <a:extLst>
            <a:ext uri="{FF2B5EF4-FFF2-40B4-BE49-F238E27FC236}">
              <a16:creationId xmlns:a16="http://schemas.microsoft.com/office/drawing/2014/main" xmlns="" id="{00000000-0008-0000-0600-00008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91</xdr:row>
      <xdr:rowOff>0</xdr:rowOff>
    </xdr:from>
    <xdr:ext cx="152400" cy="152400"/>
    <xdr:pic>
      <xdr:nvPicPr>
        <xdr:cNvPr id="646" name="Picture 645" descr="Documents icon">
          <a:extLst>
            <a:ext uri="{FF2B5EF4-FFF2-40B4-BE49-F238E27FC236}">
              <a16:creationId xmlns:a16="http://schemas.microsoft.com/office/drawing/2014/main" xmlns="" id="{00000000-0008-0000-0600-00008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94</xdr:row>
      <xdr:rowOff>0</xdr:rowOff>
    </xdr:from>
    <xdr:ext cx="152400" cy="152400"/>
    <xdr:pic>
      <xdr:nvPicPr>
        <xdr:cNvPr id="647" name="Picture 646" descr="Documents icon">
          <a:extLst>
            <a:ext uri="{FF2B5EF4-FFF2-40B4-BE49-F238E27FC236}">
              <a16:creationId xmlns:a16="http://schemas.microsoft.com/office/drawing/2014/main" xmlns="" id="{00000000-0008-0000-0600-00008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8" name="Picture 647" descr="Documents icon">
          <a:extLst>
            <a:ext uri="{FF2B5EF4-FFF2-40B4-BE49-F238E27FC236}">
              <a16:creationId xmlns:a16="http://schemas.microsoft.com/office/drawing/2014/main" xmlns="" id="{00000000-0008-0000-0600-00008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97</xdr:row>
      <xdr:rowOff>0</xdr:rowOff>
    </xdr:from>
    <xdr:ext cx="152400" cy="152400"/>
    <xdr:pic>
      <xdr:nvPicPr>
        <xdr:cNvPr id="649" name="Picture 648" descr="Documents icon">
          <a:extLst>
            <a:ext uri="{FF2B5EF4-FFF2-40B4-BE49-F238E27FC236}">
              <a16:creationId xmlns:a16="http://schemas.microsoft.com/office/drawing/2014/main" xmlns="" id="{00000000-0008-0000-0600-00008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100</xdr:row>
      <xdr:rowOff>0</xdr:rowOff>
    </xdr:from>
    <xdr:ext cx="152400" cy="152400"/>
    <xdr:pic>
      <xdr:nvPicPr>
        <xdr:cNvPr id="650" name="Picture 649" descr="Documents icon">
          <a:extLst>
            <a:ext uri="{FF2B5EF4-FFF2-40B4-BE49-F238E27FC236}">
              <a16:creationId xmlns:a16="http://schemas.microsoft.com/office/drawing/2014/main" xmlns="" id="{00000000-0008-0000-0600-00008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1" name="Picture 650" descr="Documents icon">
          <a:extLst>
            <a:ext uri="{FF2B5EF4-FFF2-40B4-BE49-F238E27FC236}">
              <a16:creationId xmlns:a16="http://schemas.microsoft.com/office/drawing/2014/main" xmlns="" id="{00000000-0008-0000-0600-00008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103</xdr:row>
      <xdr:rowOff>0</xdr:rowOff>
    </xdr:from>
    <xdr:ext cx="152400" cy="152400"/>
    <xdr:pic>
      <xdr:nvPicPr>
        <xdr:cNvPr id="652" name="Picture 651" descr="Documents icon">
          <a:extLst>
            <a:ext uri="{FF2B5EF4-FFF2-40B4-BE49-F238E27FC236}">
              <a16:creationId xmlns:a16="http://schemas.microsoft.com/office/drawing/2014/main" xmlns="" id="{00000000-0008-0000-0600-00008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106</xdr:row>
      <xdr:rowOff>0</xdr:rowOff>
    </xdr:from>
    <xdr:ext cx="152400" cy="152400"/>
    <xdr:pic>
      <xdr:nvPicPr>
        <xdr:cNvPr id="653" name="Picture 652" descr="Documents icon">
          <a:extLst>
            <a:ext uri="{FF2B5EF4-FFF2-40B4-BE49-F238E27FC236}">
              <a16:creationId xmlns:a16="http://schemas.microsoft.com/office/drawing/2014/main" xmlns="" id="{00000000-0008-0000-0600-00008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4" name="Picture 653" descr="Documents icon">
          <a:extLst>
            <a:ext uri="{FF2B5EF4-FFF2-40B4-BE49-F238E27FC236}">
              <a16:creationId xmlns:a16="http://schemas.microsoft.com/office/drawing/2014/main" xmlns="" id="{00000000-0008-0000-0600-00008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109</xdr:row>
      <xdr:rowOff>0</xdr:rowOff>
    </xdr:from>
    <xdr:ext cx="152400" cy="152400"/>
    <xdr:pic>
      <xdr:nvPicPr>
        <xdr:cNvPr id="655" name="Picture 654" descr="Documents icon">
          <a:extLst>
            <a:ext uri="{FF2B5EF4-FFF2-40B4-BE49-F238E27FC236}">
              <a16:creationId xmlns:a16="http://schemas.microsoft.com/office/drawing/2014/main" xmlns="" id="{00000000-0008-0000-0600-00008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112</xdr:row>
      <xdr:rowOff>0</xdr:rowOff>
    </xdr:from>
    <xdr:ext cx="152400" cy="152400"/>
    <xdr:pic>
      <xdr:nvPicPr>
        <xdr:cNvPr id="656" name="Picture 655" descr="Documents icon">
          <a:extLst>
            <a:ext uri="{FF2B5EF4-FFF2-40B4-BE49-F238E27FC236}">
              <a16:creationId xmlns:a16="http://schemas.microsoft.com/office/drawing/2014/main" xmlns="" id="{00000000-0008-0000-0600-00009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7" name="Picture 656" descr="Documents icon">
          <a:extLst>
            <a:ext uri="{FF2B5EF4-FFF2-40B4-BE49-F238E27FC236}">
              <a16:creationId xmlns:a16="http://schemas.microsoft.com/office/drawing/2014/main" xmlns="" id="{00000000-0008-0000-0600-00009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115</xdr:row>
      <xdr:rowOff>0</xdr:rowOff>
    </xdr:from>
    <xdr:ext cx="152400" cy="152400"/>
    <xdr:pic>
      <xdr:nvPicPr>
        <xdr:cNvPr id="658" name="Picture 657" descr="Documents icon">
          <a:extLst>
            <a:ext uri="{FF2B5EF4-FFF2-40B4-BE49-F238E27FC236}">
              <a16:creationId xmlns:a16="http://schemas.microsoft.com/office/drawing/2014/main" xmlns="" id="{00000000-0008-0000-0600-00009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118</xdr:row>
      <xdr:rowOff>0</xdr:rowOff>
    </xdr:from>
    <xdr:ext cx="152400" cy="152400"/>
    <xdr:pic>
      <xdr:nvPicPr>
        <xdr:cNvPr id="659" name="Picture 658" descr="Documents icon">
          <a:extLst>
            <a:ext uri="{FF2B5EF4-FFF2-40B4-BE49-F238E27FC236}">
              <a16:creationId xmlns:a16="http://schemas.microsoft.com/office/drawing/2014/main" xmlns="" id="{00000000-0008-0000-0600-00009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0" name="Picture 659" descr="Documents icon">
          <a:extLst>
            <a:ext uri="{FF2B5EF4-FFF2-40B4-BE49-F238E27FC236}">
              <a16:creationId xmlns:a16="http://schemas.microsoft.com/office/drawing/2014/main" xmlns="" id="{00000000-0008-0000-0600-00009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121</xdr:row>
      <xdr:rowOff>0</xdr:rowOff>
    </xdr:from>
    <xdr:ext cx="152400" cy="152400"/>
    <xdr:pic>
      <xdr:nvPicPr>
        <xdr:cNvPr id="661" name="Picture 660" descr="Documents icon">
          <a:extLst>
            <a:ext uri="{FF2B5EF4-FFF2-40B4-BE49-F238E27FC236}">
              <a16:creationId xmlns:a16="http://schemas.microsoft.com/office/drawing/2014/main" xmlns="" id="{00000000-0008-0000-0600-00009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124</xdr:row>
      <xdr:rowOff>0</xdr:rowOff>
    </xdr:from>
    <xdr:ext cx="152400" cy="152400"/>
    <xdr:pic>
      <xdr:nvPicPr>
        <xdr:cNvPr id="662" name="Picture 661" descr="Documents icon">
          <a:extLst>
            <a:ext uri="{FF2B5EF4-FFF2-40B4-BE49-F238E27FC236}">
              <a16:creationId xmlns:a16="http://schemas.microsoft.com/office/drawing/2014/main" xmlns="" id="{00000000-0008-0000-0600-00009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3" name="Picture 662" descr="Documents icon">
          <a:extLst>
            <a:ext uri="{FF2B5EF4-FFF2-40B4-BE49-F238E27FC236}">
              <a16:creationId xmlns:a16="http://schemas.microsoft.com/office/drawing/2014/main" xmlns="" id="{00000000-0008-0000-0600-00009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127</xdr:row>
      <xdr:rowOff>0</xdr:rowOff>
    </xdr:from>
    <xdr:ext cx="152400" cy="152400"/>
    <xdr:pic>
      <xdr:nvPicPr>
        <xdr:cNvPr id="664" name="Picture 663" descr="Documents icon">
          <a:extLst>
            <a:ext uri="{FF2B5EF4-FFF2-40B4-BE49-F238E27FC236}">
              <a16:creationId xmlns:a16="http://schemas.microsoft.com/office/drawing/2014/main" xmlns="" id="{00000000-0008-0000-0600-00009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130</xdr:row>
      <xdr:rowOff>0</xdr:rowOff>
    </xdr:from>
    <xdr:ext cx="152400" cy="152400"/>
    <xdr:pic>
      <xdr:nvPicPr>
        <xdr:cNvPr id="665" name="Picture 664" descr="Documents icon">
          <a:extLst>
            <a:ext uri="{FF2B5EF4-FFF2-40B4-BE49-F238E27FC236}">
              <a16:creationId xmlns:a16="http://schemas.microsoft.com/office/drawing/2014/main" xmlns="" id="{00000000-0008-0000-0600-00009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6" name="Picture 665" descr="Documents icon">
          <a:extLst>
            <a:ext uri="{FF2B5EF4-FFF2-40B4-BE49-F238E27FC236}">
              <a16:creationId xmlns:a16="http://schemas.microsoft.com/office/drawing/2014/main" xmlns="" id="{00000000-0008-0000-0600-00009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133</xdr:row>
      <xdr:rowOff>0</xdr:rowOff>
    </xdr:from>
    <xdr:ext cx="152400" cy="152400"/>
    <xdr:pic>
      <xdr:nvPicPr>
        <xdr:cNvPr id="667" name="Picture 666" descr="Documents icon">
          <a:extLst>
            <a:ext uri="{FF2B5EF4-FFF2-40B4-BE49-F238E27FC236}">
              <a16:creationId xmlns:a16="http://schemas.microsoft.com/office/drawing/2014/main" xmlns="" id="{00000000-0008-0000-0600-00009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136</xdr:row>
      <xdr:rowOff>0</xdr:rowOff>
    </xdr:from>
    <xdr:ext cx="152400" cy="152400"/>
    <xdr:pic>
      <xdr:nvPicPr>
        <xdr:cNvPr id="668" name="Picture 667" descr="Documents icon">
          <a:extLst>
            <a:ext uri="{FF2B5EF4-FFF2-40B4-BE49-F238E27FC236}">
              <a16:creationId xmlns:a16="http://schemas.microsoft.com/office/drawing/2014/main" xmlns="" id="{00000000-0008-0000-0600-00009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69" name="Picture 668" descr="Documents icon">
          <a:extLst>
            <a:ext uri="{FF2B5EF4-FFF2-40B4-BE49-F238E27FC236}">
              <a16:creationId xmlns:a16="http://schemas.microsoft.com/office/drawing/2014/main" xmlns="" id="{00000000-0008-0000-0600-00009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139</xdr:row>
      <xdr:rowOff>0</xdr:rowOff>
    </xdr:from>
    <xdr:ext cx="152400" cy="152400"/>
    <xdr:pic>
      <xdr:nvPicPr>
        <xdr:cNvPr id="670" name="Picture 669" descr="Documents icon">
          <a:extLst>
            <a:ext uri="{FF2B5EF4-FFF2-40B4-BE49-F238E27FC236}">
              <a16:creationId xmlns:a16="http://schemas.microsoft.com/office/drawing/2014/main" xmlns="" id="{00000000-0008-0000-0600-00009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142</xdr:row>
      <xdr:rowOff>0</xdr:rowOff>
    </xdr:from>
    <xdr:ext cx="152400" cy="152400"/>
    <xdr:pic>
      <xdr:nvPicPr>
        <xdr:cNvPr id="671" name="Picture 670" descr="Documents icon">
          <a:extLst>
            <a:ext uri="{FF2B5EF4-FFF2-40B4-BE49-F238E27FC236}">
              <a16:creationId xmlns:a16="http://schemas.microsoft.com/office/drawing/2014/main" xmlns="" id="{00000000-0008-0000-0600-00009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2" name="Picture 671" descr="Documents icon">
          <a:extLst>
            <a:ext uri="{FF2B5EF4-FFF2-40B4-BE49-F238E27FC236}">
              <a16:creationId xmlns:a16="http://schemas.microsoft.com/office/drawing/2014/main" xmlns="" id="{00000000-0008-0000-0600-0000A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145</xdr:row>
      <xdr:rowOff>0</xdr:rowOff>
    </xdr:from>
    <xdr:ext cx="152400" cy="152400"/>
    <xdr:pic>
      <xdr:nvPicPr>
        <xdr:cNvPr id="673" name="Picture 672" descr="Documents icon">
          <a:extLst>
            <a:ext uri="{FF2B5EF4-FFF2-40B4-BE49-F238E27FC236}">
              <a16:creationId xmlns:a16="http://schemas.microsoft.com/office/drawing/2014/main" xmlns="" id="{00000000-0008-0000-0600-0000A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148</xdr:row>
      <xdr:rowOff>0</xdr:rowOff>
    </xdr:from>
    <xdr:ext cx="152400" cy="152400"/>
    <xdr:pic>
      <xdr:nvPicPr>
        <xdr:cNvPr id="674" name="Picture 673" descr="Documents icon">
          <a:extLst>
            <a:ext uri="{FF2B5EF4-FFF2-40B4-BE49-F238E27FC236}">
              <a16:creationId xmlns:a16="http://schemas.microsoft.com/office/drawing/2014/main" xmlns="" id="{00000000-0008-0000-0600-0000A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5" name="Picture 674" descr="Documents icon">
          <a:extLst>
            <a:ext uri="{FF2B5EF4-FFF2-40B4-BE49-F238E27FC236}">
              <a16:creationId xmlns:a16="http://schemas.microsoft.com/office/drawing/2014/main" xmlns="" id="{00000000-0008-0000-0600-0000A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151</xdr:row>
      <xdr:rowOff>0</xdr:rowOff>
    </xdr:from>
    <xdr:ext cx="152400" cy="152400"/>
    <xdr:pic>
      <xdr:nvPicPr>
        <xdr:cNvPr id="676" name="Picture 675" descr="Documents icon">
          <a:extLst>
            <a:ext uri="{FF2B5EF4-FFF2-40B4-BE49-F238E27FC236}">
              <a16:creationId xmlns:a16="http://schemas.microsoft.com/office/drawing/2014/main" xmlns="" id="{00000000-0008-0000-0600-0000A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154</xdr:row>
      <xdr:rowOff>0</xdr:rowOff>
    </xdr:from>
    <xdr:ext cx="152400" cy="152400"/>
    <xdr:pic>
      <xdr:nvPicPr>
        <xdr:cNvPr id="677" name="Picture 676" descr="Documents icon">
          <a:extLst>
            <a:ext uri="{FF2B5EF4-FFF2-40B4-BE49-F238E27FC236}">
              <a16:creationId xmlns:a16="http://schemas.microsoft.com/office/drawing/2014/main" xmlns="" id="{00000000-0008-0000-0600-0000A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8" name="Picture 677" descr="Documents icon">
          <a:extLst>
            <a:ext uri="{FF2B5EF4-FFF2-40B4-BE49-F238E27FC236}">
              <a16:creationId xmlns:a16="http://schemas.microsoft.com/office/drawing/2014/main" xmlns="" id="{00000000-0008-0000-0600-0000A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157</xdr:row>
      <xdr:rowOff>0</xdr:rowOff>
    </xdr:from>
    <xdr:ext cx="152400" cy="152400"/>
    <xdr:pic>
      <xdr:nvPicPr>
        <xdr:cNvPr id="679" name="Picture 678" descr="Documents icon">
          <a:extLst>
            <a:ext uri="{FF2B5EF4-FFF2-40B4-BE49-F238E27FC236}">
              <a16:creationId xmlns:a16="http://schemas.microsoft.com/office/drawing/2014/main" xmlns="" id="{00000000-0008-0000-0600-0000A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160</xdr:row>
      <xdr:rowOff>0</xdr:rowOff>
    </xdr:from>
    <xdr:ext cx="152400" cy="152400"/>
    <xdr:pic>
      <xdr:nvPicPr>
        <xdr:cNvPr id="680" name="Picture 679" descr="Documents icon">
          <a:extLst>
            <a:ext uri="{FF2B5EF4-FFF2-40B4-BE49-F238E27FC236}">
              <a16:creationId xmlns:a16="http://schemas.microsoft.com/office/drawing/2014/main" xmlns="" id="{00000000-0008-0000-0600-0000A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1" name="Picture 680" descr="Documents icon">
          <a:extLst>
            <a:ext uri="{FF2B5EF4-FFF2-40B4-BE49-F238E27FC236}">
              <a16:creationId xmlns:a16="http://schemas.microsoft.com/office/drawing/2014/main" xmlns="" id="{00000000-0008-0000-0600-0000A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163</xdr:row>
      <xdr:rowOff>0</xdr:rowOff>
    </xdr:from>
    <xdr:ext cx="152400" cy="152400"/>
    <xdr:pic>
      <xdr:nvPicPr>
        <xdr:cNvPr id="682" name="Picture 681" descr="Documents icon">
          <a:extLst>
            <a:ext uri="{FF2B5EF4-FFF2-40B4-BE49-F238E27FC236}">
              <a16:creationId xmlns:a16="http://schemas.microsoft.com/office/drawing/2014/main" xmlns="" id="{00000000-0008-0000-0600-0000A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166</xdr:row>
      <xdr:rowOff>0</xdr:rowOff>
    </xdr:from>
    <xdr:ext cx="152400" cy="152400"/>
    <xdr:pic>
      <xdr:nvPicPr>
        <xdr:cNvPr id="683" name="Picture 682" descr="Documents icon">
          <a:extLst>
            <a:ext uri="{FF2B5EF4-FFF2-40B4-BE49-F238E27FC236}">
              <a16:creationId xmlns:a16="http://schemas.microsoft.com/office/drawing/2014/main" xmlns="" id="{00000000-0008-0000-0600-0000A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4" name="Picture 683" descr="Documents icon">
          <a:extLst>
            <a:ext uri="{FF2B5EF4-FFF2-40B4-BE49-F238E27FC236}">
              <a16:creationId xmlns:a16="http://schemas.microsoft.com/office/drawing/2014/main" xmlns="" id="{00000000-0008-0000-0600-0000A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169</xdr:row>
      <xdr:rowOff>0</xdr:rowOff>
    </xdr:from>
    <xdr:ext cx="152400" cy="152400"/>
    <xdr:pic>
      <xdr:nvPicPr>
        <xdr:cNvPr id="685" name="Picture 684" descr="Documents icon">
          <a:extLst>
            <a:ext uri="{FF2B5EF4-FFF2-40B4-BE49-F238E27FC236}">
              <a16:creationId xmlns:a16="http://schemas.microsoft.com/office/drawing/2014/main" xmlns="" id="{00000000-0008-0000-0600-0000A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172</xdr:row>
      <xdr:rowOff>0</xdr:rowOff>
    </xdr:from>
    <xdr:ext cx="152400" cy="152400"/>
    <xdr:pic>
      <xdr:nvPicPr>
        <xdr:cNvPr id="686" name="Picture 685" descr="Documents icon">
          <a:extLst>
            <a:ext uri="{FF2B5EF4-FFF2-40B4-BE49-F238E27FC236}">
              <a16:creationId xmlns:a16="http://schemas.microsoft.com/office/drawing/2014/main" xmlns="" id="{00000000-0008-0000-0600-0000A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7" name="Picture 686" descr="Documents icon">
          <a:extLst>
            <a:ext uri="{FF2B5EF4-FFF2-40B4-BE49-F238E27FC236}">
              <a16:creationId xmlns:a16="http://schemas.microsoft.com/office/drawing/2014/main" xmlns="" id="{00000000-0008-0000-0600-0000A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175</xdr:row>
      <xdr:rowOff>0</xdr:rowOff>
    </xdr:from>
    <xdr:ext cx="152400" cy="152400"/>
    <xdr:pic>
      <xdr:nvPicPr>
        <xdr:cNvPr id="688" name="Picture 687" descr="Documents icon">
          <a:extLst>
            <a:ext uri="{FF2B5EF4-FFF2-40B4-BE49-F238E27FC236}">
              <a16:creationId xmlns:a16="http://schemas.microsoft.com/office/drawing/2014/main" xmlns="" id="{00000000-0008-0000-0600-0000B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178</xdr:row>
      <xdr:rowOff>0</xdr:rowOff>
    </xdr:from>
    <xdr:ext cx="152400" cy="152400"/>
    <xdr:pic>
      <xdr:nvPicPr>
        <xdr:cNvPr id="689" name="Picture 688" descr="Documents icon">
          <a:extLst>
            <a:ext uri="{FF2B5EF4-FFF2-40B4-BE49-F238E27FC236}">
              <a16:creationId xmlns:a16="http://schemas.microsoft.com/office/drawing/2014/main" xmlns="" id="{00000000-0008-0000-0600-0000B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0" name="Picture 689" descr="Documents icon">
          <a:extLst>
            <a:ext uri="{FF2B5EF4-FFF2-40B4-BE49-F238E27FC236}">
              <a16:creationId xmlns:a16="http://schemas.microsoft.com/office/drawing/2014/main" xmlns="" id="{00000000-0008-0000-0600-0000B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181</xdr:row>
      <xdr:rowOff>0</xdr:rowOff>
    </xdr:from>
    <xdr:ext cx="152400" cy="152400"/>
    <xdr:pic>
      <xdr:nvPicPr>
        <xdr:cNvPr id="691" name="Picture 690" descr="Documents icon">
          <a:extLst>
            <a:ext uri="{FF2B5EF4-FFF2-40B4-BE49-F238E27FC236}">
              <a16:creationId xmlns:a16="http://schemas.microsoft.com/office/drawing/2014/main" xmlns="" id="{00000000-0008-0000-0600-0000B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184</xdr:row>
      <xdr:rowOff>0</xdr:rowOff>
    </xdr:from>
    <xdr:ext cx="152400" cy="152400"/>
    <xdr:pic>
      <xdr:nvPicPr>
        <xdr:cNvPr id="692" name="Picture 691" descr="Documents icon">
          <a:extLst>
            <a:ext uri="{FF2B5EF4-FFF2-40B4-BE49-F238E27FC236}">
              <a16:creationId xmlns:a16="http://schemas.microsoft.com/office/drawing/2014/main" xmlns="" id="{00000000-0008-0000-0600-0000B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3" name="Picture 692" descr="Documents icon">
          <a:extLst>
            <a:ext uri="{FF2B5EF4-FFF2-40B4-BE49-F238E27FC236}">
              <a16:creationId xmlns:a16="http://schemas.microsoft.com/office/drawing/2014/main" xmlns="" id="{00000000-0008-0000-0600-0000B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187</xdr:row>
      <xdr:rowOff>0</xdr:rowOff>
    </xdr:from>
    <xdr:ext cx="152400" cy="152400"/>
    <xdr:pic>
      <xdr:nvPicPr>
        <xdr:cNvPr id="694" name="Picture 693" descr="Documents icon">
          <a:extLst>
            <a:ext uri="{FF2B5EF4-FFF2-40B4-BE49-F238E27FC236}">
              <a16:creationId xmlns:a16="http://schemas.microsoft.com/office/drawing/2014/main" xmlns="" id="{00000000-0008-0000-0600-0000B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190</xdr:row>
      <xdr:rowOff>0</xdr:rowOff>
    </xdr:from>
    <xdr:ext cx="152400" cy="152400"/>
    <xdr:pic>
      <xdr:nvPicPr>
        <xdr:cNvPr id="695" name="Picture 694" descr="Documents icon">
          <a:extLst>
            <a:ext uri="{FF2B5EF4-FFF2-40B4-BE49-F238E27FC236}">
              <a16:creationId xmlns:a16="http://schemas.microsoft.com/office/drawing/2014/main" xmlns="" id="{00000000-0008-0000-0600-0000B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6" name="Picture 695" descr="Documents icon">
          <a:extLst>
            <a:ext uri="{FF2B5EF4-FFF2-40B4-BE49-F238E27FC236}">
              <a16:creationId xmlns:a16="http://schemas.microsoft.com/office/drawing/2014/main" xmlns="" id="{00000000-0008-0000-0600-0000B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193</xdr:row>
      <xdr:rowOff>0</xdr:rowOff>
    </xdr:from>
    <xdr:ext cx="152400" cy="152400"/>
    <xdr:pic>
      <xdr:nvPicPr>
        <xdr:cNvPr id="697" name="Picture 696" descr="Documents icon">
          <a:extLst>
            <a:ext uri="{FF2B5EF4-FFF2-40B4-BE49-F238E27FC236}">
              <a16:creationId xmlns:a16="http://schemas.microsoft.com/office/drawing/2014/main" xmlns="" id="{00000000-0008-0000-0600-0000B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196</xdr:row>
      <xdr:rowOff>0</xdr:rowOff>
    </xdr:from>
    <xdr:ext cx="152400" cy="152400"/>
    <xdr:pic>
      <xdr:nvPicPr>
        <xdr:cNvPr id="698" name="Picture 697" descr="Documents icon">
          <a:extLst>
            <a:ext uri="{FF2B5EF4-FFF2-40B4-BE49-F238E27FC236}">
              <a16:creationId xmlns:a16="http://schemas.microsoft.com/office/drawing/2014/main" xmlns="" id="{00000000-0008-0000-0600-0000B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699" name="Picture 698" descr="Documents icon">
          <a:extLst>
            <a:ext uri="{FF2B5EF4-FFF2-40B4-BE49-F238E27FC236}">
              <a16:creationId xmlns:a16="http://schemas.microsoft.com/office/drawing/2014/main" xmlns="" id="{00000000-0008-0000-0600-0000B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199</xdr:row>
      <xdr:rowOff>0</xdr:rowOff>
    </xdr:from>
    <xdr:ext cx="152400" cy="152400"/>
    <xdr:pic>
      <xdr:nvPicPr>
        <xdr:cNvPr id="700" name="Picture 699" descr="Documents icon">
          <a:extLst>
            <a:ext uri="{FF2B5EF4-FFF2-40B4-BE49-F238E27FC236}">
              <a16:creationId xmlns:a16="http://schemas.microsoft.com/office/drawing/2014/main" xmlns="" id="{00000000-0008-0000-0600-0000B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202</xdr:row>
      <xdr:rowOff>0</xdr:rowOff>
    </xdr:from>
    <xdr:ext cx="152400" cy="152400"/>
    <xdr:pic>
      <xdr:nvPicPr>
        <xdr:cNvPr id="701" name="Picture 700" descr="Documents icon">
          <a:extLst>
            <a:ext uri="{FF2B5EF4-FFF2-40B4-BE49-F238E27FC236}">
              <a16:creationId xmlns:a16="http://schemas.microsoft.com/office/drawing/2014/main" xmlns="" id="{00000000-0008-0000-0600-0000B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2" name="Picture 701" descr="Documents icon">
          <a:extLst>
            <a:ext uri="{FF2B5EF4-FFF2-40B4-BE49-F238E27FC236}">
              <a16:creationId xmlns:a16="http://schemas.microsoft.com/office/drawing/2014/main" xmlns="" id="{00000000-0008-0000-0600-0000B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205</xdr:row>
      <xdr:rowOff>0</xdr:rowOff>
    </xdr:from>
    <xdr:ext cx="152400" cy="152400"/>
    <xdr:pic>
      <xdr:nvPicPr>
        <xdr:cNvPr id="703" name="Picture 702" descr="Documents icon">
          <a:extLst>
            <a:ext uri="{FF2B5EF4-FFF2-40B4-BE49-F238E27FC236}">
              <a16:creationId xmlns:a16="http://schemas.microsoft.com/office/drawing/2014/main" xmlns="" id="{00000000-0008-0000-0600-0000B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208</xdr:row>
      <xdr:rowOff>0</xdr:rowOff>
    </xdr:from>
    <xdr:ext cx="152400" cy="152400"/>
    <xdr:pic>
      <xdr:nvPicPr>
        <xdr:cNvPr id="704" name="Picture 703" descr="Documents icon">
          <a:extLst>
            <a:ext uri="{FF2B5EF4-FFF2-40B4-BE49-F238E27FC236}">
              <a16:creationId xmlns:a16="http://schemas.microsoft.com/office/drawing/2014/main" xmlns="" id="{00000000-0008-0000-0600-0000C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5" name="Picture 704" descr="Documents icon">
          <a:extLst>
            <a:ext uri="{FF2B5EF4-FFF2-40B4-BE49-F238E27FC236}">
              <a16:creationId xmlns:a16="http://schemas.microsoft.com/office/drawing/2014/main" xmlns="" id="{00000000-0008-0000-0600-0000C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211</xdr:row>
      <xdr:rowOff>0</xdr:rowOff>
    </xdr:from>
    <xdr:ext cx="152400" cy="152400"/>
    <xdr:pic>
      <xdr:nvPicPr>
        <xdr:cNvPr id="706" name="Picture 705" descr="Documents icon">
          <a:extLst>
            <a:ext uri="{FF2B5EF4-FFF2-40B4-BE49-F238E27FC236}">
              <a16:creationId xmlns:a16="http://schemas.microsoft.com/office/drawing/2014/main" xmlns="" id="{00000000-0008-0000-0600-0000C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214</xdr:row>
      <xdr:rowOff>0</xdr:rowOff>
    </xdr:from>
    <xdr:ext cx="152400" cy="152400"/>
    <xdr:pic>
      <xdr:nvPicPr>
        <xdr:cNvPr id="707" name="Picture 706" descr="Documents icon">
          <a:extLst>
            <a:ext uri="{FF2B5EF4-FFF2-40B4-BE49-F238E27FC236}">
              <a16:creationId xmlns:a16="http://schemas.microsoft.com/office/drawing/2014/main" xmlns="" id="{00000000-0008-0000-0600-0000C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8" name="Picture 707" descr="Documents icon">
          <a:extLst>
            <a:ext uri="{FF2B5EF4-FFF2-40B4-BE49-F238E27FC236}">
              <a16:creationId xmlns:a16="http://schemas.microsoft.com/office/drawing/2014/main" xmlns="" id="{00000000-0008-0000-0600-0000C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217</xdr:row>
      <xdr:rowOff>0</xdr:rowOff>
    </xdr:from>
    <xdr:ext cx="152400" cy="152400"/>
    <xdr:pic>
      <xdr:nvPicPr>
        <xdr:cNvPr id="709" name="Picture 708" descr="Documents icon">
          <a:extLst>
            <a:ext uri="{FF2B5EF4-FFF2-40B4-BE49-F238E27FC236}">
              <a16:creationId xmlns:a16="http://schemas.microsoft.com/office/drawing/2014/main" xmlns="" id="{00000000-0008-0000-0600-0000C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220</xdr:row>
      <xdr:rowOff>0</xdr:rowOff>
    </xdr:from>
    <xdr:ext cx="152400" cy="152400"/>
    <xdr:pic>
      <xdr:nvPicPr>
        <xdr:cNvPr id="710" name="Picture 709" descr="Documents icon">
          <a:extLst>
            <a:ext uri="{FF2B5EF4-FFF2-40B4-BE49-F238E27FC236}">
              <a16:creationId xmlns:a16="http://schemas.microsoft.com/office/drawing/2014/main" xmlns="" id="{00000000-0008-0000-0600-0000C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1" name="Picture 710" descr="Documents icon">
          <a:extLst>
            <a:ext uri="{FF2B5EF4-FFF2-40B4-BE49-F238E27FC236}">
              <a16:creationId xmlns:a16="http://schemas.microsoft.com/office/drawing/2014/main" xmlns="" id="{00000000-0008-0000-0600-0000C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223</xdr:row>
      <xdr:rowOff>0</xdr:rowOff>
    </xdr:from>
    <xdr:ext cx="152400" cy="152400"/>
    <xdr:pic>
      <xdr:nvPicPr>
        <xdr:cNvPr id="712" name="Picture 711" descr="Documents icon">
          <a:extLst>
            <a:ext uri="{FF2B5EF4-FFF2-40B4-BE49-F238E27FC236}">
              <a16:creationId xmlns:a16="http://schemas.microsoft.com/office/drawing/2014/main" xmlns="" id="{00000000-0008-0000-0600-0000C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226</xdr:row>
      <xdr:rowOff>0</xdr:rowOff>
    </xdr:from>
    <xdr:ext cx="152400" cy="152400"/>
    <xdr:pic>
      <xdr:nvPicPr>
        <xdr:cNvPr id="713" name="Picture 712" descr="Documents icon">
          <a:extLst>
            <a:ext uri="{FF2B5EF4-FFF2-40B4-BE49-F238E27FC236}">
              <a16:creationId xmlns:a16="http://schemas.microsoft.com/office/drawing/2014/main" xmlns="" id="{00000000-0008-0000-0600-0000C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4" name="Picture 713" descr="Documents icon">
          <a:extLst>
            <a:ext uri="{FF2B5EF4-FFF2-40B4-BE49-F238E27FC236}">
              <a16:creationId xmlns:a16="http://schemas.microsoft.com/office/drawing/2014/main" xmlns="" id="{00000000-0008-0000-0600-0000C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229</xdr:row>
      <xdr:rowOff>0</xdr:rowOff>
    </xdr:from>
    <xdr:ext cx="152400" cy="152400"/>
    <xdr:pic>
      <xdr:nvPicPr>
        <xdr:cNvPr id="715" name="Picture 714" descr="Documents icon">
          <a:extLst>
            <a:ext uri="{FF2B5EF4-FFF2-40B4-BE49-F238E27FC236}">
              <a16:creationId xmlns:a16="http://schemas.microsoft.com/office/drawing/2014/main" xmlns="" id="{00000000-0008-0000-0600-0000C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232</xdr:row>
      <xdr:rowOff>0</xdr:rowOff>
    </xdr:from>
    <xdr:ext cx="152400" cy="152400"/>
    <xdr:pic>
      <xdr:nvPicPr>
        <xdr:cNvPr id="716" name="Picture 715" descr="Documents icon">
          <a:extLst>
            <a:ext uri="{FF2B5EF4-FFF2-40B4-BE49-F238E27FC236}">
              <a16:creationId xmlns:a16="http://schemas.microsoft.com/office/drawing/2014/main" xmlns="" id="{00000000-0008-0000-0600-0000C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7" name="Picture 716" descr="Documents icon">
          <a:extLst>
            <a:ext uri="{FF2B5EF4-FFF2-40B4-BE49-F238E27FC236}">
              <a16:creationId xmlns:a16="http://schemas.microsoft.com/office/drawing/2014/main" xmlns="" id="{00000000-0008-0000-0600-0000C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235</xdr:row>
      <xdr:rowOff>0</xdr:rowOff>
    </xdr:from>
    <xdr:ext cx="152400" cy="152400"/>
    <xdr:pic>
      <xdr:nvPicPr>
        <xdr:cNvPr id="718" name="Picture 717" descr="Documents icon">
          <a:extLst>
            <a:ext uri="{FF2B5EF4-FFF2-40B4-BE49-F238E27FC236}">
              <a16:creationId xmlns:a16="http://schemas.microsoft.com/office/drawing/2014/main" xmlns="" id="{00000000-0008-0000-0600-0000C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238</xdr:row>
      <xdr:rowOff>0</xdr:rowOff>
    </xdr:from>
    <xdr:ext cx="152400" cy="152400"/>
    <xdr:pic>
      <xdr:nvPicPr>
        <xdr:cNvPr id="719" name="Picture 718" descr="Documents icon">
          <a:extLst>
            <a:ext uri="{FF2B5EF4-FFF2-40B4-BE49-F238E27FC236}">
              <a16:creationId xmlns:a16="http://schemas.microsoft.com/office/drawing/2014/main" xmlns="" id="{00000000-0008-0000-0600-0000C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0" name="Picture 719" descr="Documents icon">
          <a:extLst>
            <a:ext uri="{FF2B5EF4-FFF2-40B4-BE49-F238E27FC236}">
              <a16:creationId xmlns:a16="http://schemas.microsoft.com/office/drawing/2014/main" xmlns="" id="{00000000-0008-0000-0600-0000D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241</xdr:row>
      <xdr:rowOff>0</xdr:rowOff>
    </xdr:from>
    <xdr:ext cx="152400" cy="152400"/>
    <xdr:pic>
      <xdr:nvPicPr>
        <xdr:cNvPr id="721" name="Picture 720" descr="Documents icon">
          <a:extLst>
            <a:ext uri="{FF2B5EF4-FFF2-40B4-BE49-F238E27FC236}">
              <a16:creationId xmlns:a16="http://schemas.microsoft.com/office/drawing/2014/main" xmlns="" id="{00000000-0008-0000-0600-0000D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244</xdr:row>
      <xdr:rowOff>0</xdr:rowOff>
    </xdr:from>
    <xdr:ext cx="152400" cy="152400"/>
    <xdr:pic>
      <xdr:nvPicPr>
        <xdr:cNvPr id="722" name="Picture 721" descr="Documents icon">
          <a:extLst>
            <a:ext uri="{FF2B5EF4-FFF2-40B4-BE49-F238E27FC236}">
              <a16:creationId xmlns:a16="http://schemas.microsoft.com/office/drawing/2014/main" xmlns="" id="{00000000-0008-0000-0600-0000D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3" name="Picture 722" descr="Documents icon">
          <a:extLst>
            <a:ext uri="{FF2B5EF4-FFF2-40B4-BE49-F238E27FC236}">
              <a16:creationId xmlns:a16="http://schemas.microsoft.com/office/drawing/2014/main" xmlns="" id="{00000000-0008-0000-0600-0000D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247</xdr:row>
      <xdr:rowOff>0</xdr:rowOff>
    </xdr:from>
    <xdr:ext cx="152400" cy="152400"/>
    <xdr:pic>
      <xdr:nvPicPr>
        <xdr:cNvPr id="724" name="Picture 723" descr="Documents icon">
          <a:extLst>
            <a:ext uri="{FF2B5EF4-FFF2-40B4-BE49-F238E27FC236}">
              <a16:creationId xmlns:a16="http://schemas.microsoft.com/office/drawing/2014/main" xmlns="" id="{00000000-0008-0000-0600-0000D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250</xdr:row>
      <xdr:rowOff>0</xdr:rowOff>
    </xdr:from>
    <xdr:ext cx="152400" cy="152400"/>
    <xdr:pic>
      <xdr:nvPicPr>
        <xdr:cNvPr id="725" name="Picture 724" descr="Documents icon">
          <a:extLst>
            <a:ext uri="{FF2B5EF4-FFF2-40B4-BE49-F238E27FC236}">
              <a16:creationId xmlns:a16="http://schemas.microsoft.com/office/drawing/2014/main" xmlns="" id="{00000000-0008-0000-0600-0000D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6" name="Picture 725" descr="Documents icon">
          <a:extLst>
            <a:ext uri="{FF2B5EF4-FFF2-40B4-BE49-F238E27FC236}">
              <a16:creationId xmlns:a16="http://schemas.microsoft.com/office/drawing/2014/main" xmlns="" id="{00000000-0008-0000-0600-0000D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253</xdr:row>
      <xdr:rowOff>0</xdr:rowOff>
    </xdr:from>
    <xdr:ext cx="152400" cy="152400"/>
    <xdr:pic>
      <xdr:nvPicPr>
        <xdr:cNvPr id="727" name="Picture 726" descr="Documents icon">
          <a:extLst>
            <a:ext uri="{FF2B5EF4-FFF2-40B4-BE49-F238E27FC236}">
              <a16:creationId xmlns:a16="http://schemas.microsoft.com/office/drawing/2014/main" xmlns="" id="{00000000-0008-0000-0600-0000D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256</xdr:row>
      <xdr:rowOff>0</xdr:rowOff>
    </xdr:from>
    <xdr:ext cx="152400" cy="152400"/>
    <xdr:pic>
      <xdr:nvPicPr>
        <xdr:cNvPr id="728" name="Picture 727" descr="Documents icon">
          <a:extLst>
            <a:ext uri="{FF2B5EF4-FFF2-40B4-BE49-F238E27FC236}">
              <a16:creationId xmlns:a16="http://schemas.microsoft.com/office/drawing/2014/main" xmlns="" id="{00000000-0008-0000-0600-0000D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29" name="Picture 728" descr="Documents icon">
          <a:extLst>
            <a:ext uri="{FF2B5EF4-FFF2-40B4-BE49-F238E27FC236}">
              <a16:creationId xmlns:a16="http://schemas.microsoft.com/office/drawing/2014/main" xmlns="" id="{00000000-0008-0000-0600-0000D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259</xdr:row>
      <xdr:rowOff>0</xdr:rowOff>
    </xdr:from>
    <xdr:ext cx="152400" cy="152400"/>
    <xdr:pic>
      <xdr:nvPicPr>
        <xdr:cNvPr id="730" name="Picture 729" descr="Documents icon">
          <a:extLst>
            <a:ext uri="{FF2B5EF4-FFF2-40B4-BE49-F238E27FC236}">
              <a16:creationId xmlns:a16="http://schemas.microsoft.com/office/drawing/2014/main" xmlns="" id="{00000000-0008-0000-0600-0000D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262</xdr:row>
      <xdr:rowOff>0</xdr:rowOff>
    </xdr:from>
    <xdr:ext cx="152400" cy="152400"/>
    <xdr:pic>
      <xdr:nvPicPr>
        <xdr:cNvPr id="731" name="Picture 730" descr="Documents icon">
          <a:extLst>
            <a:ext uri="{FF2B5EF4-FFF2-40B4-BE49-F238E27FC236}">
              <a16:creationId xmlns:a16="http://schemas.microsoft.com/office/drawing/2014/main" xmlns="" id="{00000000-0008-0000-0600-0000D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2" name="Picture 731" descr="Documents icon">
          <a:extLst>
            <a:ext uri="{FF2B5EF4-FFF2-40B4-BE49-F238E27FC236}">
              <a16:creationId xmlns:a16="http://schemas.microsoft.com/office/drawing/2014/main" xmlns="" id="{00000000-0008-0000-0600-0000D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265</xdr:row>
      <xdr:rowOff>0</xdr:rowOff>
    </xdr:from>
    <xdr:ext cx="152400" cy="152400"/>
    <xdr:pic>
      <xdr:nvPicPr>
        <xdr:cNvPr id="733" name="Picture 732" descr="Documents icon">
          <a:extLst>
            <a:ext uri="{FF2B5EF4-FFF2-40B4-BE49-F238E27FC236}">
              <a16:creationId xmlns:a16="http://schemas.microsoft.com/office/drawing/2014/main" xmlns="" id="{00000000-0008-0000-0600-0000D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268</xdr:row>
      <xdr:rowOff>0</xdr:rowOff>
    </xdr:from>
    <xdr:ext cx="152400" cy="152400"/>
    <xdr:pic>
      <xdr:nvPicPr>
        <xdr:cNvPr id="734" name="Picture 733" descr="Documents icon">
          <a:extLst>
            <a:ext uri="{FF2B5EF4-FFF2-40B4-BE49-F238E27FC236}">
              <a16:creationId xmlns:a16="http://schemas.microsoft.com/office/drawing/2014/main" xmlns="" id="{00000000-0008-0000-0600-0000D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5" name="Picture 734" descr="Documents icon">
          <a:extLst>
            <a:ext uri="{FF2B5EF4-FFF2-40B4-BE49-F238E27FC236}">
              <a16:creationId xmlns:a16="http://schemas.microsoft.com/office/drawing/2014/main" xmlns="" id="{00000000-0008-0000-0600-0000D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271</xdr:row>
      <xdr:rowOff>0</xdr:rowOff>
    </xdr:from>
    <xdr:ext cx="152400" cy="152400"/>
    <xdr:pic>
      <xdr:nvPicPr>
        <xdr:cNvPr id="736" name="Picture 735" descr="Documents icon">
          <a:extLst>
            <a:ext uri="{FF2B5EF4-FFF2-40B4-BE49-F238E27FC236}">
              <a16:creationId xmlns:a16="http://schemas.microsoft.com/office/drawing/2014/main" xmlns="" id="{00000000-0008-0000-0600-0000E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274</xdr:row>
      <xdr:rowOff>0</xdr:rowOff>
    </xdr:from>
    <xdr:ext cx="152400" cy="152400"/>
    <xdr:pic>
      <xdr:nvPicPr>
        <xdr:cNvPr id="737" name="Picture 736" descr="Documents icon">
          <a:extLst>
            <a:ext uri="{FF2B5EF4-FFF2-40B4-BE49-F238E27FC236}">
              <a16:creationId xmlns:a16="http://schemas.microsoft.com/office/drawing/2014/main" xmlns="" id="{00000000-0008-0000-0600-0000E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8" name="Picture 737" descr="Documents icon">
          <a:extLst>
            <a:ext uri="{FF2B5EF4-FFF2-40B4-BE49-F238E27FC236}">
              <a16:creationId xmlns:a16="http://schemas.microsoft.com/office/drawing/2014/main" xmlns="" id="{00000000-0008-0000-0600-0000E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277</xdr:row>
      <xdr:rowOff>0</xdr:rowOff>
    </xdr:from>
    <xdr:ext cx="152400" cy="152400"/>
    <xdr:pic>
      <xdr:nvPicPr>
        <xdr:cNvPr id="739" name="Picture 738" descr="Documents icon">
          <a:extLst>
            <a:ext uri="{FF2B5EF4-FFF2-40B4-BE49-F238E27FC236}">
              <a16:creationId xmlns:a16="http://schemas.microsoft.com/office/drawing/2014/main" xmlns="" id="{00000000-0008-0000-0600-0000E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280</xdr:row>
      <xdr:rowOff>0</xdr:rowOff>
    </xdr:from>
    <xdr:ext cx="152400" cy="152400"/>
    <xdr:pic>
      <xdr:nvPicPr>
        <xdr:cNvPr id="740" name="Picture 739" descr="Documents icon">
          <a:extLst>
            <a:ext uri="{FF2B5EF4-FFF2-40B4-BE49-F238E27FC236}">
              <a16:creationId xmlns:a16="http://schemas.microsoft.com/office/drawing/2014/main" xmlns="" id="{00000000-0008-0000-0600-0000E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1" name="Picture 740" descr="Documents icon">
          <a:extLst>
            <a:ext uri="{FF2B5EF4-FFF2-40B4-BE49-F238E27FC236}">
              <a16:creationId xmlns:a16="http://schemas.microsoft.com/office/drawing/2014/main" xmlns="" id="{00000000-0008-0000-0600-0000E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283</xdr:row>
      <xdr:rowOff>0</xdr:rowOff>
    </xdr:from>
    <xdr:ext cx="152400" cy="152400"/>
    <xdr:pic>
      <xdr:nvPicPr>
        <xdr:cNvPr id="742" name="Picture 741" descr="Documents icon">
          <a:extLst>
            <a:ext uri="{FF2B5EF4-FFF2-40B4-BE49-F238E27FC236}">
              <a16:creationId xmlns:a16="http://schemas.microsoft.com/office/drawing/2014/main" xmlns="" id="{00000000-0008-0000-0600-0000E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286</xdr:row>
      <xdr:rowOff>0</xdr:rowOff>
    </xdr:from>
    <xdr:ext cx="152400" cy="152400"/>
    <xdr:pic>
      <xdr:nvPicPr>
        <xdr:cNvPr id="743" name="Picture 742" descr="Documents icon">
          <a:extLst>
            <a:ext uri="{FF2B5EF4-FFF2-40B4-BE49-F238E27FC236}">
              <a16:creationId xmlns:a16="http://schemas.microsoft.com/office/drawing/2014/main" xmlns="" id="{00000000-0008-0000-0600-0000E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4" name="Picture 743" descr="Documents icon">
          <a:extLst>
            <a:ext uri="{FF2B5EF4-FFF2-40B4-BE49-F238E27FC236}">
              <a16:creationId xmlns:a16="http://schemas.microsoft.com/office/drawing/2014/main" xmlns="" id="{00000000-0008-0000-0600-0000E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289</xdr:row>
      <xdr:rowOff>0</xdr:rowOff>
    </xdr:from>
    <xdr:ext cx="152400" cy="152400"/>
    <xdr:pic>
      <xdr:nvPicPr>
        <xdr:cNvPr id="745" name="Picture 744" descr="Documents icon">
          <a:extLst>
            <a:ext uri="{FF2B5EF4-FFF2-40B4-BE49-F238E27FC236}">
              <a16:creationId xmlns:a16="http://schemas.microsoft.com/office/drawing/2014/main" xmlns="" id="{00000000-0008-0000-0600-0000E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292</xdr:row>
      <xdr:rowOff>0</xdr:rowOff>
    </xdr:from>
    <xdr:ext cx="152400" cy="152400"/>
    <xdr:pic>
      <xdr:nvPicPr>
        <xdr:cNvPr id="746" name="Picture 745" descr="Documents icon">
          <a:extLst>
            <a:ext uri="{FF2B5EF4-FFF2-40B4-BE49-F238E27FC236}">
              <a16:creationId xmlns:a16="http://schemas.microsoft.com/office/drawing/2014/main" xmlns="" id="{00000000-0008-0000-0600-0000E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7" name="Picture 746" descr="Documents icon">
          <a:extLst>
            <a:ext uri="{FF2B5EF4-FFF2-40B4-BE49-F238E27FC236}">
              <a16:creationId xmlns:a16="http://schemas.microsoft.com/office/drawing/2014/main" xmlns="" id="{00000000-0008-0000-0600-0000E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295</xdr:row>
      <xdr:rowOff>0</xdr:rowOff>
    </xdr:from>
    <xdr:ext cx="152400" cy="152400"/>
    <xdr:pic>
      <xdr:nvPicPr>
        <xdr:cNvPr id="748" name="Picture 747" descr="Documents icon">
          <a:extLst>
            <a:ext uri="{FF2B5EF4-FFF2-40B4-BE49-F238E27FC236}">
              <a16:creationId xmlns:a16="http://schemas.microsoft.com/office/drawing/2014/main" xmlns="" id="{00000000-0008-0000-0600-0000E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298</xdr:row>
      <xdr:rowOff>0</xdr:rowOff>
    </xdr:from>
    <xdr:ext cx="152400" cy="152400"/>
    <xdr:pic>
      <xdr:nvPicPr>
        <xdr:cNvPr id="749" name="Picture 748" descr="Documents icon">
          <a:extLst>
            <a:ext uri="{FF2B5EF4-FFF2-40B4-BE49-F238E27FC236}">
              <a16:creationId xmlns:a16="http://schemas.microsoft.com/office/drawing/2014/main" xmlns="" id="{00000000-0008-0000-0600-0000E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0" name="Picture 749" descr="Documents icon">
          <a:extLst>
            <a:ext uri="{FF2B5EF4-FFF2-40B4-BE49-F238E27FC236}">
              <a16:creationId xmlns:a16="http://schemas.microsoft.com/office/drawing/2014/main" xmlns="" id="{00000000-0008-0000-0600-0000E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301</xdr:row>
      <xdr:rowOff>0</xdr:rowOff>
    </xdr:from>
    <xdr:ext cx="152400" cy="152400"/>
    <xdr:pic>
      <xdr:nvPicPr>
        <xdr:cNvPr id="751" name="Picture 750" descr="Documents icon">
          <a:extLst>
            <a:ext uri="{FF2B5EF4-FFF2-40B4-BE49-F238E27FC236}">
              <a16:creationId xmlns:a16="http://schemas.microsoft.com/office/drawing/2014/main" xmlns="" id="{00000000-0008-0000-0600-0000E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304</xdr:row>
      <xdr:rowOff>0</xdr:rowOff>
    </xdr:from>
    <xdr:ext cx="152400" cy="152400"/>
    <xdr:pic>
      <xdr:nvPicPr>
        <xdr:cNvPr id="752" name="Picture 751" descr="Documents icon">
          <a:extLst>
            <a:ext uri="{FF2B5EF4-FFF2-40B4-BE49-F238E27FC236}">
              <a16:creationId xmlns:a16="http://schemas.microsoft.com/office/drawing/2014/main" xmlns="" id="{00000000-0008-0000-0600-0000F0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3" name="Picture 752" descr="Documents icon">
          <a:extLst>
            <a:ext uri="{FF2B5EF4-FFF2-40B4-BE49-F238E27FC236}">
              <a16:creationId xmlns:a16="http://schemas.microsoft.com/office/drawing/2014/main" xmlns="" id="{00000000-0008-0000-0600-0000F1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307</xdr:row>
      <xdr:rowOff>0</xdr:rowOff>
    </xdr:from>
    <xdr:ext cx="152400" cy="152400"/>
    <xdr:pic>
      <xdr:nvPicPr>
        <xdr:cNvPr id="754" name="Picture 753" descr="Documents icon">
          <a:extLst>
            <a:ext uri="{FF2B5EF4-FFF2-40B4-BE49-F238E27FC236}">
              <a16:creationId xmlns:a16="http://schemas.microsoft.com/office/drawing/2014/main" xmlns="" id="{00000000-0008-0000-0600-0000F2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310</xdr:row>
      <xdr:rowOff>0</xdr:rowOff>
    </xdr:from>
    <xdr:ext cx="152400" cy="152400"/>
    <xdr:pic>
      <xdr:nvPicPr>
        <xdr:cNvPr id="755" name="Picture 754" descr="Documents icon">
          <a:extLst>
            <a:ext uri="{FF2B5EF4-FFF2-40B4-BE49-F238E27FC236}">
              <a16:creationId xmlns:a16="http://schemas.microsoft.com/office/drawing/2014/main" xmlns="" id="{00000000-0008-0000-0600-0000F3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6" name="Picture 755" descr="Documents icon">
          <a:extLst>
            <a:ext uri="{FF2B5EF4-FFF2-40B4-BE49-F238E27FC236}">
              <a16:creationId xmlns:a16="http://schemas.microsoft.com/office/drawing/2014/main" xmlns="" id="{00000000-0008-0000-0600-0000F4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313</xdr:row>
      <xdr:rowOff>0</xdr:rowOff>
    </xdr:from>
    <xdr:ext cx="152400" cy="152400"/>
    <xdr:pic>
      <xdr:nvPicPr>
        <xdr:cNvPr id="757" name="Picture 756" descr="Documents icon">
          <a:extLst>
            <a:ext uri="{FF2B5EF4-FFF2-40B4-BE49-F238E27FC236}">
              <a16:creationId xmlns:a16="http://schemas.microsoft.com/office/drawing/2014/main" xmlns="" id="{00000000-0008-0000-0600-0000F5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316</xdr:row>
      <xdr:rowOff>0</xdr:rowOff>
    </xdr:from>
    <xdr:ext cx="152400" cy="152400"/>
    <xdr:pic>
      <xdr:nvPicPr>
        <xdr:cNvPr id="758" name="Picture 757" descr="Documents icon">
          <a:extLst>
            <a:ext uri="{FF2B5EF4-FFF2-40B4-BE49-F238E27FC236}">
              <a16:creationId xmlns:a16="http://schemas.microsoft.com/office/drawing/2014/main" xmlns="" id="{00000000-0008-0000-0600-0000F6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59" name="Picture 758" descr="Documents icon">
          <a:extLst>
            <a:ext uri="{FF2B5EF4-FFF2-40B4-BE49-F238E27FC236}">
              <a16:creationId xmlns:a16="http://schemas.microsoft.com/office/drawing/2014/main" xmlns="" id="{00000000-0008-0000-0600-0000F7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319</xdr:row>
      <xdr:rowOff>0</xdr:rowOff>
    </xdr:from>
    <xdr:ext cx="152400" cy="152400"/>
    <xdr:pic>
      <xdr:nvPicPr>
        <xdr:cNvPr id="760" name="Picture 759" descr="Documents icon">
          <a:extLst>
            <a:ext uri="{FF2B5EF4-FFF2-40B4-BE49-F238E27FC236}">
              <a16:creationId xmlns:a16="http://schemas.microsoft.com/office/drawing/2014/main" xmlns="" id="{00000000-0008-0000-0600-0000F8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322</xdr:row>
      <xdr:rowOff>0</xdr:rowOff>
    </xdr:from>
    <xdr:ext cx="152400" cy="152400"/>
    <xdr:pic>
      <xdr:nvPicPr>
        <xdr:cNvPr id="761" name="Picture 760" descr="Documents icon">
          <a:extLst>
            <a:ext uri="{FF2B5EF4-FFF2-40B4-BE49-F238E27FC236}">
              <a16:creationId xmlns:a16="http://schemas.microsoft.com/office/drawing/2014/main" xmlns="" id="{00000000-0008-0000-0600-0000F9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2" name="Picture 761" descr="Documents icon">
          <a:extLst>
            <a:ext uri="{FF2B5EF4-FFF2-40B4-BE49-F238E27FC236}">
              <a16:creationId xmlns:a16="http://schemas.microsoft.com/office/drawing/2014/main" xmlns="" id="{00000000-0008-0000-0600-0000FA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325</xdr:row>
      <xdr:rowOff>0</xdr:rowOff>
    </xdr:from>
    <xdr:ext cx="152400" cy="152400"/>
    <xdr:pic>
      <xdr:nvPicPr>
        <xdr:cNvPr id="763" name="Picture 762" descr="Documents icon">
          <a:extLst>
            <a:ext uri="{FF2B5EF4-FFF2-40B4-BE49-F238E27FC236}">
              <a16:creationId xmlns:a16="http://schemas.microsoft.com/office/drawing/2014/main" xmlns="" id="{00000000-0008-0000-0600-0000FB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328</xdr:row>
      <xdr:rowOff>0</xdr:rowOff>
    </xdr:from>
    <xdr:ext cx="152400" cy="152400"/>
    <xdr:pic>
      <xdr:nvPicPr>
        <xdr:cNvPr id="764" name="Picture 763" descr="Documents icon">
          <a:extLst>
            <a:ext uri="{FF2B5EF4-FFF2-40B4-BE49-F238E27FC236}">
              <a16:creationId xmlns:a16="http://schemas.microsoft.com/office/drawing/2014/main" xmlns="" id="{00000000-0008-0000-0600-0000FC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5" name="Picture 764" descr="Documents icon">
          <a:extLst>
            <a:ext uri="{FF2B5EF4-FFF2-40B4-BE49-F238E27FC236}">
              <a16:creationId xmlns:a16="http://schemas.microsoft.com/office/drawing/2014/main" xmlns="" id="{00000000-0008-0000-0600-0000FD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331</xdr:row>
      <xdr:rowOff>0</xdr:rowOff>
    </xdr:from>
    <xdr:ext cx="152400" cy="152400"/>
    <xdr:pic>
      <xdr:nvPicPr>
        <xdr:cNvPr id="766" name="Picture 765" descr="Documents icon">
          <a:extLst>
            <a:ext uri="{FF2B5EF4-FFF2-40B4-BE49-F238E27FC236}">
              <a16:creationId xmlns:a16="http://schemas.microsoft.com/office/drawing/2014/main" xmlns="" id="{00000000-0008-0000-0600-0000FE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334</xdr:row>
      <xdr:rowOff>0</xdr:rowOff>
    </xdr:from>
    <xdr:ext cx="152400" cy="152400"/>
    <xdr:pic>
      <xdr:nvPicPr>
        <xdr:cNvPr id="767" name="Picture 766" descr="Documents icon">
          <a:extLst>
            <a:ext uri="{FF2B5EF4-FFF2-40B4-BE49-F238E27FC236}">
              <a16:creationId xmlns:a16="http://schemas.microsoft.com/office/drawing/2014/main" xmlns="" id="{00000000-0008-0000-0600-0000FF0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8" name="Picture 767" descr="Documents icon">
          <a:extLst>
            <a:ext uri="{FF2B5EF4-FFF2-40B4-BE49-F238E27FC236}">
              <a16:creationId xmlns:a16="http://schemas.microsoft.com/office/drawing/2014/main" xmlns="" id="{00000000-0008-0000-0600-00000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337</xdr:row>
      <xdr:rowOff>0</xdr:rowOff>
    </xdr:from>
    <xdr:ext cx="152400" cy="152400"/>
    <xdr:pic>
      <xdr:nvPicPr>
        <xdr:cNvPr id="769" name="Picture 768" descr="Documents icon">
          <a:extLst>
            <a:ext uri="{FF2B5EF4-FFF2-40B4-BE49-F238E27FC236}">
              <a16:creationId xmlns:a16="http://schemas.microsoft.com/office/drawing/2014/main" xmlns="" id="{00000000-0008-0000-0600-00000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340</xdr:row>
      <xdr:rowOff>0</xdr:rowOff>
    </xdr:from>
    <xdr:ext cx="152400" cy="152400"/>
    <xdr:pic>
      <xdr:nvPicPr>
        <xdr:cNvPr id="770" name="Picture 769" descr="Documents icon">
          <a:extLst>
            <a:ext uri="{FF2B5EF4-FFF2-40B4-BE49-F238E27FC236}">
              <a16:creationId xmlns:a16="http://schemas.microsoft.com/office/drawing/2014/main" xmlns="" id="{00000000-0008-0000-0600-00000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1" name="Picture 770" descr="Documents icon">
          <a:extLst>
            <a:ext uri="{FF2B5EF4-FFF2-40B4-BE49-F238E27FC236}">
              <a16:creationId xmlns:a16="http://schemas.microsoft.com/office/drawing/2014/main" xmlns="" id="{00000000-0008-0000-0600-00000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343</xdr:row>
      <xdr:rowOff>0</xdr:rowOff>
    </xdr:from>
    <xdr:ext cx="152400" cy="152400"/>
    <xdr:pic>
      <xdr:nvPicPr>
        <xdr:cNvPr id="772" name="Picture 771" descr="Documents icon">
          <a:extLst>
            <a:ext uri="{FF2B5EF4-FFF2-40B4-BE49-F238E27FC236}">
              <a16:creationId xmlns:a16="http://schemas.microsoft.com/office/drawing/2014/main" xmlns="" id="{00000000-0008-0000-0600-00000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346</xdr:row>
      <xdr:rowOff>0</xdr:rowOff>
    </xdr:from>
    <xdr:ext cx="152400" cy="152400"/>
    <xdr:pic>
      <xdr:nvPicPr>
        <xdr:cNvPr id="773" name="Picture 772" descr="Documents icon">
          <a:extLst>
            <a:ext uri="{FF2B5EF4-FFF2-40B4-BE49-F238E27FC236}">
              <a16:creationId xmlns:a16="http://schemas.microsoft.com/office/drawing/2014/main" xmlns="" id="{00000000-0008-0000-0600-00000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4" name="Picture 773" descr="Documents icon">
          <a:extLst>
            <a:ext uri="{FF2B5EF4-FFF2-40B4-BE49-F238E27FC236}">
              <a16:creationId xmlns:a16="http://schemas.microsoft.com/office/drawing/2014/main" xmlns="" id="{00000000-0008-0000-0600-00000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349</xdr:row>
      <xdr:rowOff>0</xdr:rowOff>
    </xdr:from>
    <xdr:ext cx="152400" cy="152400"/>
    <xdr:pic>
      <xdr:nvPicPr>
        <xdr:cNvPr id="775" name="Picture 774" descr="Documents icon">
          <a:extLst>
            <a:ext uri="{FF2B5EF4-FFF2-40B4-BE49-F238E27FC236}">
              <a16:creationId xmlns:a16="http://schemas.microsoft.com/office/drawing/2014/main" xmlns="" id="{00000000-0008-0000-0600-00000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352</xdr:row>
      <xdr:rowOff>0</xdr:rowOff>
    </xdr:from>
    <xdr:ext cx="152400" cy="152400"/>
    <xdr:pic>
      <xdr:nvPicPr>
        <xdr:cNvPr id="776" name="Picture 775" descr="Documents icon">
          <a:extLst>
            <a:ext uri="{FF2B5EF4-FFF2-40B4-BE49-F238E27FC236}">
              <a16:creationId xmlns:a16="http://schemas.microsoft.com/office/drawing/2014/main" xmlns="" id="{00000000-0008-0000-0600-00000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7" name="Picture 776" descr="Documents icon">
          <a:extLst>
            <a:ext uri="{FF2B5EF4-FFF2-40B4-BE49-F238E27FC236}">
              <a16:creationId xmlns:a16="http://schemas.microsoft.com/office/drawing/2014/main" xmlns="" id="{00000000-0008-0000-0600-00000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355</xdr:row>
      <xdr:rowOff>0</xdr:rowOff>
    </xdr:from>
    <xdr:ext cx="152400" cy="152400"/>
    <xdr:pic>
      <xdr:nvPicPr>
        <xdr:cNvPr id="778" name="Picture 777" descr="Documents icon">
          <a:extLst>
            <a:ext uri="{FF2B5EF4-FFF2-40B4-BE49-F238E27FC236}">
              <a16:creationId xmlns:a16="http://schemas.microsoft.com/office/drawing/2014/main" xmlns="" id="{00000000-0008-0000-0600-00000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358</xdr:row>
      <xdr:rowOff>0</xdr:rowOff>
    </xdr:from>
    <xdr:ext cx="152400" cy="152400"/>
    <xdr:pic>
      <xdr:nvPicPr>
        <xdr:cNvPr id="779" name="Picture 778" descr="Documents icon">
          <a:extLst>
            <a:ext uri="{FF2B5EF4-FFF2-40B4-BE49-F238E27FC236}">
              <a16:creationId xmlns:a16="http://schemas.microsoft.com/office/drawing/2014/main" xmlns="" id="{00000000-0008-0000-0600-00000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0" name="Picture 779" descr="Documents icon">
          <a:extLst>
            <a:ext uri="{FF2B5EF4-FFF2-40B4-BE49-F238E27FC236}">
              <a16:creationId xmlns:a16="http://schemas.microsoft.com/office/drawing/2014/main" xmlns="" id="{00000000-0008-0000-0600-00000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361</xdr:row>
      <xdr:rowOff>0</xdr:rowOff>
    </xdr:from>
    <xdr:ext cx="152400" cy="152400"/>
    <xdr:pic>
      <xdr:nvPicPr>
        <xdr:cNvPr id="781" name="Picture 780" descr="Documents icon">
          <a:extLst>
            <a:ext uri="{FF2B5EF4-FFF2-40B4-BE49-F238E27FC236}">
              <a16:creationId xmlns:a16="http://schemas.microsoft.com/office/drawing/2014/main" xmlns="" id="{00000000-0008-0000-0600-00000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364</xdr:row>
      <xdr:rowOff>0</xdr:rowOff>
    </xdr:from>
    <xdr:ext cx="152400" cy="152400"/>
    <xdr:pic>
      <xdr:nvPicPr>
        <xdr:cNvPr id="782" name="Picture 781" descr="Documents icon">
          <a:extLst>
            <a:ext uri="{FF2B5EF4-FFF2-40B4-BE49-F238E27FC236}">
              <a16:creationId xmlns:a16="http://schemas.microsoft.com/office/drawing/2014/main" xmlns="" id="{00000000-0008-0000-0600-00000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3" name="Picture 782" descr="Documents icon">
          <a:extLst>
            <a:ext uri="{FF2B5EF4-FFF2-40B4-BE49-F238E27FC236}">
              <a16:creationId xmlns:a16="http://schemas.microsoft.com/office/drawing/2014/main" xmlns="" id="{00000000-0008-0000-0600-00000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367</xdr:row>
      <xdr:rowOff>0</xdr:rowOff>
    </xdr:from>
    <xdr:ext cx="152400" cy="152400"/>
    <xdr:pic>
      <xdr:nvPicPr>
        <xdr:cNvPr id="784" name="Picture 783" descr="Documents icon">
          <a:extLst>
            <a:ext uri="{FF2B5EF4-FFF2-40B4-BE49-F238E27FC236}">
              <a16:creationId xmlns:a16="http://schemas.microsoft.com/office/drawing/2014/main" xmlns="" id="{00000000-0008-0000-0600-00001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370</xdr:row>
      <xdr:rowOff>0</xdr:rowOff>
    </xdr:from>
    <xdr:ext cx="152400" cy="152400"/>
    <xdr:pic>
      <xdr:nvPicPr>
        <xdr:cNvPr id="785" name="Picture 784" descr="Documents icon">
          <a:extLst>
            <a:ext uri="{FF2B5EF4-FFF2-40B4-BE49-F238E27FC236}">
              <a16:creationId xmlns:a16="http://schemas.microsoft.com/office/drawing/2014/main" xmlns="" id="{00000000-0008-0000-0600-00001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6" name="Picture 785" descr="Documents icon">
          <a:extLst>
            <a:ext uri="{FF2B5EF4-FFF2-40B4-BE49-F238E27FC236}">
              <a16:creationId xmlns:a16="http://schemas.microsoft.com/office/drawing/2014/main" xmlns="" id="{00000000-0008-0000-0600-00001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373</xdr:row>
      <xdr:rowOff>0</xdr:rowOff>
    </xdr:from>
    <xdr:ext cx="152400" cy="152400"/>
    <xdr:pic>
      <xdr:nvPicPr>
        <xdr:cNvPr id="787" name="Picture 786" descr="Documents icon">
          <a:extLst>
            <a:ext uri="{FF2B5EF4-FFF2-40B4-BE49-F238E27FC236}">
              <a16:creationId xmlns:a16="http://schemas.microsoft.com/office/drawing/2014/main" xmlns="" id="{00000000-0008-0000-0600-00001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376</xdr:row>
      <xdr:rowOff>0</xdr:rowOff>
    </xdr:from>
    <xdr:ext cx="152400" cy="152400"/>
    <xdr:pic>
      <xdr:nvPicPr>
        <xdr:cNvPr id="788" name="Picture 787" descr="Documents icon">
          <a:extLst>
            <a:ext uri="{FF2B5EF4-FFF2-40B4-BE49-F238E27FC236}">
              <a16:creationId xmlns:a16="http://schemas.microsoft.com/office/drawing/2014/main" xmlns="" id="{00000000-0008-0000-0600-00001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89" name="Picture 788" descr="Documents icon">
          <a:extLst>
            <a:ext uri="{FF2B5EF4-FFF2-40B4-BE49-F238E27FC236}">
              <a16:creationId xmlns:a16="http://schemas.microsoft.com/office/drawing/2014/main" xmlns="" id="{00000000-0008-0000-0600-00001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379</xdr:row>
      <xdr:rowOff>0</xdr:rowOff>
    </xdr:from>
    <xdr:ext cx="152400" cy="152400"/>
    <xdr:pic>
      <xdr:nvPicPr>
        <xdr:cNvPr id="790" name="Picture 789" descr="Documents icon">
          <a:extLst>
            <a:ext uri="{FF2B5EF4-FFF2-40B4-BE49-F238E27FC236}">
              <a16:creationId xmlns:a16="http://schemas.microsoft.com/office/drawing/2014/main" xmlns="" id="{00000000-0008-0000-0600-00001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382</xdr:row>
      <xdr:rowOff>0</xdr:rowOff>
    </xdr:from>
    <xdr:ext cx="152400" cy="152400"/>
    <xdr:pic>
      <xdr:nvPicPr>
        <xdr:cNvPr id="791" name="Picture 790" descr="Documents icon">
          <a:extLst>
            <a:ext uri="{FF2B5EF4-FFF2-40B4-BE49-F238E27FC236}">
              <a16:creationId xmlns:a16="http://schemas.microsoft.com/office/drawing/2014/main" xmlns="" id="{00000000-0008-0000-0600-00001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2" name="Picture 791" descr="Documents icon">
          <a:extLst>
            <a:ext uri="{FF2B5EF4-FFF2-40B4-BE49-F238E27FC236}">
              <a16:creationId xmlns:a16="http://schemas.microsoft.com/office/drawing/2014/main" xmlns="" id="{00000000-0008-0000-0600-00001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385</xdr:row>
      <xdr:rowOff>0</xdr:rowOff>
    </xdr:from>
    <xdr:ext cx="152400" cy="152400"/>
    <xdr:pic>
      <xdr:nvPicPr>
        <xdr:cNvPr id="793" name="Picture 792" descr="Documents icon">
          <a:extLst>
            <a:ext uri="{FF2B5EF4-FFF2-40B4-BE49-F238E27FC236}">
              <a16:creationId xmlns:a16="http://schemas.microsoft.com/office/drawing/2014/main" xmlns="" id="{00000000-0008-0000-0600-00001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388</xdr:row>
      <xdr:rowOff>0</xdr:rowOff>
    </xdr:from>
    <xdr:ext cx="152400" cy="152400"/>
    <xdr:pic>
      <xdr:nvPicPr>
        <xdr:cNvPr id="794" name="Picture 793" descr="Documents icon">
          <a:extLst>
            <a:ext uri="{FF2B5EF4-FFF2-40B4-BE49-F238E27FC236}">
              <a16:creationId xmlns:a16="http://schemas.microsoft.com/office/drawing/2014/main" xmlns="" id="{00000000-0008-0000-0600-00001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5" name="Picture 794" descr="Documents icon">
          <a:extLst>
            <a:ext uri="{FF2B5EF4-FFF2-40B4-BE49-F238E27FC236}">
              <a16:creationId xmlns:a16="http://schemas.microsoft.com/office/drawing/2014/main" xmlns="" id="{00000000-0008-0000-0600-00001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391</xdr:row>
      <xdr:rowOff>0</xdr:rowOff>
    </xdr:from>
    <xdr:ext cx="152400" cy="152400"/>
    <xdr:pic>
      <xdr:nvPicPr>
        <xdr:cNvPr id="796" name="Picture 795" descr="Documents icon">
          <a:extLst>
            <a:ext uri="{FF2B5EF4-FFF2-40B4-BE49-F238E27FC236}">
              <a16:creationId xmlns:a16="http://schemas.microsoft.com/office/drawing/2014/main" xmlns="" id="{00000000-0008-0000-0600-00001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394</xdr:row>
      <xdr:rowOff>0</xdr:rowOff>
    </xdr:from>
    <xdr:ext cx="152400" cy="152400"/>
    <xdr:pic>
      <xdr:nvPicPr>
        <xdr:cNvPr id="797" name="Picture 796" descr="Documents icon">
          <a:extLst>
            <a:ext uri="{FF2B5EF4-FFF2-40B4-BE49-F238E27FC236}">
              <a16:creationId xmlns:a16="http://schemas.microsoft.com/office/drawing/2014/main" xmlns="" id="{00000000-0008-0000-0600-00001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8" name="Picture 797" descr="Documents icon">
          <a:extLst>
            <a:ext uri="{FF2B5EF4-FFF2-40B4-BE49-F238E27FC236}">
              <a16:creationId xmlns:a16="http://schemas.microsoft.com/office/drawing/2014/main" xmlns="" id="{00000000-0008-0000-0600-00001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397</xdr:row>
      <xdr:rowOff>0</xdr:rowOff>
    </xdr:from>
    <xdr:ext cx="152400" cy="152400"/>
    <xdr:pic>
      <xdr:nvPicPr>
        <xdr:cNvPr id="799" name="Picture 798" descr="Documents icon">
          <a:extLst>
            <a:ext uri="{FF2B5EF4-FFF2-40B4-BE49-F238E27FC236}">
              <a16:creationId xmlns:a16="http://schemas.microsoft.com/office/drawing/2014/main" xmlns="" id="{00000000-0008-0000-0600-00001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400</xdr:row>
      <xdr:rowOff>0</xdr:rowOff>
    </xdr:from>
    <xdr:ext cx="152400" cy="152400"/>
    <xdr:pic>
      <xdr:nvPicPr>
        <xdr:cNvPr id="800" name="Picture 799" descr="Documents icon">
          <a:extLst>
            <a:ext uri="{FF2B5EF4-FFF2-40B4-BE49-F238E27FC236}">
              <a16:creationId xmlns:a16="http://schemas.microsoft.com/office/drawing/2014/main" xmlns="" id="{00000000-0008-0000-0600-00002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1" name="Picture 800" descr="Documents icon">
          <a:extLst>
            <a:ext uri="{FF2B5EF4-FFF2-40B4-BE49-F238E27FC236}">
              <a16:creationId xmlns:a16="http://schemas.microsoft.com/office/drawing/2014/main" xmlns="" id="{00000000-0008-0000-0600-00002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403</xdr:row>
      <xdr:rowOff>0</xdr:rowOff>
    </xdr:from>
    <xdr:ext cx="152400" cy="152400"/>
    <xdr:pic>
      <xdr:nvPicPr>
        <xdr:cNvPr id="802" name="Picture 801" descr="Documents icon">
          <a:extLst>
            <a:ext uri="{FF2B5EF4-FFF2-40B4-BE49-F238E27FC236}">
              <a16:creationId xmlns:a16="http://schemas.microsoft.com/office/drawing/2014/main" xmlns="" id="{00000000-0008-0000-0600-00002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406</xdr:row>
      <xdr:rowOff>0</xdr:rowOff>
    </xdr:from>
    <xdr:ext cx="152400" cy="152400"/>
    <xdr:pic>
      <xdr:nvPicPr>
        <xdr:cNvPr id="803" name="Picture 802" descr="Documents icon">
          <a:extLst>
            <a:ext uri="{FF2B5EF4-FFF2-40B4-BE49-F238E27FC236}">
              <a16:creationId xmlns:a16="http://schemas.microsoft.com/office/drawing/2014/main" xmlns="" id="{00000000-0008-0000-0600-00002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4" name="Picture 803" descr="Documents icon">
          <a:extLst>
            <a:ext uri="{FF2B5EF4-FFF2-40B4-BE49-F238E27FC236}">
              <a16:creationId xmlns:a16="http://schemas.microsoft.com/office/drawing/2014/main" xmlns="" id="{00000000-0008-0000-0600-00002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409</xdr:row>
      <xdr:rowOff>0</xdr:rowOff>
    </xdr:from>
    <xdr:ext cx="152400" cy="152400"/>
    <xdr:pic>
      <xdr:nvPicPr>
        <xdr:cNvPr id="805" name="Picture 804" descr="Documents icon">
          <a:extLst>
            <a:ext uri="{FF2B5EF4-FFF2-40B4-BE49-F238E27FC236}">
              <a16:creationId xmlns:a16="http://schemas.microsoft.com/office/drawing/2014/main" xmlns="" id="{00000000-0008-0000-0600-00002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412</xdr:row>
      <xdr:rowOff>0</xdr:rowOff>
    </xdr:from>
    <xdr:ext cx="152400" cy="152400"/>
    <xdr:pic>
      <xdr:nvPicPr>
        <xdr:cNvPr id="806" name="Picture 805" descr="Documents icon">
          <a:extLst>
            <a:ext uri="{FF2B5EF4-FFF2-40B4-BE49-F238E27FC236}">
              <a16:creationId xmlns:a16="http://schemas.microsoft.com/office/drawing/2014/main" xmlns="" id="{00000000-0008-0000-0600-00002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7" name="Picture 806" descr="Documents icon">
          <a:extLst>
            <a:ext uri="{FF2B5EF4-FFF2-40B4-BE49-F238E27FC236}">
              <a16:creationId xmlns:a16="http://schemas.microsoft.com/office/drawing/2014/main" xmlns="" id="{00000000-0008-0000-0600-00002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415</xdr:row>
      <xdr:rowOff>0</xdr:rowOff>
    </xdr:from>
    <xdr:ext cx="152400" cy="152400"/>
    <xdr:pic>
      <xdr:nvPicPr>
        <xdr:cNvPr id="808" name="Picture 807" descr="Documents icon">
          <a:extLst>
            <a:ext uri="{FF2B5EF4-FFF2-40B4-BE49-F238E27FC236}">
              <a16:creationId xmlns:a16="http://schemas.microsoft.com/office/drawing/2014/main" xmlns="" id="{00000000-0008-0000-0600-00002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418</xdr:row>
      <xdr:rowOff>0</xdr:rowOff>
    </xdr:from>
    <xdr:ext cx="152400" cy="152400"/>
    <xdr:pic>
      <xdr:nvPicPr>
        <xdr:cNvPr id="809" name="Picture 808" descr="Documents icon">
          <a:extLst>
            <a:ext uri="{FF2B5EF4-FFF2-40B4-BE49-F238E27FC236}">
              <a16:creationId xmlns:a16="http://schemas.microsoft.com/office/drawing/2014/main" xmlns="" id="{00000000-0008-0000-0600-00002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0" name="Picture 809" descr="Documents icon">
          <a:extLst>
            <a:ext uri="{FF2B5EF4-FFF2-40B4-BE49-F238E27FC236}">
              <a16:creationId xmlns:a16="http://schemas.microsoft.com/office/drawing/2014/main" xmlns="" id="{00000000-0008-0000-0600-00002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421</xdr:row>
      <xdr:rowOff>0</xdr:rowOff>
    </xdr:from>
    <xdr:ext cx="152400" cy="152400"/>
    <xdr:pic>
      <xdr:nvPicPr>
        <xdr:cNvPr id="811" name="Picture 810" descr="Documents icon">
          <a:extLst>
            <a:ext uri="{FF2B5EF4-FFF2-40B4-BE49-F238E27FC236}">
              <a16:creationId xmlns:a16="http://schemas.microsoft.com/office/drawing/2014/main" xmlns="" id="{00000000-0008-0000-0600-00002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424</xdr:row>
      <xdr:rowOff>0</xdr:rowOff>
    </xdr:from>
    <xdr:ext cx="152400" cy="152400"/>
    <xdr:pic>
      <xdr:nvPicPr>
        <xdr:cNvPr id="812" name="Picture 811" descr="Documents icon">
          <a:extLst>
            <a:ext uri="{FF2B5EF4-FFF2-40B4-BE49-F238E27FC236}">
              <a16:creationId xmlns:a16="http://schemas.microsoft.com/office/drawing/2014/main" xmlns="" id="{00000000-0008-0000-0600-00002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3" name="Picture 812" descr="Documents icon">
          <a:extLst>
            <a:ext uri="{FF2B5EF4-FFF2-40B4-BE49-F238E27FC236}">
              <a16:creationId xmlns:a16="http://schemas.microsoft.com/office/drawing/2014/main" xmlns="" id="{00000000-0008-0000-0600-00002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427</xdr:row>
      <xdr:rowOff>0</xdr:rowOff>
    </xdr:from>
    <xdr:ext cx="152400" cy="152400"/>
    <xdr:pic>
      <xdr:nvPicPr>
        <xdr:cNvPr id="814" name="Picture 813" descr="Documents icon">
          <a:extLst>
            <a:ext uri="{FF2B5EF4-FFF2-40B4-BE49-F238E27FC236}">
              <a16:creationId xmlns:a16="http://schemas.microsoft.com/office/drawing/2014/main" xmlns="" id="{00000000-0008-0000-0600-00002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430</xdr:row>
      <xdr:rowOff>0</xdr:rowOff>
    </xdr:from>
    <xdr:ext cx="152400" cy="152400"/>
    <xdr:pic>
      <xdr:nvPicPr>
        <xdr:cNvPr id="815" name="Picture 814" descr="Documents icon">
          <a:extLst>
            <a:ext uri="{FF2B5EF4-FFF2-40B4-BE49-F238E27FC236}">
              <a16:creationId xmlns:a16="http://schemas.microsoft.com/office/drawing/2014/main" xmlns="" id="{00000000-0008-0000-0600-00002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6" name="Picture 815" descr="Documents icon">
          <a:extLst>
            <a:ext uri="{FF2B5EF4-FFF2-40B4-BE49-F238E27FC236}">
              <a16:creationId xmlns:a16="http://schemas.microsoft.com/office/drawing/2014/main" xmlns="" id="{00000000-0008-0000-0600-00003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433</xdr:row>
      <xdr:rowOff>0</xdr:rowOff>
    </xdr:from>
    <xdr:ext cx="152400" cy="152400"/>
    <xdr:pic>
      <xdr:nvPicPr>
        <xdr:cNvPr id="817" name="Picture 816" descr="Documents icon">
          <a:extLst>
            <a:ext uri="{FF2B5EF4-FFF2-40B4-BE49-F238E27FC236}">
              <a16:creationId xmlns:a16="http://schemas.microsoft.com/office/drawing/2014/main" xmlns="" id="{00000000-0008-0000-0600-00003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436</xdr:row>
      <xdr:rowOff>0</xdr:rowOff>
    </xdr:from>
    <xdr:ext cx="152400" cy="152400"/>
    <xdr:pic>
      <xdr:nvPicPr>
        <xdr:cNvPr id="818" name="Picture 817" descr="Documents icon">
          <a:extLst>
            <a:ext uri="{FF2B5EF4-FFF2-40B4-BE49-F238E27FC236}">
              <a16:creationId xmlns:a16="http://schemas.microsoft.com/office/drawing/2014/main" xmlns="" id="{00000000-0008-0000-0600-00003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19" name="Picture 818" descr="Documents icon">
          <a:extLst>
            <a:ext uri="{FF2B5EF4-FFF2-40B4-BE49-F238E27FC236}">
              <a16:creationId xmlns:a16="http://schemas.microsoft.com/office/drawing/2014/main" xmlns="" id="{00000000-0008-0000-0600-00003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439</xdr:row>
      <xdr:rowOff>0</xdr:rowOff>
    </xdr:from>
    <xdr:ext cx="152400" cy="152400"/>
    <xdr:pic>
      <xdr:nvPicPr>
        <xdr:cNvPr id="820" name="Picture 819" descr="Documents icon">
          <a:extLst>
            <a:ext uri="{FF2B5EF4-FFF2-40B4-BE49-F238E27FC236}">
              <a16:creationId xmlns:a16="http://schemas.microsoft.com/office/drawing/2014/main" xmlns="" id="{00000000-0008-0000-0600-00003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442</xdr:row>
      <xdr:rowOff>0</xdr:rowOff>
    </xdr:from>
    <xdr:ext cx="152400" cy="152400"/>
    <xdr:pic>
      <xdr:nvPicPr>
        <xdr:cNvPr id="821" name="Picture 820" descr="Documents icon">
          <a:extLst>
            <a:ext uri="{FF2B5EF4-FFF2-40B4-BE49-F238E27FC236}">
              <a16:creationId xmlns:a16="http://schemas.microsoft.com/office/drawing/2014/main" xmlns="" id="{00000000-0008-0000-0600-00003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2" name="Picture 821" descr="Documents icon">
          <a:extLst>
            <a:ext uri="{FF2B5EF4-FFF2-40B4-BE49-F238E27FC236}">
              <a16:creationId xmlns:a16="http://schemas.microsoft.com/office/drawing/2014/main" xmlns="" id="{00000000-0008-0000-0600-00003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445</xdr:row>
      <xdr:rowOff>0</xdr:rowOff>
    </xdr:from>
    <xdr:ext cx="152400" cy="152400"/>
    <xdr:pic>
      <xdr:nvPicPr>
        <xdr:cNvPr id="823" name="Picture 822" descr="Documents icon">
          <a:extLst>
            <a:ext uri="{FF2B5EF4-FFF2-40B4-BE49-F238E27FC236}">
              <a16:creationId xmlns:a16="http://schemas.microsoft.com/office/drawing/2014/main" xmlns="" id="{00000000-0008-0000-0600-00003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448</xdr:row>
      <xdr:rowOff>0</xdr:rowOff>
    </xdr:from>
    <xdr:ext cx="152400" cy="152400"/>
    <xdr:pic>
      <xdr:nvPicPr>
        <xdr:cNvPr id="824" name="Picture 823" descr="Documents icon">
          <a:extLst>
            <a:ext uri="{FF2B5EF4-FFF2-40B4-BE49-F238E27FC236}">
              <a16:creationId xmlns:a16="http://schemas.microsoft.com/office/drawing/2014/main" xmlns="" id="{00000000-0008-0000-0600-00003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5" name="Picture 824" descr="Documents icon">
          <a:extLst>
            <a:ext uri="{FF2B5EF4-FFF2-40B4-BE49-F238E27FC236}">
              <a16:creationId xmlns:a16="http://schemas.microsoft.com/office/drawing/2014/main" xmlns="" id="{00000000-0008-0000-0600-00003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451</xdr:row>
      <xdr:rowOff>0</xdr:rowOff>
    </xdr:from>
    <xdr:ext cx="152400" cy="152400"/>
    <xdr:pic>
      <xdr:nvPicPr>
        <xdr:cNvPr id="826" name="Picture 825" descr="Documents icon">
          <a:extLst>
            <a:ext uri="{FF2B5EF4-FFF2-40B4-BE49-F238E27FC236}">
              <a16:creationId xmlns:a16="http://schemas.microsoft.com/office/drawing/2014/main" xmlns="" id="{00000000-0008-0000-0600-00003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454</xdr:row>
      <xdr:rowOff>0</xdr:rowOff>
    </xdr:from>
    <xdr:ext cx="152400" cy="152400"/>
    <xdr:pic>
      <xdr:nvPicPr>
        <xdr:cNvPr id="827" name="Picture 826" descr="Documents icon">
          <a:extLst>
            <a:ext uri="{FF2B5EF4-FFF2-40B4-BE49-F238E27FC236}">
              <a16:creationId xmlns:a16="http://schemas.microsoft.com/office/drawing/2014/main" xmlns="" id="{00000000-0008-0000-0600-00003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8" name="Picture 827" descr="Documents icon">
          <a:extLst>
            <a:ext uri="{FF2B5EF4-FFF2-40B4-BE49-F238E27FC236}">
              <a16:creationId xmlns:a16="http://schemas.microsoft.com/office/drawing/2014/main" xmlns="" id="{00000000-0008-0000-0600-00003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457</xdr:row>
      <xdr:rowOff>0</xdr:rowOff>
    </xdr:from>
    <xdr:ext cx="152400" cy="152400"/>
    <xdr:pic>
      <xdr:nvPicPr>
        <xdr:cNvPr id="829" name="Picture 828" descr="Documents icon">
          <a:extLst>
            <a:ext uri="{FF2B5EF4-FFF2-40B4-BE49-F238E27FC236}">
              <a16:creationId xmlns:a16="http://schemas.microsoft.com/office/drawing/2014/main" xmlns="" id="{00000000-0008-0000-0600-00003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460</xdr:row>
      <xdr:rowOff>0</xdr:rowOff>
    </xdr:from>
    <xdr:ext cx="152400" cy="152400"/>
    <xdr:pic>
      <xdr:nvPicPr>
        <xdr:cNvPr id="830" name="Picture 829" descr="Documents icon">
          <a:extLst>
            <a:ext uri="{FF2B5EF4-FFF2-40B4-BE49-F238E27FC236}">
              <a16:creationId xmlns:a16="http://schemas.microsoft.com/office/drawing/2014/main" xmlns="" id="{00000000-0008-0000-0600-00003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1" name="Picture 830" descr="Documents icon">
          <a:extLst>
            <a:ext uri="{FF2B5EF4-FFF2-40B4-BE49-F238E27FC236}">
              <a16:creationId xmlns:a16="http://schemas.microsoft.com/office/drawing/2014/main" xmlns="" id="{00000000-0008-0000-0600-00003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463</xdr:row>
      <xdr:rowOff>0</xdr:rowOff>
    </xdr:from>
    <xdr:ext cx="152400" cy="152400"/>
    <xdr:pic>
      <xdr:nvPicPr>
        <xdr:cNvPr id="832" name="Picture 831" descr="Documents icon">
          <a:extLst>
            <a:ext uri="{FF2B5EF4-FFF2-40B4-BE49-F238E27FC236}">
              <a16:creationId xmlns:a16="http://schemas.microsoft.com/office/drawing/2014/main" xmlns="" id="{00000000-0008-0000-0600-00004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466</xdr:row>
      <xdr:rowOff>0</xdr:rowOff>
    </xdr:from>
    <xdr:ext cx="152400" cy="152400"/>
    <xdr:pic>
      <xdr:nvPicPr>
        <xdr:cNvPr id="833" name="Picture 832" descr="Documents icon">
          <a:extLst>
            <a:ext uri="{FF2B5EF4-FFF2-40B4-BE49-F238E27FC236}">
              <a16:creationId xmlns:a16="http://schemas.microsoft.com/office/drawing/2014/main" xmlns="" id="{00000000-0008-0000-0600-00004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4" name="Picture 833" descr="Documents icon">
          <a:extLst>
            <a:ext uri="{FF2B5EF4-FFF2-40B4-BE49-F238E27FC236}">
              <a16:creationId xmlns:a16="http://schemas.microsoft.com/office/drawing/2014/main" xmlns="" id="{00000000-0008-0000-0600-00004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469</xdr:row>
      <xdr:rowOff>0</xdr:rowOff>
    </xdr:from>
    <xdr:ext cx="152400" cy="152400"/>
    <xdr:pic>
      <xdr:nvPicPr>
        <xdr:cNvPr id="835" name="Picture 834" descr="Documents icon">
          <a:extLst>
            <a:ext uri="{FF2B5EF4-FFF2-40B4-BE49-F238E27FC236}">
              <a16:creationId xmlns:a16="http://schemas.microsoft.com/office/drawing/2014/main" xmlns="" id="{00000000-0008-0000-0600-00004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472</xdr:row>
      <xdr:rowOff>0</xdr:rowOff>
    </xdr:from>
    <xdr:ext cx="152400" cy="152400"/>
    <xdr:pic>
      <xdr:nvPicPr>
        <xdr:cNvPr id="836" name="Picture 835" descr="Documents icon">
          <a:extLst>
            <a:ext uri="{FF2B5EF4-FFF2-40B4-BE49-F238E27FC236}">
              <a16:creationId xmlns:a16="http://schemas.microsoft.com/office/drawing/2014/main" xmlns="" id="{00000000-0008-0000-0600-00004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7" name="Picture 836" descr="Documents icon">
          <a:extLst>
            <a:ext uri="{FF2B5EF4-FFF2-40B4-BE49-F238E27FC236}">
              <a16:creationId xmlns:a16="http://schemas.microsoft.com/office/drawing/2014/main" xmlns="" id="{00000000-0008-0000-0600-00004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475</xdr:row>
      <xdr:rowOff>0</xdr:rowOff>
    </xdr:from>
    <xdr:ext cx="152400" cy="152400"/>
    <xdr:pic>
      <xdr:nvPicPr>
        <xdr:cNvPr id="838" name="Picture 837" descr="Documents icon">
          <a:extLst>
            <a:ext uri="{FF2B5EF4-FFF2-40B4-BE49-F238E27FC236}">
              <a16:creationId xmlns:a16="http://schemas.microsoft.com/office/drawing/2014/main" xmlns="" id="{00000000-0008-0000-0600-00004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478</xdr:row>
      <xdr:rowOff>0</xdr:rowOff>
    </xdr:from>
    <xdr:ext cx="152400" cy="152400"/>
    <xdr:pic>
      <xdr:nvPicPr>
        <xdr:cNvPr id="839" name="Picture 838" descr="Documents icon">
          <a:extLst>
            <a:ext uri="{FF2B5EF4-FFF2-40B4-BE49-F238E27FC236}">
              <a16:creationId xmlns:a16="http://schemas.microsoft.com/office/drawing/2014/main" xmlns="" id="{00000000-0008-0000-0600-00004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0" name="Picture 839" descr="Documents icon">
          <a:extLst>
            <a:ext uri="{FF2B5EF4-FFF2-40B4-BE49-F238E27FC236}">
              <a16:creationId xmlns:a16="http://schemas.microsoft.com/office/drawing/2014/main" xmlns="" id="{00000000-0008-0000-0600-00004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481</xdr:row>
      <xdr:rowOff>0</xdr:rowOff>
    </xdr:from>
    <xdr:ext cx="152400" cy="152400"/>
    <xdr:pic>
      <xdr:nvPicPr>
        <xdr:cNvPr id="841" name="Picture 840" descr="Documents icon">
          <a:extLst>
            <a:ext uri="{FF2B5EF4-FFF2-40B4-BE49-F238E27FC236}">
              <a16:creationId xmlns:a16="http://schemas.microsoft.com/office/drawing/2014/main" xmlns="" id="{00000000-0008-0000-0600-00004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484</xdr:row>
      <xdr:rowOff>0</xdr:rowOff>
    </xdr:from>
    <xdr:ext cx="152400" cy="152400"/>
    <xdr:pic>
      <xdr:nvPicPr>
        <xdr:cNvPr id="842" name="Picture 841" descr="Documents icon">
          <a:extLst>
            <a:ext uri="{FF2B5EF4-FFF2-40B4-BE49-F238E27FC236}">
              <a16:creationId xmlns:a16="http://schemas.microsoft.com/office/drawing/2014/main" xmlns="" id="{00000000-0008-0000-0600-00004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3" name="Picture 842" descr="Documents icon">
          <a:extLst>
            <a:ext uri="{FF2B5EF4-FFF2-40B4-BE49-F238E27FC236}">
              <a16:creationId xmlns:a16="http://schemas.microsoft.com/office/drawing/2014/main" xmlns="" id="{00000000-0008-0000-0600-00004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487</xdr:row>
      <xdr:rowOff>0</xdr:rowOff>
    </xdr:from>
    <xdr:ext cx="152400" cy="152400"/>
    <xdr:pic>
      <xdr:nvPicPr>
        <xdr:cNvPr id="844" name="Picture 843" descr="Documents icon">
          <a:extLst>
            <a:ext uri="{FF2B5EF4-FFF2-40B4-BE49-F238E27FC236}">
              <a16:creationId xmlns:a16="http://schemas.microsoft.com/office/drawing/2014/main" xmlns="" id="{00000000-0008-0000-0600-00004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490</xdr:row>
      <xdr:rowOff>0</xdr:rowOff>
    </xdr:from>
    <xdr:ext cx="152400" cy="152400"/>
    <xdr:pic>
      <xdr:nvPicPr>
        <xdr:cNvPr id="845" name="Picture 844" descr="Documents icon">
          <a:extLst>
            <a:ext uri="{FF2B5EF4-FFF2-40B4-BE49-F238E27FC236}">
              <a16:creationId xmlns:a16="http://schemas.microsoft.com/office/drawing/2014/main" xmlns="" id="{00000000-0008-0000-0600-00004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6" name="Picture 845" descr="Documents icon">
          <a:extLst>
            <a:ext uri="{FF2B5EF4-FFF2-40B4-BE49-F238E27FC236}">
              <a16:creationId xmlns:a16="http://schemas.microsoft.com/office/drawing/2014/main" xmlns="" id="{00000000-0008-0000-0600-00004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493</xdr:row>
      <xdr:rowOff>0</xdr:rowOff>
    </xdr:from>
    <xdr:ext cx="152400" cy="152400"/>
    <xdr:pic>
      <xdr:nvPicPr>
        <xdr:cNvPr id="847" name="Picture 846" descr="Documents icon">
          <a:extLst>
            <a:ext uri="{FF2B5EF4-FFF2-40B4-BE49-F238E27FC236}">
              <a16:creationId xmlns:a16="http://schemas.microsoft.com/office/drawing/2014/main" xmlns="" id="{00000000-0008-0000-0600-00004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496</xdr:row>
      <xdr:rowOff>0</xdr:rowOff>
    </xdr:from>
    <xdr:ext cx="152400" cy="152400"/>
    <xdr:pic>
      <xdr:nvPicPr>
        <xdr:cNvPr id="848" name="Picture 847" descr="Documents icon">
          <a:extLst>
            <a:ext uri="{FF2B5EF4-FFF2-40B4-BE49-F238E27FC236}">
              <a16:creationId xmlns:a16="http://schemas.microsoft.com/office/drawing/2014/main" xmlns="" id="{00000000-0008-0000-0600-00005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49" name="Picture 848" descr="Documents icon">
          <a:extLst>
            <a:ext uri="{FF2B5EF4-FFF2-40B4-BE49-F238E27FC236}">
              <a16:creationId xmlns:a16="http://schemas.microsoft.com/office/drawing/2014/main" xmlns="" id="{00000000-0008-0000-0600-00005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499</xdr:row>
      <xdr:rowOff>0</xdr:rowOff>
    </xdr:from>
    <xdr:ext cx="152400" cy="152400"/>
    <xdr:pic>
      <xdr:nvPicPr>
        <xdr:cNvPr id="850" name="Picture 849" descr="Documents icon">
          <a:extLst>
            <a:ext uri="{FF2B5EF4-FFF2-40B4-BE49-F238E27FC236}">
              <a16:creationId xmlns:a16="http://schemas.microsoft.com/office/drawing/2014/main" xmlns="" id="{00000000-0008-0000-0600-00005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502</xdr:row>
      <xdr:rowOff>0</xdr:rowOff>
    </xdr:from>
    <xdr:ext cx="152400" cy="152400"/>
    <xdr:pic>
      <xdr:nvPicPr>
        <xdr:cNvPr id="851" name="Picture 850" descr="Documents icon">
          <a:extLst>
            <a:ext uri="{FF2B5EF4-FFF2-40B4-BE49-F238E27FC236}">
              <a16:creationId xmlns:a16="http://schemas.microsoft.com/office/drawing/2014/main" xmlns="" id="{00000000-0008-0000-0600-00005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2" name="Picture 851" descr="Documents icon">
          <a:extLst>
            <a:ext uri="{FF2B5EF4-FFF2-40B4-BE49-F238E27FC236}">
              <a16:creationId xmlns:a16="http://schemas.microsoft.com/office/drawing/2014/main" xmlns="" id="{00000000-0008-0000-0600-00005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505</xdr:row>
      <xdr:rowOff>0</xdr:rowOff>
    </xdr:from>
    <xdr:ext cx="152400" cy="152400"/>
    <xdr:pic>
      <xdr:nvPicPr>
        <xdr:cNvPr id="853" name="Picture 852" descr="Documents icon">
          <a:extLst>
            <a:ext uri="{FF2B5EF4-FFF2-40B4-BE49-F238E27FC236}">
              <a16:creationId xmlns:a16="http://schemas.microsoft.com/office/drawing/2014/main" xmlns="" id="{00000000-0008-0000-0600-00005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508</xdr:row>
      <xdr:rowOff>0</xdr:rowOff>
    </xdr:from>
    <xdr:ext cx="152400" cy="152400"/>
    <xdr:pic>
      <xdr:nvPicPr>
        <xdr:cNvPr id="854" name="Picture 853" descr="Documents icon">
          <a:extLst>
            <a:ext uri="{FF2B5EF4-FFF2-40B4-BE49-F238E27FC236}">
              <a16:creationId xmlns:a16="http://schemas.microsoft.com/office/drawing/2014/main" xmlns="" id="{00000000-0008-0000-0600-00005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5" name="Picture 854" descr="Documents icon">
          <a:extLst>
            <a:ext uri="{FF2B5EF4-FFF2-40B4-BE49-F238E27FC236}">
              <a16:creationId xmlns:a16="http://schemas.microsoft.com/office/drawing/2014/main" xmlns="" id="{00000000-0008-0000-0600-00005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511</xdr:row>
      <xdr:rowOff>0</xdr:rowOff>
    </xdr:from>
    <xdr:ext cx="152400" cy="152400"/>
    <xdr:pic>
      <xdr:nvPicPr>
        <xdr:cNvPr id="856" name="Picture 855" descr="Documents icon">
          <a:extLst>
            <a:ext uri="{FF2B5EF4-FFF2-40B4-BE49-F238E27FC236}">
              <a16:creationId xmlns:a16="http://schemas.microsoft.com/office/drawing/2014/main" xmlns="" id="{00000000-0008-0000-0600-00005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514</xdr:row>
      <xdr:rowOff>0</xdr:rowOff>
    </xdr:from>
    <xdr:ext cx="152400" cy="152400"/>
    <xdr:pic>
      <xdr:nvPicPr>
        <xdr:cNvPr id="857" name="Picture 856" descr="Documents icon">
          <a:extLst>
            <a:ext uri="{FF2B5EF4-FFF2-40B4-BE49-F238E27FC236}">
              <a16:creationId xmlns:a16="http://schemas.microsoft.com/office/drawing/2014/main" xmlns="" id="{00000000-0008-0000-0600-00005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8" name="Picture 857" descr="Documents icon">
          <a:extLst>
            <a:ext uri="{FF2B5EF4-FFF2-40B4-BE49-F238E27FC236}">
              <a16:creationId xmlns:a16="http://schemas.microsoft.com/office/drawing/2014/main" xmlns="" id="{00000000-0008-0000-0600-00005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517</xdr:row>
      <xdr:rowOff>0</xdr:rowOff>
    </xdr:from>
    <xdr:ext cx="152400" cy="152400"/>
    <xdr:pic>
      <xdr:nvPicPr>
        <xdr:cNvPr id="859" name="Picture 858" descr="Documents icon">
          <a:extLst>
            <a:ext uri="{FF2B5EF4-FFF2-40B4-BE49-F238E27FC236}">
              <a16:creationId xmlns:a16="http://schemas.microsoft.com/office/drawing/2014/main" xmlns="" id="{00000000-0008-0000-0600-00005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520</xdr:row>
      <xdr:rowOff>0</xdr:rowOff>
    </xdr:from>
    <xdr:ext cx="152400" cy="152400"/>
    <xdr:pic>
      <xdr:nvPicPr>
        <xdr:cNvPr id="860" name="Picture 859" descr="Documents icon">
          <a:extLst>
            <a:ext uri="{FF2B5EF4-FFF2-40B4-BE49-F238E27FC236}">
              <a16:creationId xmlns:a16="http://schemas.microsoft.com/office/drawing/2014/main" xmlns="" id="{00000000-0008-0000-0600-00005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1" name="Picture 860" descr="Documents icon">
          <a:extLst>
            <a:ext uri="{FF2B5EF4-FFF2-40B4-BE49-F238E27FC236}">
              <a16:creationId xmlns:a16="http://schemas.microsoft.com/office/drawing/2014/main" xmlns="" id="{00000000-0008-0000-0600-00005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523</xdr:row>
      <xdr:rowOff>0</xdr:rowOff>
    </xdr:from>
    <xdr:ext cx="152400" cy="152400"/>
    <xdr:pic>
      <xdr:nvPicPr>
        <xdr:cNvPr id="862" name="Picture 861" descr="Documents icon">
          <a:extLst>
            <a:ext uri="{FF2B5EF4-FFF2-40B4-BE49-F238E27FC236}">
              <a16:creationId xmlns:a16="http://schemas.microsoft.com/office/drawing/2014/main" xmlns="" id="{00000000-0008-0000-0600-00005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526</xdr:row>
      <xdr:rowOff>0</xdr:rowOff>
    </xdr:from>
    <xdr:ext cx="152400" cy="152400"/>
    <xdr:pic>
      <xdr:nvPicPr>
        <xdr:cNvPr id="863" name="Picture 862" descr="Documents icon">
          <a:extLst>
            <a:ext uri="{FF2B5EF4-FFF2-40B4-BE49-F238E27FC236}">
              <a16:creationId xmlns:a16="http://schemas.microsoft.com/office/drawing/2014/main" xmlns="" id="{00000000-0008-0000-0600-00005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4" name="Picture 863" descr="Documents icon">
          <a:extLst>
            <a:ext uri="{FF2B5EF4-FFF2-40B4-BE49-F238E27FC236}">
              <a16:creationId xmlns:a16="http://schemas.microsoft.com/office/drawing/2014/main" xmlns="" id="{00000000-0008-0000-0600-00006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529</xdr:row>
      <xdr:rowOff>0</xdr:rowOff>
    </xdr:from>
    <xdr:ext cx="152400" cy="152400"/>
    <xdr:pic>
      <xdr:nvPicPr>
        <xdr:cNvPr id="865" name="Picture 864" descr="Documents icon">
          <a:extLst>
            <a:ext uri="{FF2B5EF4-FFF2-40B4-BE49-F238E27FC236}">
              <a16:creationId xmlns:a16="http://schemas.microsoft.com/office/drawing/2014/main" xmlns="" id="{00000000-0008-0000-0600-00006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532</xdr:row>
      <xdr:rowOff>0</xdr:rowOff>
    </xdr:from>
    <xdr:ext cx="152400" cy="152400"/>
    <xdr:pic>
      <xdr:nvPicPr>
        <xdr:cNvPr id="866" name="Picture 865" descr="Documents icon">
          <a:extLst>
            <a:ext uri="{FF2B5EF4-FFF2-40B4-BE49-F238E27FC236}">
              <a16:creationId xmlns:a16="http://schemas.microsoft.com/office/drawing/2014/main" xmlns="" id="{00000000-0008-0000-0600-00006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7" name="Picture 866" descr="Documents icon">
          <a:extLst>
            <a:ext uri="{FF2B5EF4-FFF2-40B4-BE49-F238E27FC236}">
              <a16:creationId xmlns:a16="http://schemas.microsoft.com/office/drawing/2014/main" xmlns="" id="{00000000-0008-0000-0600-00006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535</xdr:row>
      <xdr:rowOff>0</xdr:rowOff>
    </xdr:from>
    <xdr:ext cx="152400" cy="152400"/>
    <xdr:pic>
      <xdr:nvPicPr>
        <xdr:cNvPr id="868" name="Picture 867" descr="Documents icon">
          <a:extLst>
            <a:ext uri="{FF2B5EF4-FFF2-40B4-BE49-F238E27FC236}">
              <a16:creationId xmlns:a16="http://schemas.microsoft.com/office/drawing/2014/main" xmlns="" id="{00000000-0008-0000-0600-00006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538</xdr:row>
      <xdr:rowOff>0</xdr:rowOff>
    </xdr:from>
    <xdr:ext cx="152400" cy="152400"/>
    <xdr:pic>
      <xdr:nvPicPr>
        <xdr:cNvPr id="869" name="Picture 868" descr="Documents icon">
          <a:extLst>
            <a:ext uri="{FF2B5EF4-FFF2-40B4-BE49-F238E27FC236}">
              <a16:creationId xmlns:a16="http://schemas.microsoft.com/office/drawing/2014/main" xmlns="" id="{00000000-0008-0000-0600-00006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0" name="Picture 869" descr="Documents icon">
          <a:extLst>
            <a:ext uri="{FF2B5EF4-FFF2-40B4-BE49-F238E27FC236}">
              <a16:creationId xmlns:a16="http://schemas.microsoft.com/office/drawing/2014/main" xmlns="" id="{00000000-0008-0000-0600-00006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541</xdr:row>
      <xdr:rowOff>0</xdr:rowOff>
    </xdr:from>
    <xdr:ext cx="152400" cy="152400"/>
    <xdr:pic>
      <xdr:nvPicPr>
        <xdr:cNvPr id="871" name="Picture 870" descr="Documents icon">
          <a:extLst>
            <a:ext uri="{FF2B5EF4-FFF2-40B4-BE49-F238E27FC236}">
              <a16:creationId xmlns:a16="http://schemas.microsoft.com/office/drawing/2014/main" xmlns="" id="{00000000-0008-0000-0600-00006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544</xdr:row>
      <xdr:rowOff>0</xdr:rowOff>
    </xdr:from>
    <xdr:ext cx="152400" cy="152400"/>
    <xdr:pic>
      <xdr:nvPicPr>
        <xdr:cNvPr id="872" name="Picture 871" descr="Documents icon">
          <a:extLst>
            <a:ext uri="{FF2B5EF4-FFF2-40B4-BE49-F238E27FC236}">
              <a16:creationId xmlns:a16="http://schemas.microsoft.com/office/drawing/2014/main" xmlns="" id="{00000000-0008-0000-0600-00006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3" name="Picture 872" descr="Documents icon">
          <a:extLst>
            <a:ext uri="{FF2B5EF4-FFF2-40B4-BE49-F238E27FC236}">
              <a16:creationId xmlns:a16="http://schemas.microsoft.com/office/drawing/2014/main" xmlns="" id="{00000000-0008-0000-0600-00006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547</xdr:row>
      <xdr:rowOff>0</xdr:rowOff>
    </xdr:from>
    <xdr:ext cx="152400" cy="152400"/>
    <xdr:pic>
      <xdr:nvPicPr>
        <xdr:cNvPr id="874" name="Picture 873" descr="Documents icon">
          <a:extLst>
            <a:ext uri="{FF2B5EF4-FFF2-40B4-BE49-F238E27FC236}">
              <a16:creationId xmlns:a16="http://schemas.microsoft.com/office/drawing/2014/main" xmlns="" id="{00000000-0008-0000-0600-00006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550</xdr:row>
      <xdr:rowOff>0</xdr:rowOff>
    </xdr:from>
    <xdr:ext cx="152400" cy="152400"/>
    <xdr:pic>
      <xdr:nvPicPr>
        <xdr:cNvPr id="875" name="Picture 874" descr="Documents icon">
          <a:extLst>
            <a:ext uri="{FF2B5EF4-FFF2-40B4-BE49-F238E27FC236}">
              <a16:creationId xmlns:a16="http://schemas.microsoft.com/office/drawing/2014/main" xmlns="" id="{00000000-0008-0000-0600-00006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6" name="Picture 875" descr="Documents icon">
          <a:extLst>
            <a:ext uri="{FF2B5EF4-FFF2-40B4-BE49-F238E27FC236}">
              <a16:creationId xmlns:a16="http://schemas.microsoft.com/office/drawing/2014/main" xmlns="" id="{00000000-0008-0000-0600-00006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553</xdr:row>
      <xdr:rowOff>0</xdr:rowOff>
    </xdr:from>
    <xdr:ext cx="152400" cy="152400"/>
    <xdr:pic>
      <xdr:nvPicPr>
        <xdr:cNvPr id="877" name="Picture 876" descr="Documents icon">
          <a:extLst>
            <a:ext uri="{FF2B5EF4-FFF2-40B4-BE49-F238E27FC236}">
              <a16:creationId xmlns:a16="http://schemas.microsoft.com/office/drawing/2014/main" xmlns="" id="{00000000-0008-0000-0600-00006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556</xdr:row>
      <xdr:rowOff>0</xdr:rowOff>
    </xdr:from>
    <xdr:ext cx="152400" cy="152400"/>
    <xdr:pic>
      <xdr:nvPicPr>
        <xdr:cNvPr id="878" name="Picture 877" descr="Documents icon">
          <a:extLst>
            <a:ext uri="{FF2B5EF4-FFF2-40B4-BE49-F238E27FC236}">
              <a16:creationId xmlns:a16="http://schemas.microsoft.com/office/drawing/2014/main" xmlns="" id="{00000000-0008-0000-0600-00006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79" name="Picture 878" descr="Documents icon">
          <a:extLst>
            <a:ext uri="{FF2B5EF4-FFF2-40B4-BE49-F238E27FC236}">
              <a16:creationId xmlns:a16="http://schemas.microsoft.com/office/drawing/2014/main" xmlns="" id="{00000000-0008-0000-0600-00006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559</xdr:row>
      <xdr:rowOff>0</xdr:rowOff>
    </xdr:from>
    <xdr:ext cx="152400" cy="152400"/>
    <xdr:pic>
      <xdr:nvPicPr>
        <xdr:cNvPr id="880" name="Picture 879" descr="Documents icon">
          <a:extLst>
            <a:ext uri="{FF2B5EF4-FFF2-40B4-BE49-F238E27FC236}">
              <a16:creationId xmlns:a16="http://schemas.microsoft.com/office/drawing/2014/main" xmlns="" id="{00000000-0008-0000-0600-00007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562</xdr:row>
      <xdr:rowOff>0</xdr:rowOff>
    </xdr:from>
    <xdr:ext cx="152400" cy="152400"/>
    <xdr:pic>
      <xdr:nvPicPr>
        <xdr:cNvPr id="881" name="Picture 880" descr="Documents icon">
          <a:extLst>
            <a:ext uri="{FF2B5EF4-FFF2-40B4-BE49-F238E27FC236}">
              <a16:creationId xmlns:a16="http://schemas.microsoft.com/office/drawing/2014/main" xmlns="" id="{00000000-0008-0000-0600-00007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2" name="Picture 881" descr="Documents icon">
          <a:extLst>
            <a:ext uri="{FF2B5EF4-FFF2-40B4-BE49-F238E27FC236}">
              <a16:creationId xmlns:a16="http://schemas.microsoft.com/office/drawing/2014/main" xmlns="" id="{00000000-0008-0000-0600-00007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565</xdr:row>
      <xdr:rowOff>0</xdr:rowOff>
    </xdr:from>
    <xdr:ext cx="152400" cy="152400"/>
    <xdr:pic>
      <xdr:nvPicPr>
        <xdr:cNvPr id="883" name="Picture 882" descr="Documents icon">
          <a:extLst>
            <a:ext uri="{FF2B5EF4-FFF2-40B4-BE49-F238E27FC236}">
              <a16:creationId xmlns:a16="http://schemas.microsoft.com/office/drawing/2014/main" xmlns="" id="{00000000-0008-0000-0600-00007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568</xdr:row>
      <xdr:rowOff>0</xdr:rowOff>
    </xdr:from>
    <xdr:ext cx="152400" cy="152400"/>
    <xdr:pic>
      <xdr:nvPicPr>
        <xdr:cNvPr id="884" name="Picture 883" descr="Documents icon">
          <a:extLst>
            <a:ext uri="{FF2B5EF4-FFF2-40B4-BE49-F238E27FC236}">
              <a16:creationId xmlns:a16="http://schemas.microsoft.com/office/drawing/2014/main" xmlns="" id="{00000000-0008-0000-0600-00007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5" name="Picture 884" descr="Documents icon">
          <a:extLst>
            <a:ext uri="{FF2B5EF4-FFF2-40B4-BE49-F238E27FC236}">
              <a16:creationId xmlns:a16="http://schemas.microsoft.com/office/drawing/2014/main" xmlns="" id="{00000000-0008-0000-0600-00007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571</xdr:row>
      <xdr:rowOff>0</xdr:rowOff>
    </xdr:from>
    <xdr:ext cx="152400" cy="152400"/>
    <xdr:pic>
      <xdr:nvPicPr>
        <xdr:cNvPr id="886" name="Picture 885" descr="Documents icon">
          <a:extLst>
            <a:ext uri="{FF2B5EF4-FFF2-40B4-BE49-F238E27FC236}">
              <a16:creationId xmlns:a16="http://schemas.microsoft.com/office/drawing/2014/main" xmlns="" id="{00000000-0008-0000-0600-00007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574</xdr:row>
      <xdr:rowOff>0</xdr:rowOff>
    </xdr:from>
    <xdr:ext cx="152400" cy="152400"/>
    <xdr:pic>
      <xdr:nvPicPr>
        <xdr:cNvPr id="887" name="Picture 886" descr="Documents icon">
          <a:extLst>
            <a:ext uri="{FF2B5EF4-FFF2-40B4-BE49-F238E27FC236}">
              <a16:creationId xmlns:a16="http://schemas.microsoft.com/office/drawing/2014/main" xmlns="" id="{00000000-0008-0000-0600-00007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8" name="Picture 887" descr="Documents icon">
          <a:extLst>
            <a:ext uri="{FF2B5EF4-FFF2-40B4-BE49-F238E27FC236}">
              <a16:creationId xmlns:a16="http://schemas.microsoft.com/office/drawing/2014/main" xmlns="" id="{00000000-0008-0000-0600-00007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577</xdr:row>
      <xdr:rowOff>0</xdr:rowOff>
    </xdr:from>
    <xdr:ext cx="152400" cy="152400"/>
    <xdr:pic>
      <xdr:nvPicPr>
        <xdr:cNvPr id="889" name="Picture 888" descr="Documents icon">
          <a:extLst>
            <a:ext uri="{FF2B5EF4-FFF2-40B4-BE49-F238E27FC236}">
              <a16:creationId xmlns:a16="http://schemas.microsoft.com/office/drawing/2014/main" xmlns="" id="{00000000-0008-0000-0600-00007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580</xdr:row>
      <xdr:rowOff>0</xdr:rowOff>
    </xdr:from>
    <xdr:ext cx="152400" cy="152400"/>
    <xdr:pic>
      <xdr:nvPicPr>
        <xdr:cNvPr id="890" name="Picture 889" descr="Documents icon">
          <a:extLst>
            <a:ext uri="{FF2B5EF4-FFF2-40B4-BE49-F238E27FC236}">
              <a16:creationId xmlns:a16="http://schemas.microsoft.com/office/drawing/2014/main" xmlns="" id="{00000000-0008-0000-0600-00007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1" name="Picture 890" descr="Documents icon">
          <a:extLst>
            <a:ext uri="{FF2B5EF4-FFF2-40B4-BE49-F238E27FC236}">
              <a16:creationId xmlns:a16="http://schemas.microsoft.com/office/drawing/2014/main" xmlns="" id="{00000000-0008-0000-0600-00007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583</xdr:row>
      <xdr:rowOff>0</xdr:rowOff>
    </xdr:from>
    <xdr:ext cx="152400" cy="152400"/>
    <xdr:pic>
      <xdr:nvPicPr>
        <xdr:cNvPr id="892" name="Picture 891" descr="Documents icon">
          <a:extLst>
            <a:ext uri="{FF2B5EF4-FFF2-40B4-BE49-F238E27FC236}">
              <a16:creationId xmlns:a16="http://schemas.microsoft.com/office/drawing/2014/main" xmlns="" id="{00000000-0008-0000-0600-00007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586</xdr:row>
      <xdr:rowOff>0</xdr:rowOff>
    </xdr:from>
    <xdr:ext cx="152400" cy="152400"/>
    <xdr:pic>
      <xdr:nvPicPr>
        <xdr:cNvPr id="893" name="Picture 892" descr="Documents icon">
          <a:extLst>
            <a:ext uri="{FF2B5EF4-FFF2-40B4-BE49-F238E27FC236}">
              <a16:creationId xmlns:a16="http://schemas.microsoft.com/office/drawing/2014/main" xmlns="" id="{00000000-0008-0000-0600-00007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4" name="Picture 893" descr="Documents icon">
          <a:extLst>
            <a:ext uri="{FF2B5EF4-FFF2-40B4-BE49-F238E27FC236}">
              <a16:creationId xmlns:a16="http://schemas.microsoft.com/office/drawing/2014/main" xmlns="" id="{00000000-0008-0000-0600-00007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589</xdr:row>
      <xdr:rowOff>0</xdr:rowOff>
    </xdr:from>
    <xdr:ext cx="152400" cy="152400"/>
    <xdr:pic>
      <xdr:nvPicPr>
        <xdr:cNvPr id="895" name="Picture 894" descr="Documents icon">
          <a:extLst>
            <a:ext uri="{FF2B5EF4-FFF2-40B4-BE49-F238E27FC236}">
              <a16:creationId xmlns:a16="http://schemas.microsoft.com/office/drawing/2014/main" xmlns="" id="{00000000-0008-0000-0600-00007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592</xdr:row>
      <xdr:rowOff>0</xdr:rowOff>
    </xdr:from>
    <xdr:ext cx="152400" cy="152400"/>
    <xdr:pic>
      <xdr:nvPicPr>
        <xdr:cNvPr id="896" name="Picture 895" descr="Documents icon">
          <a:extLst>
            <a:ext uri="{FF2B5EF4-FFF2-40B4-BE49-F238E27FC236}">
              <a16:creationId xmlns:a16="http://schemas.microsoft.com/office/drawing/2014/main" xmlns="" id="{00000000-0008-0000-0600-00008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7" name="Picture 896" descr="Documents icon">
          <a:extLst>
            <a:ext uri="{FF2B5EF4-FFF2-40B4-BE49-F238E27FC236}">
              <a16:creationId xmlns:a16="http://schemas.microsoft.com/office/drawing/2014/main" xmlns="" id="{00000000-0008-0000-0600-00008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595</xdr:row>
      <xdr:rowOff>0</xdr:rowOff>
    </xdr:from>
    <xdr:ext cx="152400" cy="152400"/>
    <xdr:pic>
      <xdr:nvPicPr>
        <xdr:cNvPr id="898" name="Picture 897" descr="Documents icon">
          <a:extLst>
            <a:ext uri="{FF2B5EF4-FFF2-40B4-BE49-F238E27FC236}">
              <a16:creationId xmlns:a16="http://schemas.microsoft.com/office/drawing/2014/main" xmlns="" id="{00000000-0008-0000-0600-00008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598</xdr:row>
      <xdr:rowOff>0</xdr:rowOff>
    </xdr:from>
    <xdr:ext cx="152400" cy="152400"/>
    <xdr:pic>
      <xdr:nvPicPr>
        <xdr:cNvPr id="899" name="Picture 898" descr="Documents icon">
          <a:extLst>
            <a:ext uri="{FF2B5EF4-FFF2-40B4-BE49-F238E27FC236}">
              <a16:creationId xmlns:a16="http://schemas.microsoft.com/office/drawing/2014/main" xmlns="" id="{00000000-0008-0000-0600-00008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0" name="Picture 899" descr="Documents icon">
          <a:extLst>
            <a:ext uri="{FF2B5EF4-FFF2-40B4-BE49-F238E27FC236}">
              <a16:creationId xmlns:a16="http://schemas.microsoft.com/office/drawing/2014/main" xmlns="" id="{00000000-0008-0000-0600-00008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601</xdr:row>
      <xdr:rowOff>0</xdr:rowOff>
    </xdr:from>
    <xdr:ext cx="152400" cy="152400"/>
    <xdr:pic>
      <xdr:nvPicPr>
        <xdr:cNvPr id="901" name="Picture 900" descr="Documents icon">
          <a:extLst>
            <a:ext uri="{FF2B5EF4-FFF2-40B4-BE49-F238E27FC236}">
              <a16:creationId xmlns:a16="http://schemas.microsoft.com/office/drawing/2014/main" xmlns="" id="{00000000-0008-0000-0600-00008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604</xdr:row>
      <xdr:rowOff>0</xdr:rowOff>
    </xdr:from>
    <xdr:ext cx="152400" cy="152400"/>
    <xdr:pic>
      <xdr:nvPicPr>
        <xdr:cNvPr id="902" name="Picture 901" descr="Documents icon">
          <a:extLst>
            <a:ext uri="{FF2B5EF4-FFF2-40B4-BE49-F238E27FC236}">
              <a16:creationId xmlns:a16="http://schemas.microsoft.com/office/drawing/2014/main" xmlns="" id="{00000000-0008-0000-0600-00008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3" name="Picture 902" descr="Documents icon">
          <a:extLst>
            <a:ext uri="{FF2B5EF4-FFF2-40B4-BE49-F238E27FC236}">
              <a16:creationId xmlns:a16="http://schemas.microsoft.com/office/drawing/2014/main" xmlns="" id="{00000000-0008-0000-0600-00008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607</xdr:row>
      <xdr:rowOff>0</xdr:rowOff>
    </xdr:from>
    <xdr:ext cx="152400" cy="152400"/>
    <xdr:pic>
      <xdr:nvPicPr>
        <xdr:cNvPr id="904" name="Picture 903" descr="Documents icon">
          <a:extLst>
            <a:ext uri="{FF2B5EF4-FFF2-40B4-BE49-F238E27FC236}">
              <a16:creationId xmlns:a16="http://schemas.microsoft.com/office/drawing/2014/main" xmlns="" id="{00000000-0008-0000-0600-00008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610</xdr:row>
      <xdr:rowOff>0</xdr:rowOff>
    </xdr:from>
    <xdr:ext cx="152400" cy="152400"/>
    <xdr:pic>
      <xdr:nvPicPr>
        <xdr:cNvPr id="905" name="Picture 904" descr="Documents icon">
          <a:extLst>
            <a:ext uri="{FF2B5EF4-FFF2-40B4-BE49-F238E27FC236}">
              <a16:creationId xmlns:a16="http://schemas.microsoft.com/office/drawing/2014/main" xmlns="" id="{00000000-0008-0000-0600-00008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6" name="Picture 905" descr="Documents icon">
          <a:extLst>
            <a:ext uri="{FF2B5EF4-FFF2-40B4-BE49-F238E27FC236}">
              <a16:creationId xmlns:a16="http://schemas.microsoft.com/office/drawing/2014/main" xmlns="" id="{00000000-0008-0000-0600-00008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613</xdr:row>
      <xdr:rowOff>0</xdr:rowOff>
    </xdr:from>
    <xdr:ext cx="152400" cy="152400"/>
    <xdr:pic>
      <xdr:nvPicPr>
        <xdr:cNvPr id="907" name="Picture 906" descr="Documents icon">
          <a:extLst>
            <a:ext uri="{FF2B5EF4-FFF2-40B4-BE49-F238E27FC236}">
              <a16:creationId xmlns:a16="http://schemas.microsoft.com/office/drawing/2014/main" xmlns="" id="{00000000-0008-0000-0600-00008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616</xdr:row>
      <xdr:rowOff>0</xdr:rowOff>
    </xdr:from>
    <xdr:ext cx="152400" cy="152400"/>
    <xdr:pic>
      <xdr:nvPicPr>
        <xdr:cNvPr id="908" name="Picture 907" descr="Documents icon">
          <a:extLst>
            <a:ext uri="{FF2B5EF4-FFF2-40B4-BE49-F238E27FC236}">
              <a16:creationId xmlns:a16="http://schemas.microsoft.com/office/drawing/2014/main" xmlns="" id="{00000000-0008-0000-0600-00008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09" name="Picture 908" descr="Documents icon">
          <a:extLst>
            <a:ext uri="{FF2B5EF4-FFF2-40B4-BE49-F238E27FC236}">
              <a16:creationId xmlns:a16="http://schemas.microsoft.com/office/drawing/2014/main" xmlns="" id="{00000000-0008-0000-0600-00008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619</xdr:row>
      <xdr:rowOff>0</xdr:rowOff>
    </xdr:from>
    <xdr:ext cx="152400" cy="152400"/>
    <xdr:pic>
      <xdr:nvPicPr>
        <xdr:cNvPr id="910" name="Picture 909" descr="Documents icon">
          <a:extLst>
            <a:ext uri="{FF2B5EF4-FFF2-40B4-BE49-F238E27FC236}">
              <a16:creationId xmlns:a16="http://schemas.microsoft.com/office/drawing/2014/main" xmlns="" id="{00000000-0008-0000-0600-00008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622</xdr:row>
      <xdr:rowOff>0</xdr:rowOff>
    </xdr:from>
    <xdr:ext cx="152400" cy="152400"/>
    <xdr:pic>
      <xdr:nvPicPr>
        <xdr:cNvPr id="911" name="Picture 910" descr="Documents icon">
          <a:extLst>
            <a:ext uri="{FF2B5EF4-FFF2-40B4-BE49-F238E27FC236}">
              <a16:creationId xmlns:a16="http://schemas.microsoft.com/office/drawing/2014/main" xmlns="" id="{00000000-0008-0000-0600-00008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2" name="Picture 911" descr="Documents icon">
          <a:extLst>
            <a:ext uri="{FF2B5EF4-FFF2-40B4-BE49-F238E27FC236}">
              <a16:creationId xmlns:a16="http://schemas.microsoft.com/office/drawing/2014/main" xmlns="" id="{00000000-0008-0000-0600-00009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625</xdr:row>
      <xdr:rowOff>0</xdr:rowOff>
    </xdr:from>
    <xdr:ext cx="152400" cy="152400"/>
    <xdr:pic>
      <xdr:nvPicPr>
        <xdr:cNvPr id="913" name="Picture 912" descr="Documents icon">
          <a:extLst>
            <a:ext uri="{FF2B5EF4-FFF2-40B4-BE49-F238E27FC236}">
              <a16:creationId xmlns:a16="http://schemas.microsoft.com/office/drawing/2014/main" xmlns="" id="{00000000-0008-0000-0600-00009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628</xdr:row>
      <xdr:rowOff>0</xdr:rowOff>
    </xdr:from>
    <xdr:ext cx="152400" cy="152400"/>
    <xdr:pic>
      <xdr:nvPicPr>
        <xdr:cNvPr id="914" name="Picture 913" descr="Documents icon">
          <a:extLst>
            <a:ext uri="{FF2B5EF4-FFF2-40B4-BE49-F238E27FC236}">
              <a16:creationId xmlns:a16="http://schemas.microsoft.com/office/drawing/2014/main" xmlns="" id="{00000000-0008-0000-0600-00009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5" name="Picture 914" descr="Documents icon">
          <a:extLst>
            <a:ext uri="{FF2B5EF4-FFF2-40B4-BE49-F238E27FC236}">
              <a16:creationId xmlns:a16="http://schemas.microsoft.com/office/drawing/2014/main" xmlns="" id="{00000000-0008-0000-0600-00009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631</xdr:row>
      <xdr:rowOff>0</xdr:rowOff>
    </xdr:from>
    <xdr:ext cx="152400" cy="152400"/>
    <xdr:pic>
      <xdr:nvPicPr>
        <xdr:cNvPr id="916" name="Picture 915" descr="Documents icon">
          <a:extLst>
            <a:ext uri="{FF2B5EF4-FFF2-40B4-BE49-F238E27FC236}">
              <a16:creationId xmlns:a16="http://schemas.microsoft.com/office/drawing/2014/main" xmlns="" id="{00000000-0008-0000-0600-00009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634</xdr:row>
      <xdr:rowOff>0</xdr:rowOff>
    </xdr:from>
    <xdr:ext cx="152400" cy="152400"/>
    <xdr:pic>
      <xdr:nvPicPr>
        <xdr:cNvPr id="917" name="Picture 916" descr="Documents icon">
          <a:extLst>
            <a:ext uri="{FF2B5EF4-FFF2-40B4-BE49-F238E27FC236}">
              <a16:creationId xmlns:a16="http://schemas.microsoft.com/office/drawing/2014/main" xmlns="" id="{00000000-0008-0000-0600-00009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8" name="Picture 917" descr="Documents icon">
          <a:extLst>
            <a:ext uri="{FF2B5EF4-FFF2-40B4-BE49-F238E27FC236}">
              <a16:creationId xmlns:a16="http://schemas.microsoft.com/office/drawing/2014/main" xmlns="" id="{00000000-0008-0000-0600-00009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637</xdr:row>
      <xdr:rowOff>0</xdr:rowOff>
    </xdr:from>
    <xdr:ext cx="152400" cy="152400"/>
    <xdr:pic>
      <xdr:nvPicPr>
        <xdr:cNvPr id="919" name="Picture 918" descr="Documents icon">
          <a:extLst>
            <a:ext uri="{FF2B5EF4-FFF2-40B4-BE49-F238E27FC236}">
              <a16:creationId xmlns:a16="http://schemas.microsoft.com/office/drawing/2014/main" xmlns="" id="{00000000-0008-0000-0600-00009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640</xdr:row>
      <xdr:rowOff>0</xdr:rowOff>
    </xdr:from>
    <xdr:ext cx="152400" cy="152400"/>
    <xdr:pic>
      <xdr:nvPicPr>
        <xdr:cNvPr id="920" name="Picture 919" descr="Documents icon">
          <a:extLst>
            <a:ext uri="{FF2B5EF4-FFF2-40B4-BE49-F238E27FC236}">
              <a16:creationId xmlns:a16="http://schemas.microsoft.com/office/drawing/2014/main" xmlns="" id="{00000000-0008-0000-0600-00009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1" name="Picture 920" descr="Documents icon">
          <a:extLst>
            <a:ext uri="{FF2B5EF4-FFF2-40B4-BE49-F238E27FC236}">
              <a16:creationId xmlns:a16="http://schemas.microsoft.com/office/drawing/2014/main" xmlns="" id="{00000000-0008-0000-0600-00009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643</xdr:row>
      <xdr:rowOff>0</xdr:rowOff>
    </xdr:from>
    <xdr:ext cx="152400" cy="152400"/>
    <xdr:pic>
      <xdr:nvPicPr>
        <xdr:cNvPr id="922" name="Picture 921" descr="Documents icon">
          <a:extLst>
            <a:ext uri="{FF2B5EF4-FFF2-40B4-BE49-F238E27FC236}">
              <a16:creationId xmlns:a16="http://schemas.microsoft.com/office/drawing/2014/main" xmlns="" id="{00000000-0008-0000-0600-00009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646</xdr:row>
      <xdr:rowOff>0</xdr:rowOff>
    </xdr:from>
    <xdr:ext cx="152400" cy="152400"/>
    <xdr:pic>
      <xdr:nvPicPr>
        <xdr:cNvPr id="923" name="Picture 922" descr="Documents icon">
          <a:extLst>
            <a:ext uri="{FF2B5EF4-FFF2-40B4-BE49-F238E27FC236}">
              <a16:creationId xmlns:a16="http://schemas.microsoft.com/office/drawing/2014/main" xmlns="" id="{00000000-0008-0000-0600-00009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4" name="Picture 923" descr="Documents icon">
          <a:extLst>
            <a:ext uri="{FF2B5EF4-FFF2-40B4-BE49-F238E27FC236}">
              <a16:creationId xmlns:a16="http://schemas.microsoft.com/office/drawing/2014/main" xmlns="" id="{00000000-0008-0000-0600-00009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649</xdr:row>
      <xdr:rowOff>0</xdr:rowOff>
    </xdr:from>
    <xdr:ext cx="152400" cy="152400"/>
    <xdr:pic>
      <xdr:nvPicPr>
        <xdr:cNvPr id="925" name="Picture 924" descr="Documents icon">
          <a:extLst>
            <a:ext uri="{FF2B5EF4-FFF2-40B4-BE49-F238E27FC236}">
              <a16:creationId xmlns:a16="http://schemas.microsoft.com/office/drawing/2014/main" xmlns="" id="{00000000-0008-0000-0600-00009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652</xdr:row>
      <xdr:rowOff>0</xdr:rowOff>
    </xdr:from>
    <xdr:ext cx="152400" cy="152400"/>
    <xdr:pic>
      <xdr:nvPicPr>
        <xdr:cNvPr id="926" name="Picture 925" descr="Documents icon">
          <a:extLst>
            <a:ext uri="{FF2B5EF4-FFF2-40B4-BE49-F238E27FC236}">
              <a16:creationId xmlns:a16="http://schemas.microsoft.com/office/drawing/2014/main" xmlns="" id="{00000000-0008-0000-0600-00009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7" name="Picture 926" descr="Documents icon">
          <a:extLst>
            <a:ext uri="{FF2B5EF4-FFF2-40B4-BE49-F238E27FC236}">
              <a16:creationId xmlns:a16="http://schemas.microsoft.com/office/drawing/2014/main" xmlns="" id="{00000000-0008-0000-0600-00009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655</xdr:row>
      <xdr:rowOff>0</xdr:rowOff>
    </xdr:from>
    <xdr:ext cx="152400" cy="152400"/>
    <xdr:pic>
      <xdr:nvPicPr>
        <xdr:cNvPr id="928" name="Picture 927" descr="Documents icon">
          <a:extLst>
            <a:ext uri="{FF2B5EF4-FFF2-40B4-BE49-F238E27FC236}">
              <a16:creationId xmlns:a16="http://schemas.microsoft.com/office/drawing/2014/main" xmlns="" id="{00000000-0008-0000-0600-0000A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658</xdr:row>
      <xdr:rowOff>0</xdr:rowOff>
    </xdr:from>
    <xdr:ext cx="152400" cy="152400"/>
    <xdr:pic>
      <xdr:nvPicPr>
        <xdr:cNvPr id="929" name="Picture 928" descr="Documents icon">
          <a:extLst>
            <a:ext uri="{FF2B5EF4-FFF2-40B4-BE49-F238E27FC236}">
              <a16:creationId xmlns:a16="http://schemas.microsoft.com/office/drawing/2014/main" xmlns="" id="{00000000-0008-0000-0600-0000A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0" name="Picture 929" descr="Documents icon">
          <a:extLst>
            <a:ext uri="{FF2B5EF4-FFF2-40B4-BE49-F238E27FC236}">
              <a16:creationId xmlns:a16="http://schemas.microsoft.com/office/drawing/2014/main" xmlns="" id="{00000000-0008-0000-0600-0000A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661</xdr:row>
      <xdr:rowOff>0</xdr:rowOff>
    </xdr:from>
    <xdr:ext cx="152400" cy="152400"/>
    <xdr:pic>
      <xdr:nvPicPr>
        <xdr:cNvPr id="931" name="Picture 930" descr="Documents icon">
          <a:extLst>
            <a:ext uri="{FF2B5EF4-FFF2-40B4-BE49-F238E27FC236}">
              <a16:creationId xmlns:a16="http://schemas.microsoft.com/office/drawing/2014/main" xmlns="" id="{00000000-0008-0000-0600-0000A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664</xdr:row>
      <xdr:rowOff>0</xdr:rowOff>
    </xdr:from>
    <xdr:ext cx="152400" cy="152400"/>
    <xdr:pic>
      <xdr:nvPicPr>
        <xdr:cNvPr id="932" name="Picture 931" descr="Documents icon">
          <a:extLst>
            <a:ext uri="{FF2B5EF4-FFF2-40B4-BE49-F238E27FC236}">
              <a16:creationId xmlns:a16="http://schemas.microsoft.com/office/drawing/2014/main" xmlns="" id="{00000000-0008-0000-0600-0000A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3" name="Picture 932" descr="Documents icon">
          <a:extLst>
            <a:ext uri="{FF2B5EF4-FFF2-40B4-BE49-F238E27FC236}">
              <a16:creationId xmlns:a16="http://schemas.microsoft.com/office/drawing/2014/main" xmlns="" id="{00000000-0008-0000-0600-0000A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667</xdr:row>
      <xdr:rowOff>0</xdr:rowOff>
    </xdr:from>
    <xdr:ext cx="152400" cy="152400"/>
    <xdr:pic>
      <xdr:nvPicPr>
        <xdr:cNvPr id="934" name="Picture 933" descr="Documents icon">
          <a:extLst>
            <a:ext uri="{FF2B5EF4-FFF2-40B4-BE49-F238E27FC236}">
              <a16:creationId xmlns:a16="http://schemas.microsoft.com/office/drawing/2014/main" xmlns="" id="{00000000-0008-0000-0600-0000A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670</xdr:row>
      <xdr:rowOff>0</xdr:rowOff>
    </xdr:from>
    <xdr:ext cx="152400" cy="152400"/>
    <xdr:pic>
      <xdr:nvPicPr>
        <xdr:cNvPr id="935" name="Picture 934" descr="Documents icon">
          <a:extLst>
            <a:ext uri="{FF2B5EF4-FFF2-40B4-BE49-F238E27FC236}">
              <a16:creationId xmlns:a16="http://schemas.microsoft.com/office/drawing/2014/main" xmlns="" id="{00000000-0008-0000-0600-0000A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6" name="Picture 935" descr="Documents icon">
          <a:extLst>
            <a:ext uri="{FF2B5EF4-FFF2-40B4-BE49-F238E27FC236}">
              <a16:creationId xmlns:a16="http://schemas.microsoft.com/office/drawing/2014/main" xmlns="" id="{00000000-0008-0000-0600-0000A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673</xdr:row>
      <xdr:rowOff>0</xdr:rowOff>
    </xdr:from>
    <xdr:ext cx="152400" cy="152400"/>
    <xdr:pic>
      <xdr:nvPicPr>
        <xdr:cNvPr id="937" name="Picture 936" descr="Documents icon">
          <a:extLst>
            <a:ext uri="{FF2B5EF4-FFF2-40B4-BE49-F238E27FC236}">
              <a16:creationId xmlns:a16="http://schemas.microsoft.com/office/drawing/2014/main" xmlns="" id="{00000000-0008-0000-0600-0000A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676</xdr:row>
      <xdr:rowOff>0</xdr:rowOff>
    </xdr:from>
    <xdr:ext cx="152400" cy="152400"/>
    <xdr:pic>
      <xdr:nvPicPr>
        <xdr:cNvPr id="938" name="Picture 937" descr="Documents icon">
          <a:extLst>
            <a:ext uri="{FF2B5EF4-FFF2-40B4-BE49-F238E27FC236}">
              <a16:creationId xmlns:a16="http://schemas.microsoft.com/office/drawing/2014/main" xmlns="" id="{00000000-0008-0000-0600-0000A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39" name="Picture 938" descr="Documents icon">
          <a:extLst>
            <a:ext uri="{FF2B5EF4-FFF2-40B4-BE49-F238E27FC236}">
              <a16:creationId xmlns:a16="http://schemas.microsoft.com/office/drawing/2014/main" xmlns="" id="{00000000-0008-0000-0600-0000A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679</xdr:row>
      <xdr:rowOff>0</xdr:rowOff>
    </xdr:from>
    <xdr:ext cx="152400" cy="152400"/>
    <xdr:pic>
      <xdr:nvPicPr>
        <xdr:cNvPr id="940" name="Picture 939" descr="Documents icon">
          <a:extLst>
            <a:ext uri="{FF2B5EF4-FFF2-40B4-BE49-F238E27FC236}">
              <a16:creationId xmlns:a16="http://schemas.microsoft.com/office/drawing/2014/main" xmlns="" id="{00000000-0008-0000-0600-0000A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682</xdr:row>
      <xdr:rowOff>0</xdr:rowOff>
    </xdr:from>
    <xdr:ext cx="152400" cy="152400"/>
    <xdr:pic>
      <xdr:nvPicPr>
        <xdr:cNvPr id="941" name="Picture 940" descr="Documents icon">
          <a:extLst>
            <a:ext uri="{FF2B5EF4-FFF2-40B4-BE49-F238E27FC236}">
              <a16:creationId xmlns:a16="http://schemas.microsoft.com/office/drawing/2014/main" xmlns="" id="{00000000-0008-0000-0600-0000A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2" name="Picture 941" descr="Documents icon">
          <a:extLst>
            <a:ext uri="{FF2B5EF4-FFF2-40B4-BE49-F238E27FC236}">
              <a16:creationId xmlns:a16="http://schemas.microsoft.com/office/drawing/2014/main" xmlns="" id="{00000000-0008-0000-0600-0000A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685</xdr:row>
      <xdr:rowOff>0</xdr:rowOff>
    </xdr:from>
    <xdr:ext cx="152400" cy="152400"/>
    <xdr:pic>
      <xdr:nvPicPr>
        <xdr:cNvPr id="943" name="Picture 942" descr="Documents icon">
          <a:extLst>
            <a:ext uri="{FF2B5EF4-FFF2-40B4-BE49-F238E27FC236}">
              <a16:creationId xmlns:a16="http://schemas.microsoft.com/office/drawing/2014/main" xmlns="" id="{00000000-0008-0000-0600-0000A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688</xdr:row>
      <xdr:rowOff>0</xdr:rowOff>
    </xdr:from>
    <xdr:ext cx="152400" cy="152400"/>
    <xdr:pic>
      <xdr:nvPicPr>
        <xdr:cNvPr id="944" name="Picture 943" descr="Documents icon">
          <a:extLst>
            <a:ext uri="{FF2B5EF4-FFF2-40B4-BE49-F238E27FC236}">
              <a16:creationId xmlns:a16="http://schemas.microsoft.com/office/drawing/2014/main" xmlns="" id="{00000000-0008-0000-0600-0000B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5" name="Picture 944" descr="Documents icon">
          <a:extLst>
            <a:ext uri="{FF2B5EF4-FFF2-40B4-BE49-F238E27FC236}">
              <a16:creationId xmlns:a16="http://schemas.microsoft.com/office/drawing/2014/main" xmlns="" id="{00000000-0008-0000-0600-0000B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691</xdr:row>
      <xdr:rowOff>0</xdr:rowOff>
    </xdr:from>
    <xdr:ext cx="152400" cy="152400"/>
    <xdr:pic>
      <xdr:nvPicPr>
        <xdr:cNvPr id="946" name="Picture 945" descr="Documents icon">
          <a:extLst>
            <a:ext uri="{FF2B5EF4-FFF2-40B4-BE49-F238E27FC236}">
              <a16:creationId xmlns:a16="http://schemas.microsoft.com/office/drawing/2014/main" xmlns="" id="{00000000-0008-0000-0600-0000B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694</xdr:row>
      <xdr:rowOff>0</xdr:rowOff>
    </xdr:from>
    <xdr:ext cx="152400" cy="152400"/>
    <xdr:pic>
      <xdr:nvPicPr>
        <xdr:cNvPr id="947" name="Picture 946" descr="Documents icon">
          <a:extLst>
            <a:ext uri="{FF2B5EF4-FFF2-40B4-BE49-F238E27FC236}">
              <a16:creationId xmlns:a16="http://schemas.microsoft.com/office/drawing/2014/main" xmlns="" id="{00000000-0008-0000-0600-0000B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8" name="Picture 947" descr="Documents icon">
          <a:extLst>
            <a:ext uri="{FF2B5EF4-FFF2-40B4-BE49-F238E27FC236}">
              <a16:creationId xmlns:a16="http://schemas.microsoft.com/office/drawing/2014/main" xmlns="" id="{00000000-0008-0000-0600-0000B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697</xdr:row>
      <xdr:rowOff>0</xdr:rowOff>
    </xdr:from>
    <xdr:ext cx="152400" cy="152400"/>
    <xdr:pic>
      <xdr:nvPicPr>
        <xdr:cNvPr id="949" name="Picture 948" descr="Documents icon">
          <a:extLst>
            <a:ext uri="{FF2B5EF4-FFF2-40B4-BE49-F238E27FC236}">
              <a16:creationId xmlns:a16="http://schemas.microsoft.com/office/drawing/2014/main" xmlns="" id="{00000000-0008-0000-0600-0000B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700</xdr:row>
      <xdr:rowOff>0</xdr:rowOff>
    </xdr:from>
    <xdr:ext cx="152400" cy="152400"/>
    <xdr:pic>
      <xdr:nvPicPr>
        <xdr:cNvPr id="950" name="Picture 949" descr="Documents icon">
          <a:extLst>
            <a:ext uri="{FF2B5EF4-FFF2-40B4-BE49-F238E27FC236}">
              <a16:creationId xmlns:a16="http://schemas.microsoft.com/office/drawing/2014/main" xmlns="" id="{00000000-0008-0000-0600-0000B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1" name="Picture 950" descr="Documents icon">
          <a:extLst>
            <a:ext uri="{FF2B5EF4-FFF2-40B4-BE49-F238E27FC236}">
              <a16:creationId xmlns:a16="http://schemas.microsoft.com/office/drawing/2014/main" xmlns="" id="{00000000-0008-0000-0600-0000B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703</xdr:row>
      <xdr:rowOff>0</xdr:rowOff>
    </xdr:from>
    <xdr:ext cx="152400" cy="152400"/>
    <xdr:pic>
      <xdr:nvPicPr>
        <xdr:cNvPr id="952" name="Picture 951" descr="Documents icon">
          <a:extLst>
            <a:ext uri="{FF2B5EF4-FFF2-40B4-BE49-F238E27FC236}">
              <a16:creationId xmlns:a16="http://schemas.microsoft.com/office/drawing/2014/main" xmlns="" id="{00000000-0008-0000-0600-0000B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706</xdr:row>
      <xdr:rowOff>0</xdr:rowOff>
    </xdr:from>
    <xdr:ext cx="152400" cy="152400"/>
    <xdr:pic>
      <xdr:nvPicPr>
        <xdr:cNvPr id="953" name="Picture 952" descr="Documents icon">
          <a:extLst>
            <a:ext uri="{FF2B5EF4-FFF2-40B4-BE49-F238E27FC236}">
              <a16:creationId xmlns:a16="http://schemas.microsoft.com/office/drawing/2014/main" xmlns="" id="{00000000-0008-0000-0600-0000B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4" name="Picture 953" descr="Documents icon">
          <a:extLst>
            <a:ext uri="{FF2B5EF4-FFF2-40B4-BE49-F238E27FC236}">
              <a16:creationId xmlns:a16="http://schemas.microsoft.com/office/drawing/2014/main" xmlns="" id="{00000000-0008-0000-0600-0000B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709</xdr:row>
      <xdr:rowOff>0</xdr:rowOff>
    </xdr:from>
    <xdr:ext cx="152400" cy="152400"/>
    <xdr:pic>
      <xdr:nvPicPr>
        <xdr:cNvPr id="955" name="Picture 954" descr="Documents icon">
          <a:extLst>
            <a:ext uri="{FF2B5EF4-FFF2-40B4-BE49-F238E27FC236}">
              <a16:creationId xmlns:a16="http://schemas.microsoft.com/office/drawing/2014/main" xmlns="" id="{00000000-0008-0000-0600-0000B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712</xdr:row>
      <xdr:rowOff>0</xdr:rowOff>
    </xdr:from>
    <xdr:ext cx="152400" cy="152400"/>
    <xdr:pic>
      <xdr:nvPicPr>
        <xdr:cNvPr id="956" name="Picture 955" descr="Documents icon">
          <a:extLst>
            <a:ext uri="{FF2B5EF4-FFF2-40B4-BE49-F238E27FC236}">
              <a16:creationId xmlns:a16="http://schemas.microsoft.com/office/drawing/2014/main" xmlns="" id="{00000000-0008-0000-0600-0000B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7" name="Picture 956" descr="Documents icon">
          <a:extLst>
            <a:ext uri="{FF2B5EF4-FFF2-40B4-BE49-F238E27FC236}">
              <a16:creationId xmlns:a16="http://schemas.microsoft.com/office/drawing/2014/main" xmlns="" id="{00000000-0008-0000-0600-0000B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715</xdr:row>
      <xdr:rowOff>0</xdr:rowOff>
    </xdr:from>
    <xdr:ext cx="152400" cy="152400"/>
    <xdr:pic>
      <xdr:nvPicPr>
        <xdr:cNvPr id="958" name="Picture 957" descr="Documents icon">
          <a:extLst>
            <a:ext uri="{FF2B5EF4-FFF2-40B4-BE49-F238E27FC236}">
              <a16:creationId xmlns:a16="http://schemas.microsoft.com/office/drawing/2014/main" xmlns="" id="{00000000-0008-0000-0600-0000B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718</xdr:row>
      <xdr:rowOff>0</xdr:rowOff>
    </xdr:from>
    <xdr:ext cx="152400" cy="152400"/>
    <xdr:pic>
      <xdr:nvPicPr>
        <xdr:cNvPr id="959" name="Picture 958" descr="Documents icon">
          <a:extLst>
            <a:ext uri="{FF2B5EF4-FFF2-40B4-BE49-F238E27FC236}">
              <a16:creationId xmlns:a16="http://schemas.microsoft.com/office/drawing/2014/main" xmlns="" id="{00000000-0008-0000-0600-0000B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0" name="Picture 959" descr="Documents icon">
          <a:extLst>
            <a:ext uri="{FF2B5EF4-FFF2-40B4-BE49-F238E27FC236}">
              <a16:creationId xmlns:a16="http://schemas.microsoft.com/office/drawing/2014/main" xmlns="" id="{00000000-0008-0000-0600-0000C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721</xdr:row>
      <xdr:rowOff>0</xdr:rowOff>
    </xdr:from>
    <xdr:ext cx="152400" cy="152400"/>
    <xdr:pic>
      <xdr:nvPicPr>
        <xdr:cNvPr id="961" name="Picture 960" descr="Documents icon">
          <a:extLst>
            <a:ext uri="{FF2B5EF4-FFF2-40B4-BE49-F238E27FC236}">
              <a16:creationId xmlns:a16="http://schemas.microsoft.com/office/drawing/2014/main" xmlns="" id="{00000000-0008-0000-0600-0000C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724</xdr:row>
      <xdr:rowOff>0</xdr:rowOff>
    </xdr:from>
    <xdr:ext cx="152400" cy="152400"/>
    <xdr:pic>
      <xdr:nvPicPr>
        <xdr:cNvPr id="962" name="Picture 961" descr="Documents icon">
          <a:extLst>
            <a:ext uri="{FF2B5EF4-FFF2-40B4-BE49-F238E27FC236}">
              <a16:creationId xmlns:a16="http://schemas.microsoft.com/office/drawing/2014/main" xmlns="" id="{00000000-0008-0000-0600-0000C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3" name="Picture 962" descr="Documents icon">
          <a:extLst>
            <a:ext uri="{FF2B5EF4-FFF2-40B4-BE49-F238E27FC236}">
              <a16:creationId xmlns:a16="http://schemas.microsoft.com/office/drawing/2014/main" xmlns="" id="{00000000-0008-0000-0600-0000C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727</xdr:row>
      <xdr:rowOff>0</xdr:rowOff>
    </xdr:from>
    <xdr:ext cx="152400" cy="152400"/>
    <xdr:pic>
      <xdr:nvPicPr>
        <xdr:cNvPr id="964" name="Picture 963" descr="Documents icon">
          <a:extLst>
            <a:ext uri="{FF2B5EF4-FFF2-40B4-BE49-F238E27FC236}">
              <a16:creationId xmlns:a16="http://schemas.microsoft.com/office/drawing/2014/main" xmlns="" id="{00000000-0008-0000-0600-0000C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730</xdr:row>
      <xdr:rowOff>0</xdr:rowOff>
    </xdr:from>
    <xdr:ext cx="152400" cy="152400"/>
    <xdr:pic>
      <xdr:nvPicPr>
        <xdr:cNvPr id="965" name="Picture 964" descr="Documents icon">
          <a:extLst>
            <a:ext uri="{FF2B5EF4-FFF2-40B4-BE49-F238E27FC236}">
              <a16:creationId xmlns:a16="http://schemas.microsoft.com/office/drawing/2014/main" xmlns="" id="{00000000-0008-0000-0600-0000C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6" name="Picture 965" descr="Documents icon">
          <a:extLst>
            <a:ext uri="{FF2B5EF4-FFF2-40B4-BE49-F238E27FC236}">
              <a16:creationId xmlns:a16="http://schemas.microsoft.com/office/drawing/2014/main" xmlns="" id="{00000000-0008-0000-0600-0000C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733</xdr:row>
      <xdr:rowOff>0</xdr:rowOff>
    </xdr:from>
    <xdr:ext cx="152400" cy="152400"/>
    <xdr:pic>
      <xdr:nvPicPr>
        <xdr:cNvPr id="967" name="Picture 966" descr="Documents icon">
          <a:extLst>
            <a:ext uri="{FF2B5EF4-FFF2-40B4-BE49-F238E27FC236}">
              <a16:creationId xmlns:a16="http://schemas.microsoft.com/office/drawing/2014/main" xmlns="" id="{00000000-0008-0000-0600-0000C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736</xdr:row>
      <xdr:rowOff>0</xdr:rowOff>
    </xdr:from>
    <xdr:ext cx="152400" cy="152400"/>
    <xdr:pic>
      <xdr:nvPicPr>
        <xdr:cNvPr id="968" name="Picture 967" descr="Documents icon">
          <a:extLst>
            <a:ext uri="{FF2B5EF4-FFF2-40B4-BE49-F238E27FC236}">
              <a16:creationId xmlns:a16="http://schemas.microsoft.com/office/drawing/2014/main" xmlns="" id="{00000000-0008-0000-0600-0000C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69" name="Picture 968" descr="Documents icon">
          <a:extLst>
            <a:ext uri="{FF2B5EF4-FFF2-40B4-BE49-F238E27FC236}">
              <a16:creationId xmlns:a16="http://schemas.microsoft.com/office/drawing/2014/main" xmlns="" id="{00000000-0008-0000-0600-0000C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739</xdr:row>
      <xdr:rowOff>0</xdr:rowOff>
    </xdr:from>
    <xdr:ext cx="152400" cy="152400"/>
    <xdr:pic>
      <xdr:nvPicPr>
        <xdr:cNvPr id="970" name="Picture 969" descr="Documents icon">
          <a:extLst>
            <a:ext uri="{FF2B5EF4-FFF2-40B4-BE49-F238E27FC236}">
              <a16:creationId xmlns:a16="http://schemas.microsoft.com/office/drawing/2014/main" xmlns="" id="{00000000-0008-0000-0600-0000C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742</xdr:row>
      <xdr:rowOff>0</xdr:rowOff>
    </xdr:from>
    <xdr:ext cx="152400" cy="152400"/>
    <xdr:pic>
      <xdr:nvPicPr>
        <xdr:cNvPr id="971" name="Picture 970" descr="Documents icon">
          <a:extLst>
            <a:ext uri="{FF2B5EF4-FFF2-40B4-BE49-F238E27FC236}">
              <a16:creationId xmlns:a16="http://schemas.microsoft.com/office/drawing/2014/main" xmlns="" id="{00000000-0008-0000-0600-0000C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2" name="Picture 971" descr="Documents icon">
          <a:extLst>
            <a:ext uri="{FF2B5EF4-FFF2-40B4-BE49-F238E27FC236}">
              <a16:creationId xmlns:a16="http://schemas.microsoft.com/office/drawing/2014/main" xmlns="" id="{00000000-0008-0000-0600-0000C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745</xdr:row>
      <xdr:rowOff>0</xdr:rowOff>
    </xdr:from>
    <xdr:ext cx="152400" cy="152400"/>
    <xdr:pic>
      <xdr:nvPicPr>
        <xdr:cNvPr id="973" name="Picture 972" descr="Documents icon">
          <a:extLst>
            <a:ext uri="{FF2B5EF4-FFF2-40B4-BE49-F238E27FC236}">
              <a16:creationId xmlns:a16="http://schemas.microsoft.com/office/drawing/2014/main" xmlns="" id="{00000000-0008-0000-0600-0000C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748</xdr:row>
      <xdr:rowOff>0</xdr:rowOff>
    </xdr:from>
    <xdr:ext cx="152400" cy="152400"/>
    <xdr:pic>
      <xdr:nvPicPr>
        <xdr:cNvPr id="974" name="Picture 973" descr="Documents icon">
          <a:extLst>
            <a:ext uri="{FF2B5EF4-FFF2-40B4-BE49-F238E27FC236}">
              <a16:creationId xmlns:a16="http://schemas.microsoft.com/office/drawing/2014/main" xmlns="" id="{00000000-0008-0000-0600-0000C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5" name="Picture 974" descr="Documents icon">
          <a:extLst>
            <a:ext uri="{FF2B5EF4-FFF2-40B4-BE49-F238E27FC236}">
              <a16:creationId xmlns:a16="http://schemas.microsoft.com/office/drawing/2014/main" xmlns="" id="{00000000-0008-0000-0600-0000C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751</xdr:row>
      <xdr:rowOff>0</xdr:rowOff>
    </xdr:from>
    <xdr:ext cx="152400" cy="152400"/>
    <xdr:pic>
      <xdr:nvPicPr>
        <xdr:cNvPr id="976" name="Picture 975" descr="Documents icon">
          <a:extLst>
            <a:ext uri="{FF2B5EF4-FFF2-40B4-BE49-F238E27FC236}">
              <a16:creationId xmlns:a16="http://schemas.microsoft.com/office/drawing/2014/main" xmlns="" id="{00000000-0008-0000-0600-0000D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754</xdr:row>
      <xdr:rowOff>0</xdr:rowOff>
    </xdr:from>
    <xdr:ext cx="152400" cy="152400"/>
    <xdr:pic>
      <xdr:nvPicPr>
        <xdr:cNvPr id="977" name="Picture 976" descr="Documents icon">
          <a:extLst>
            <a:ext uri="{FF2B5EF4-FFF2-40B4-BE49-F238E27FC236}">
              <a16:creationId xmlns:a16="http://schemas.microsoft.com/office/drawing/2014/main" xmlns="" id="{00000000-0008-0000-0600-0000D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8" name="Picture 977" descr="Documents icon">
          <a:extLst>
            <a:ext uri="{FF2B5EF4-FFF2-40B4-BE49-F238E27FC236}">
              <a16:creationId xmlns:a16="http://schemas.microsoft.com/office/drawing/2014/main" xmlns="" id="{00000000-0008-0000-0600-0000D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757</xdr:row>
      <xdr:rowOff>0</xdr:rowOff>
    </xdr:from>
    <xdr:ext cx="152400" cy="152400"/>
    <xdr:pic>
      <xdr:nvPicPr>
        <xdr:cNvPr id="979" name="Picture 978" descr="Documents icon">
          <a:extLst>
            <a:ext uri="{FF2B5EF4-FFF2-40B4-BE49-F238E27FC236}">
              <a16:creationId xmlns:a16="http://schemas.microsoft.com/office/drawing/2014/main" xmlns="" id="{00000000-0008-0000-0600-0000D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760</xdr:row>
      <xdr:rowOff>0</xdr:rowOff>
    </xdr:from>
    <xdr:ext cx="152400" cy="152400"/>
    <xdr:pic>
      <xdr:nvPicPr>
        <xdr:cNvPr id="980" name="Picture 979" descr="Documents icon">
          <a:extLst>
            <a:ext uri="{FF2B5EF4-FFF2-40B4-BE49-F238E27FC236}">
              <a16:creationId xmlns:a16="http://schemas.microsoft.com/office/drawing/2014/main" xmlns="" id="{00000000-0008-0000-0600-0000D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1" name="Picture 980" descr="Documents icon">
          <a:extLst>
            <a:ext uri="{FF2B5EF4-FFF2-40B4-BE49-F238E27FC236}">
              <a16:creationId xmlns:a16="http://schemas.microsoft.com/office/drawing/2014/main" xmlns="" id="{00000000-0008-0000-0600-0000D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763</xdr:row>
      <xdr:rowOff>0</xdr:rowOff>
    </xdr:from>
    <xdr:ext cx="152400" cy="152400"/>
    <xdr:pic>
      <xdr:nvPicPr>
        <xdr:cNvPr id="982" name="Picture 981" descr="Documents icon">
          <a:extLst>
            <a:ext uri="{FF2B5EF4-FFF2-40B4-BE49-F238E27FC236}">
              <a16:creationId xmlns:a16="http://schemas.microsoft.com/office/drawing/2014/main" xmlns="" id="{00000000-0008-0000-0600-0000D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766</xdr:row>
      <xdr:rowOff>0</xdr:rowOff>
    </xdr:from>
    <xdr:ext cx="152400" cy="152400"/>
    <xdr:pic>
      <xdr:nvPicPr>
        <xdr:cNvPr id="983" name="Picture 982" descr="Documents icon">
          <a:extLst>
            <a:ext uri="{FF2B5EF4-FFF2-40B4-BE49-F238E27FC236}">
              <a16:creationId xmlns:a16="http://schemas.microsoft.com/office/drawing/2014/main" xmlns="" id="{00000000-0008-0000-0600-0000D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4" name="Picture 983" descr="Documents icon">
          <a:extLst>
            <a:ext uri="{FF2B5EF4-FFF2-40B4-BE49-F238E27FC236}">
              <a16:creationId xmlns:a16="http://schemas.microsoft.com/office/drawing/2014/main" xmlns="" id="{00000000-0008-0000-0600-0000D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769</xdr:row>
      <xdr:rowOff>0</xdr:rowOff>
    </xdr:from>
    <xdr:ext cx="152400" cy="152400"/>
    <xdr:pic>
      <xdr:nvPicPr>
        <xdr:cNvPr id="985" name="Picture 984" descr="Documents icon">
          <a:extLst>
            <a:ext uri="{FF2B5EF4-FFF2-40B4-BE49-F238E27FC236}">
              <a16:creationId xmlns:a16="http://schemas.microsoft.com/office/drawing/2014/main" xmlns="" id="{00000000-0008-0000-0600-0000D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772</xdr:row>
      <xdr:rowOff>0</xdr:rowOff>
    </xdr:from>
    <xdr:ext cx="152400" cy="152400"/>
    <xdr:pic>
      <xdr:nvPicPr>
        <xdr:cNvPr id="986" name="Picture 985" descr="Documents icon">
          <a:extLst>
            <a:ext uri="{FF2B5EF4-FFF2-40B4-BE49-F238E27FC236}">
              <a16:creationId xmlns:a16="http://schemas.microsoft.com/office/drawing/2014/main" xmlns="" id="{00000000-0008-0000-0600-0000D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7" name="Picture 986" descr="Documents icon">
          <a:extLst>
            <a:ext uri="{FF2B5EF4-FFF2-40B4-BE49-F238E27FC236}">
              <a16:creationId xmlns:a16="http://schemas.microsoft.com/office/drawing/2014/main" xmlns="" id="{00000000-0008-0000-0600-0000D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775</xdr:row>
      <xdr:rowOff>0</xdr:rowOff>
    </xdr:from>
    <xdr:ext cx="152400" cy="152400"/>
    <xdr:pic>
      <xdr:nvPicPr>
        <xdr:cNvPr id="988" name="Picture 987" descr="Documents icon">
          <a:extLst>
            <a:ext uri="{FF2B5EF4-FFF2-40B4-BE49-F238E27FC236}">
              <a16:creationId xmlns:a16="http://schemas.microsoft.com/office/drawing/2014/main" xmlns="" id="{00000000-0008-0000-0600-0000D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778</xdr:row>
      <xdr:rowOff>0</xdr:rowOff>
    </xdr:from>
    <xdr:ext cx="152400" cy="152400"/>
    <xdr:pic>
      <xdr:nvPicPr>
        <xdr:cNvPr id="989" name="Picture 988" descr="Documents icon">
          <a:extLst>
            <a:ext uri="{FF2B5EF4-FFF2-40B4-BE49-F238E27FC236}">
              <a16:creationId xmlns:a16="http://schemas.microsoft.com/office/drawing/2014/main" xmlns="" id="{00000000-0008-0000-0600-0000D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0" name="Picture 989" descr="Documents icon">
          <a:extLst>
            <a:ext uri="{FF2B5EF4-FFF2-40B4-BE49-F238E27FC236}">
              <a16:creationId xmlns:a16="http://schemas.microsoft.com/office/drawing/2014/main" xmlns="" id="{00000000-0008-0000-0600-0000D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781</xdr:row>
      <xdr:rowOff>0</xdr:rowOff>
    </xdr:from>
    <xdr:ext cx="152400" cy="152400"/>
    <xdr:pic>
      <xdr:nvPicPr>
        <xdr:cNvPr id="991" name="Picture 990" descr="Documents icon">
          <a:extLst>
            <a:ext uri="{FF2B5EF4-FFF2-40B4-BE49-F238E27FC236}">
              <a16:creationId xmlns:a16="http://schemas.microsoft.com/office/drawing/2014/main" xmlns="" id="{00000000-0008-0000-0600-0000D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784</xdr:row>
      <xdr:rowOff>0</xdr:rowOff>
    </xdr:from>
    <xdr:ext cx="152400" cy="152400"/>
    <xdr:pic>
      <xdr:nvPicPr>
        <xdr:cNvPr id="992" name="Picture 991" descr="Documents icon">
          <a:extLst>
            <a:ext uri="{FF2B5EF4-FFF2-40B4-BE49-F238E27FC236}">
              <a16:creationId xmlns:a16="http://schemas.microsoft.com/office/drawing/2014/main" xmlns="" id="{00000000-0008-0000-0600-0000E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3" name="Picture 992" descr="Documents icon">
          <a:extLst>
            <a:ext uri="{FF2B5EF4-FFF2-40B4-BE49-F238E27FC236}">
              <a16:creationId xmlns:a16="http://schemas.microsoft.com/office/drawing/2014/main" xmlns="" id="{00000000-0008-0000-0600-0000E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787</xdr:row>
      <xdr:rowOff>0</xdr:rowOff>
    </xdr:from>
    <xdr:ext cx="152400" cy="152400"/>
    <xdr:pic>
      <xdr:nvPicPr>
        <xdr:cNvPr id="994" name="Picture 993" descr="Documents icon">
          <a:extLst>
            <a:ext uri="{FF2B5EF4-FFF2-40B4-BE49-F238E27FC236}">
              <a16:creationId xmlns:a16="http://schemas.microsoft.com/office/drawing/2014/main" xmlns="" id="{00000000-0008-0000-0600-0000E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790</xdr:row>
      <xdr:rowOff>0</xdr:rowOff>
    </xdr:from>
    <xdr:ext cx="152400" cy="152400"/>
    <xdr:pic>
      <xdr:nvPicPr>
        <xdr:cNvPr id="995" name="Picture 994" descr="Documents icon">
          <a:extLst>
            <a:ext uri="{FF2B5EF4-FFF2-40B4-BE49-F238E27FC236}">
              <a16:creationId xmlns:a16="http://schemas.microsoft.com/office/drawing/2014/main" xmlns="" id="{00000000-0008-0000-0600-0000E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6" name="Picture 995" descr="Documents icon">
          <a:extLst>
            <a:ext uri="{FF2B5EF4-FFF2-40B4-BE49-F238E27FC236}">
              <a16:creationId xmlns:a16="http://schemas.microsoft.com/office/drawing/2014/main" xmlns="" id="{00000000-0008-0000-0600-0000E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793</xdr:row>
      <xdr:rowOff>0</xdr:rowOff>
    </xdr:from>
    <xdr:ext cx="152400" cy="152400"/>
    <xdr:pic>
      <xdr:nvPicPr>
        <xdr:cNvPr id="997" name="Picture 996" descr="Documents icon">
          <a:extLst>
            <a:ext uri="{FF2B5EF4-FFF2-40B4-BE49-F238E27FC236}">
              <a16:creationId xmlns:a16="http://schemas.microsoft.com/office/drawing/2014/main" xmlns="" id="{00000000-0008-0000-0600-0000E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796</xdr:row>
      <xdr:rowOff>0</xdr:rowOff>
    </xdr:from>
    <xdr:ext cx="152400" cy="152400"/>
    <xdr:pic>
      <xdr:nvPicPr>
        <xdr:cNvPr id="998" name="Picture 997" descr="Documents icon">
          <a:extLst>
            <a:ext uri="{FF2B5EF4-FFF2-40B4-BE49-F238E27FC236}">
              <a16:creationId xmlns:a16="http://schemas.microsoft.com/office/drawing/2014/main" xmlns="" id="{00000000-0008-0000-0600-0000E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999" name="Picture 998" descr="Documents icon">
          <a:extLst>
            <a:ext uri="{FF2B5EF4-FFF2-40B4-BE49-F238E27FC236}">
              <a16:creationId xmlns:a16="http://schemas.microsoft.com/office/drawing/2014/main" xmlns="" id="{00000000-0008-0000-0600-0000E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799</xdr:row>
      <xdr:rowOff>0</xdr:rowOff>
    </xdr:from>
    <xdr:ext cx="152400" cy="152400"/>
    <xdr:pic>
      <xdr:nvPicPr>
        <xdr:cNvPr id="1000" name="Picture 999" descr="Documents icon">
          <a:extLst>
            <a:ext uri="{FF2B5EF4-FFF2-40B4-BE49-F238E27FC236}">
              <a16:creationId xmlns:a16="http://schemas.microsoft.com/office/drawing/2014/main" xmlns="" id="{00000000-0008-0000-0600-0000E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802</xdr:row>
      <xdr:rowOff>0</xdr:rowOff>
    </xdr:from>
    <xdr:ext cx="152400" cy="152400"/>
    <xdr:pic>
      <xdr:nvPicPr>
        <xdr:cNvPr id="1001" name="Picture 1000" descr="Documents icon">
          <a:extLst>
            <a:ext uri="{FF2B5EF4-FFF2-40B4-BE49-F238E27FC236}">
              <a16:creationId xmlns:a16="http://schemas.microsoft.com/office/drawing/2014/main" xmlns="" id="{00000000-0008-0000-0600-0000E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2" name="Picture 1001" descr="Documents icon">
          <a:extLst>
            <a:ext uri="{FF2B5EF4-FFF2-40B4-BE49-F238E27FC236}">
              <a16:creationId xmlns:a16="http://schemas.microsoft.com/office/drawing/2014/main" xmlns="" id="{00000000-0008-0000-0600-0000E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805</xdr:row>
      <xdr:rowOff>0</xdr:rowOff>
    </xdr:from>
    <xdr:ext cx="152400" cy="152400"/>
    <xdr:pic>
      <xdr:nvPicPr>
        <xdr:cNvPr id="1003" name="Picture 1002" descr="Documents icon">
          <a:extLst>
            <a:ext uri="{FF2B5EF4-FFF2-40B4-BE49-F238E27FC236}">
              <a16:creationId xmlns:a16="http://schemas.microsoft.com/office/drawing/2014/main" xmlns="" id="{00000000-0008-0000-0600-0000E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808</xdr:row>
      <xdr:rowOff>0</xdr:rowOff>
    </xdr:from>
    <xdr:ext cx="152400" cy="152400"/>
    <xdr:pic>
      <xdr:nvPicPr>
        <xdr:cNvPr id="1004" name="Picture 1003" descr="Documents icon">
          <a:extLst>
            <a:ext uri="{FF2B5EF4-FFF2-40B4-BE49-F238E27FC236}">
              <a16:creationId xmlns:a16="http://schemas.microsoft.com/office/drawing/2014/main" xmlns="" id="{00000000-0008-0000-0600-0000E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5" name="Picture 1004" descr="Documents icon">
          <a:extLst>
            <a:ext uri="{FF2B5EF4-FFF2-40B4-BE49-F238E27FC236}">
              <a16:creationId xmlns:a16="http://schemas.microsoft.com/office/drawing/2014/main" xmlns="" id="{00000000-0008-0000-0600-0000E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811</xdr:row>
      <xdr:rowOff>0</xdr:rowOff>
    </xdr:from>
    <xdr:ext cx="152400" cy="152400"/>
    <xdr:pic>
      <xdr:nvPicPr>
        <xdr:cNvPr id="1006" name="Picture 1005" descr="Documents icon">
          <a:extLst>
            <a:ext uri="{FF2B5EF4-FFF2-40B4-BE49-F238E27FC236}">
              <a16:creationId xmlns:a16="http://schemas.microsoft.com/office/drawing/2014/main" xmlns="" id="{00000000-0008-0000-0600-0000E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814</xdr:row>
      <xdr:rowOff>0</xdr:rowOff>
    </xdr:from>
    <xdr:ext cx="152400" cy="152400"/>
    <xdr:pic>
      <xdr:nvPicPr>
        <xdr:cNvPr id="1007" name="Picture 1006" descr="Documents icon">
          <a:extLst>
            <a:ext uri="{FF2B5EF4-FFF2-40B4-BE49-F238E27FC236}">
              <a16:creationId xmlns:a16="http://schemas.microsoft.com/office/drawing/2014/main" xmlns="" id="{00000000-0008-0000-0600-0000E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8" name="Picture 1007" descr="Documents icon">
          <a:extLst>
            <a:ext uri="{FF2B5EF4-FFF2-40B4-BE49-F238E27FC236}">
              <a16:creationId xmlns:a16="http://schemas.microsoft.com/office/drawing/2014/main" xmlns="" id="{00000000-0008-0000-0600-0000F0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817</xdr:row>
      <xdr:rowOff>0</xdr:rowOff>
    </xdr:from>
    <xdr:ext cx="152400" cy="152400"/>
    <xdr:pic>
      <xdr:nvPicPr>
        <xdr:cNvPr id="1009" name="Picture 1008" descr="Documents icon">
          <a:extLst>
            <a:ext uri="{FF2B5EF4-FFF2-40B4-BE49-F238E27FC236}">
              <a16:creationId xmlns:a16="http://schemas.microsoft.com/office/drawing/2014/main" xmlns="" id="{00000000-0008-0000-0600-0000F1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820</xdr:row>
      <xdr:rowOff>0</xdr:rowOff>
    </xdr:from>
    <xdr:ext cx="152400" cy="152400"/>
    <xdr:pic>
      <xdr:nvPicPr>
        <xdr:cNvPr id="1010" name="Picture 1009" descr="Documents icon">
          <a:extLst>
            <a:ext uri="{FF2B5EF4-FFF2-40B4-BE49-F238E27FC236}">
              <a16:creationId xmlns:a16="http://schemas.microsoft.com/office/drawing/2014/main" xmlns="" id="{00000000-0008-0000-0600-0000F2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1" name="Picture 1010" descr="Documents icon">
          <a:extLst>
            <a:ext uri="{FF2B5EF4-FFF2-40B4-BE49-F238E27FC236}">
              <a16:creationId xmlns:a16="http://schemas.microsoft.com/office/drawing/2014/main" xmlns="" id="{00000000-0008-0000-0600-0000F3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823</xdr:row>
      <xdr:rowOff>0</xdr:rowOff>
    </xdr:from>
    <xdr:ext cx="152400" cy="152400"/>
    <xdr:pic>
      <xdr:nvPicPr>
        <xdr:cNvPr id="1012" name="Picture 1011" descr="Documents icon">
          <a:extLst>
            <a:ext uri="{FF2B5EF4-FFF2-40B4-BE49-F238E27FC236}">
              <a16:creationId xmlns:a16="http://schemas.microsoft.com/office/drawing/2014/main" xmlns="" id="{00000000-0008-0000-0600-0000F4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826</xdr:row>
      <xdr:rowOff>0</xdr:rowOff>
    </xdr:from>
    <xdr:ext cx="152400" cy="152400"/>
    <xdr:pic>
      <xdr:nvPicPr>
        <xdr:cNvPr id="1013" name="Picture 1012" descr="Documents icon">
          <a:extLst>
            <a:ext uri="{FF2B5EF4-FFF2-40B4-BE49-F238E27FC236}">
              <a16:creationId xmlns:a16="http://schemas.microsoft.com/office/drawing/2014/main" xmlns="" id="{00000000-0008-0000-0600-0000F5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4" name="Picture 1013" descr="Documents icon">
          <a:extLst>
            <a:ext uri="{FF2B5EF4-FFF2-40B4-BE49-F238E27FC236}">
              <a16:creationId xmlns:a16="http://schemas.microsoft.com/office/drawing/2014/main" xmlns="" id="{00000000-0008-0000-0600-0000F6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829</xdr:row>
      <xdr:rowOff>0</xdr:rowOff>
    </xdr:from>
    <xdr:ext cx="152400" cy="152400"/>
    <xdr:pic>
      <xdr:nvPicPr>
        <xdr:cNvPr id="1015" name="Picture 1014" descr="Documents icon">
          <a:extLst>
            <a:ext uri="{FF2B5EF4-FFF2-40B4-BE49-F238E27FC236}">
              <a16:creationId xmlns:a16="http://schemas.microsoft.com/office/drawing/2014/main" xmlns="" id="{00000000-0008-0000-0600-0000F7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832</xdr:row>
      <xdr:rowOff>0</xdr:rowOff>
    </xdr:from>
    <xdr:ext cx="152400" cy="152400"/>
    <xdr:pic>
      <xdr:nvPicPr>
        <xdr:cNvPr id="1016" name="Picture 1015" descr="Documents icon">
          <a:extLst>
            <a:ext uri="{FF2B5EF4-FFF2-40B4-BE49-F238E27FC236}">
              <a16:creationId xmlns:a16="http://schemas.microsoft.com/office/drawing/2014/main" xmlns="" id="{00000000-0008-0000-0600-0000F8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7" name="Picture 1016" descr="Documents icon">
          <a:extLst>
            <a:ext uri="{FF2B5EF4-FFF2-40B4-BE49-F238E27FC236}">
              <a16:creationId xmlns:a16="http://schemas.microsoft.com/office/drawing/2014/main" xmlns="" id="{00000000-0008-0000-0600-0000F9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835</xdr:row>
      <xdr:rowOff>0</xdr:rowOff>
    </xdr:from>
    <xdr:ext cx="152400" cy="152400"/>
    <xdr:pic>
      <xdr:nvPicPr>
        <xdr:cNvPr id="1018" name="Picture 1017" descr="Documents icon">
          <a:extLst>
            <a:ext uri="{FF2B5EF4-FFF2-40B4-BE49-F238E27FC236}">
              <a16:creationId xmlns:a16="http://schemas.microsoft.com/office/drawing/2014/main" xmlns="" id="{00000000-0008-0000-0600-0000FA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838</xdr:row>
      <xdr:rowOff>0</xdr:rowOff>
    </xdr:from>
    <xdr:ext cx="152400" cy="152400"/>
    <xdr:pic>
      <xdr:nvPicPr>
        <xdr:cNvPr id="1019" name="Picture 1018" descr="Documents icon">
          <a:extLst>
            <a:ext uri="{FF2B5EF4-FFF2-40B4-BE49-F238E27FC236}">
              <a16:creationId xmlns:a16="http://schemas.microsoft.com/office/drawing/2014/main" xmlns="" id="{00000000-0008-0000-0600-0000FB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0" name="Picture 1019" descr="Documents icon">
          <a:extLst>
            <a:ext uri="{FF2B5EF4-FFF2-40B4-BE49-F238E27FC236}">
              <a16:creationId xmlns:a16="http://schemas.microsoft.com/office/drawing/2014/main" xmlns="" id="{00000000-0008-0000-0600-0000FC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841</xdr:row>
      <xdr:rowOff>0</xdr:rowOff>
    </xdr:from>
    <xdr:ext cx="152400" cy="152400"/>
    <xdr:pic>
      <xdr:nvPicPr>
        <xdr:cNvPr id="1021" name="Picture 1020" descr="Documents icon">
          <a:extLst>
            <a:ext uri="{FF2B5EF4-FFF2-40B4-BE49-F238E27FC236}">
              <a16:creationId xmlns:a16="http://schemas.microsoft.com/office/drawing/2014/main" xmlns="" id="{00000000-0008-0000-0600-0000FD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844</xdr:row>
      <xdr:rowOff>0</xdr:rowOff>
    </xdr:from>
    <xdr:ext cx="152400" cy="152400"/>
    <xdr:pic>
      <xdr:nvPicPr>
        <xdr:cNvPr id="1022" name="Picture 1021" descr="Documents icon">
          <a:extLst>
            <a:ext uri="{FF2B5EF4-FFF2-40B4-BE49-F238E27FC236}">
              <a16:creationId xmlns:a16="http://schemas.microsoft.com/office/drawing/2014/main" xmlns="" id="{00000000-0008-0000-0600-0000FE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3" name="Picture 1022" descr="Documents icon">
          <a:extLst>
            <a:ext uri="{FF2B5EF4-FFF2-40B4-BE49-F238E27FC236}">
              <a16:creationId xmlns:a16="http://schemas.microsoft.com/office/drawing/2014/main" xmlns="" id="{00000000-0008-0000-0600-0000FF03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847</xdr:row>
      <xdr:rowOff>0</xdr:rowOff>
    </xdr:from>
    <xdr:ext cx="152400" cy="152400"/>
    <xdr:pic>
      <xdr:nvPicPr>
        <xdr:cNvPr id="1024" name="Picture 1023" descr="Documents icon">
          <a:extLst>
            <a:ext uri="{FF2B5EF4-FFF2-40B4-BE49-F238E27FC236}">
              <a16:creationId xmlns:a16="http://schemas.microsoft.com/office/drawing/2014/main" xmlns="" id="{00000000-0008-0000-0600-000000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46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3</xdr:col>
      <xdr:colOff>0</xdr:colOff>
      <xdr:row>7</xdr:row>
      <xdr:rowOff>76200</xdr:rowOff>
    </xdr:from>
    <xdr:to>
      <xdr:col>3</xdr:col>
      <xdr:colOff>82550</xdr:colOff>
      <xdr:row>8</xdr:row>
      <xdr:rowOff>57150</xdr:rowOff>
    </xdr:to>
    <xdr:pic>
      <xdr:nvPicPr>
        <xdr:cNvPr id="2" name="Control 1">
          <a:extLst>
            <a:ext uri="{FF2B5EF4-FFF2-40B4-BE49-F238E27FC236}">
              <a16:creationId xmlns:a16="http://schemas.microsoft.com/office/drawing/2014/main" xmlns="" id="{00000000-0008-0000-06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0800"/>
          <a:ext cx="82550" cy="158750"/>
        </a:xfrm>
        <a:prstGeom prst="rect">
          <a:avLst/>
        </a:prstGeom>
        <a:noFill/>
        <a:ln w="9525">
          <a:miter lim="800000"/>
          <a:headEnd/>
          <a:tailEnd/>
        </a:ln>
      </xdr:spPr>
    </xdr:pic>
    <xdr:clientData/>
  </xdr:twoCellAnchor>
  <xdr:twoCellAnchor editAs="oneCell">
    <xdr:from>
      <xdr:col>3</xdr:col>
      <xdr:colOff>0</xdr:colOff>
      <xdr:row>14</xdr:row>
      <xdr:rowOff>63500</xdr:rowOff>
    </xdr:from>
    <xdr:to>
      <xdr:col>3</xdr:col>
      <xdr:colOff>82550</xdr:colOff>
      <xdr:row>15</xdr:row>
      <xdr:rowOff>50800</xdr:rowOff>
    </xdr:to>
    <xdr:pic>
      <xdr:nvPicPr>
        <xdr:cNvPr id="4" name="Control 3">
          <a:extLst>
            <a:ext uri="{FF2B5EF4-FFF2-40B4-BE49-F238E27FC236}">
              <a16:creationId xmlns:a16="http://schemas.microsoft.com/office/drawing/2014/main" xmlns="" id="{00000000-0008-0000-0600-00000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52700"/>
          <a:ext cx="82550" cy="165100"/>
        </a:xfrm>
        <a:prstGeom prst="rect">
          <a:avLst/>
        </a:prstGeom>
        <a:noFill/>
        <a:ln w="9525">
          <a:miter lim="800000"/>
          <a:headEnd/>
          <a:tailEnd/>
        </a:ln>
      </xdr:spPr>
    </xdr:pic>
    <xdr:clientData/>
  </xdr:twoCellAnchor>
  <xdr:twoCellAnchor editAs="oneCell">
    <xdr:from>
      <xdr:col>3</xdr:col>
      <xdr:colOff>0</xdr:colOff>
      <xdr:row>21</xdr:row>
      <xdr:rowOff>38100</xdr:rowOff>
    </xdr:from>
    <xdr:to>
      <xdr:col>3</xdr:col>
      <xdr:colOff>82550</xdr:colOff>
      <xdr:row>22</xdr:row>
      <xdr:rowOff>25400</xdr:rowOff>
    </xdr:to>
    <xdr:pic>
      <xdr:nvPicPr>
        <xdr:cNvPr id="6" name="Control 5">
          <a:extLst>
            <a:ext uri="{FF2B5EF4-FFF2-40B4-BE49-F238E27FC236}">
              <a16:creationId xmlns:a16="http://schemas.microsoft.com/office/drawing/2014/main" xmlns="" id="{00000000-0008-0000-0600-00000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771900"/>
          <a:ext cx="82550" cy="165100"/>
        </a:xfrm>
        <a:prstGeom prst="rect">
          <a:avLst/>
        </a:prstGeom>
        <a:noFill/>
        <a:ln w="9525">
          <a:miter lim="800000"/>
          <a:headEnd/>
          <a:tailEnd/>
        </a:ln>
      </xdr:spPr>
    </xdr:pic>
    <xdr:clientData/>
  </xdr:twoCellAnchor>
  <xdr:twoCellAnchor editAs="oneCell">
    <xdr:from>
      <xdr:col>3</xdr:col>
      <xdr:colOff>0</xdr:colOff>
      <xdr:row>28</xdr:row>
      <xdr:rowOff>19050</xdr:rowOff>
    </xdr:from>
    <xdr:to>
      <xdr:col>3</xdr:col>
      <xdr:colOff>82550</xdr:colOff>
      <xdr:row>29</xdr:row>
      <xdr:rowOff>0</xdr:rowOff>
    </xdr:to>
    <xdr:pic>
      <xdr:nvPicPr>
        <xdr:cNvPr id="8" name="Control 7">
          <a:extLst>
            <a:ext uri="{FF2B5EF4-FFF2-40B4-BE49-F238E27FC236}">
              <a16:creationId xmlns:a16="http://schemas.microsoft.com/office/drawing/2014/main" xmlns="" id="{00000000-0008-0000-0600-00000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97450"/>
          <a:ext cx="82550" cy="158750"/>
        </a:xfrm>
        <a:prstGeom prst="rect">
          <a:avLst/>
        </a:prstGeom>
        <a:noFill/>
        <a:ln w="9525">
          <a:miter lim="800000"/>
          <a:headEnd/>
          <a:tailEnd/>
        </a:ln>
      </xdr:spPr>
    </xdr:pic>
    <xdr:clientData/>
  </xdr:twoCellAnchor>
  <xdr:twoCellAnchor editAs="oneCell">
    <xdr:from>
      <xdr:col>3</xdr:col>
      <xdr:colOff>0</xdr:colOff>
      <xdr:row>34</xdr:row>
      <xdr:rowOff>69850</xdr:rowOff>
    </xdr:from>
    <xdr:to>
      <xdr:col>3</xdr:col>
      <xdr:colOff>82550</xdr:colOff>
      <xdr:row>35</xdr:row>
      <xdr:rowOff>50800</xdr:rowOff>
    </xdr:to>
    <xdr:pic>
      <xdr:nvPicPr>
        <xdr:cNvPr id="10" name="Control 9">
          <a:extLst>
            <a:ext uri="{FF2B5EF4-FFF2-40B4-BE49-F238E27FC236}">
              <a16:creationId xmlns:a16="http://schemas.microsoft.com/office/drawing/2014/main" xmlns="" id="{00000000-0008-0000-0600-00000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15050"/>
          <a:ext cx="82550" cy="158750"/>
        </a:xfrm>
        <a:prstGeom prst="rect">
          <a:avLst/>
        </a:prstGeom>
        <a:noFill/>
        <a:ln w="9525">
          <a:miter lim="800000"/>
          <a:headEnd/>
          <a:tailEnd/>
        </a:ln>
      </xdr:spPr>
    </xdr:pic>
    <xdr:clientData/>
  </xdr:twoCellAnchor>
  <xdr:twoCellAnchor editAs="oneCell">
    <xdr:from>
      <xdr:col>3</xdr:col>
      <xdr:colOff>0</xdr:colOff>
      <xdr:row>41</xdr:row>
      <xdr:rowOff>38100</xdr:rowOff>
    </xdr:from>
    <xdr:to>
      <xdr:col>3</xdr:col>
      <xdr:colOff>82550</xdr:colOff>
      <xdr:row>42</xdr:row>
      <xdr:rowOff>19050</xdr:rowOff>
    </xdr:to>
    <xdr:pic>
      <xdr:nvPicPr>
        <xdr:cNvPr id="12" name="Control 11">
          <a:extLst>
            <a:ext uri="{FF2B5EF4-FFF2-40B4-BE49-F238E27FC236}">
              <a16:creationId xmlns:a16="http://schemas.microsoft.com/office/drawing/2014/main" xmlns="" id="{00000000-0008-0000-0600-00000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27900"/>
          <a:ext cx="82550" cy="158750"/>
        </a:xfrm>
        <a:prstGeom prst="rect">
          <a:avLst/>
        </a:prstGeom>
        <a:noFill/>
        <a:ln w="9525">
          <a:miter lim="800000"/>
          <a:headEnd/>
          <a:tailEnd/>
        </a:ln>
      </xdr:spPr>
    </xdr:pic>
    <xdr:clientData/>
  </xdr:twoCellAnchor>
  <xdr:twoCellAnchor editAs="oneCell">
    <xdr:from>
      <xdr:col>3</xdr:col>
      <xdr:colOff>0</xdr:colOff>
      <xdr:row>48</xdr:row>
      <xdr:rowOff>25400</xdr:rowOff>
    </xdr:from>
    <xdr:to>
      <xdr:col>3</xdr:col>
      <xdr:colOff>82550</xdr:colOff>
      <xdr:row>49</xdr:row>
      <xdr:rowOff>12700</xdr:rowOff>
    </xdr:to>
    <xdr:pic>
      <xdr:nvPicPr>
        <xdr:cNvPr id="14" name="Control 13">
          <a:extLst>
            <a:ext uri="{FF2B5EF4-FFF2-40B4-BE49-F238E27FC236}">
              <a16:creationId xmlns:a16="http://schemas.microsoft.com/office/drawing/2014/main" xmlns="" id="{00000000-0008-0000-0600-00000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59800"/>
          <a:ext cx="82550" cy="165100"/>
        </a:xfrm>
        <a:prstGeom prst="rect">
          <a:avLst/>
        </a:prstGeom>
        <a:noFill/>
        <a:ln w="9525">
          <a:miter lim="800000"/>
          <a:headEnd/>
          <a:tailEnd/>
        </a:ln>
      </xdr:spPr>
    </xdr:pic>
    <xdr:clientData/>
  </xdr:twoCellAnchor>
  <xdr:twoCellAnchor editAs="oneCell">
    <xdr:from>
      <xdr:col>3</xdr:col>
      <xdr:colOff>0</xdr:colOff>
      <xdr:row>54</xdr:row>
      <xdr:rowOff>69850</xdr:rowOff>
    </xdr:from>
    <xdr:to>
      <xdr:col>3</xdr:col>
      <xdr:colOff>82550</xdr:colOff>
      <xdr:row>55</xdr:row>
      <xdr:rowOff>50800</xdr:rowOff>
    </xdr:to>
    <xdr:pic>
      <xdr:nvPicPr>
        <xdr:cNvPr id="16" name="Control 15">
          <a:extLst>
            <a:ext uri="{FF2B5EF4-FFF2-40B4-BE49-F238E27FC236}">
              <a16:creationId xmlns:a16="http://schemas.microsoft.com/office/drawing/2014/main" xmlns="" id="{00000000-0008-0000-0600-00001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9671050"/>
          <a:ext cx="82550" cy="158750"/>
        </a:xfrm>
        <a:prstGeom prst="rect">
          <a:avLst/>
        </a:prstGeom>
        <a:noFill/>
        <a:ln w="9525">
          <a:miter lim="800000"/>
          <a:headEnd/>
          <a:tailEnd/>
        </a:ln>
      </xdr:spPr>
    </xdr:pic>
    <xdr:clientData/>
  </xdr:twoCellAnchor>
  <xdr:twoCellAnchor editAs="oneCell">
    <xdr:from>
      <xdr:col>3</xdr:col>
      <xdr:colOff>0</xdr:colOff>
      <xdr:row>61</xdr:row>
      <xdr:rowOff>50800</xdr:rowOff>
    </xdr:from>
    <xdr:to>
      <xdr:col>3</xdr:col>
      <xdr:colOff>82550</xdr:colOff>
      <xdr:row>62</xdr:row>
      <xdr:rowOff>31750</xdr:rowOff>
    </xdr:to>
    <xdr:pic>
      <xdr:nvPicPr>
        <xdr:cNvPr id="18" name="Control 17">
          <a:extLst>
            <a:ext uri="{FF2B5EF4-FFF2-40B4-BE49-F238E27FC236}">
              <a16:creationId xmlns:a16="http://schemas.microsoft.com/office/drawing/2014/main" xmlns="" id="{00000000-0008-0000-0600-00001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0896600"/>
          <a:ext cx="82550" cy="158750"/>
        </a:xfrm>
        <a:prstGeom prst="rect">
          <a:avLst/>
        </a:prstGeom>
        <a:noFill/>
        <a:ln w="9525">
          <a:miter lim="800000"/>
          <a:headEnd/>
          <a:tailEnd/>
        </a:ln>
      </xdr:spPr>
    </xdr:pic>
    <xdr:clientData/>
  </xdr:twoCellAnchor>
  <xdr:twoCellAnchor editAs="oneCell">
    <xdr:from>
      <xdr:col>3</xdr:col>
      <xdr:colOff>0</xdr:colOff>
      <xdr:row>68</xdr:row>
      <xdr:rowOff>31750</xdr:rowOff>
    </xdr:from>
    <xdr:to>
      <xdr:col>3</xdr:col>
      <xdr:colOff>82550</xdr:colOff>
      <xdr:row>69</xdr:row>
      <xdr:rowOff>12700</xdr:rowOff>
    </xdr:to>
    <xdr:pic>
      <xdr:nvPicPr>
        <xdr:cNvPr id="20" name="Control 19">
          <a:extLst>
            <a:ext uri="{FF2B5EF4-FFF2-40B4-BE49-F238E27FC236}">
              <a16:creationId xmlns:a16="http://schemas.microsoft.com/office/drawing/2014/main" xmlns="" id="{00000000-0008-0000-0600-00001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2122150"/>
          <a:ext cx="82550" cy="158750"/>
        </a:xfrm>
        <a:prstGeom prst="rect">
          <a:avLst/>
        </a:prstGeom>
        <a:noFill/>
        <a:ln w="9525">
          <a:miter lim="800000"/>
          <a:headEnd/>
          <a:tailEnd/>
        </a:ln>
      </xdr:spPr>
    </xdr:pic>
    <xdr:clientData/>
  </xdr:twoCellAnchor>
  <xdr:twoCellAnchor editAs="oneCell">
    <xdr:from>
      <xdr:col>3</xdr:col>
      <xdr:colOff>0</xdr:colOff>
      <xdr:row>74</xdr:row>
      <xdr:rowOff>69850</xdr:rowOff>
    </xdr:from>
    <xdr:to>
      <xdr:col>3</xdr:col>
      <xdr:colOff>82550</xdr:colOff>
      <xdr:row>75</xdr:row>
      <xdr:rowOff>50800</xdr:rowOff>
    </xdr:to>
    <xdr:pic>
      <xdr:nvPicPr>
        <xdr:cNvPr id="22" name="Control 21">
          <a:extLst>
            <a:ext uri="{FF2B5EF4-FFF2-40B4-BE49-F238E27FC236}">
              <a16:creationId xmlns:a16="http://schemas.microsoft.com/office/drawing/2014/main" xmlns="" id="{00000000-0008-0000-0600-00001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3227050"/>
          <a:ext cx="82550" cy="158750"/>
        </a:xfrm>
        <a:prstGeom prst="rect">
          <a:avLst/>
        </a:prstGeom>
        <a:noFill/>
        <a:ln w="9525">
          <a:miter lim="800000"/>
          <a:headEnd/>
          <a:tailEnd/>
        </a:ln>
      </xdr:spPr>
    </xdr:pic>
    <xdr:clientData/>
  </xdr:twoCellAnchor>
  <xdr:twoCellAnchor editAs="oneCell">
    <xdr:from>
      <xdr:col>3</xdr:col>
      <xdr:colOff>0</xdr:colOff>
      <xdr:row>81</xdr:row>
      <xdr:rowOff>50800</xdr:rowOff>
    </xdr:from>
    <xdr:to>
      <xdr:col>3</xdr:col>
      <xdr:colOff>82550</xdr:colOff>
      <xdr:row>82</xdr:row>
      <xdr:rowOff>31750</xdr:rowOff>
    </xdr:to>
    <xdr:pic>
      <xdr:nvPicPr>
        <xdr:cNvPr id="24" name="Control 23">
          <a:extLst>
            <a:ext uri="{FF2B5EF4-FFF2-40B4-BE49-F238E27FC236}">
              <a16:creationId xmlns:a16="http://schemas.microsoft.com/office/drawing/2014/main" xmlns="" id="{00000000-0008-0000-0600-00001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4452600"/>
          <a:ext cx="82550" cy="158750"/>
        </a:xfrm>
        <a:prstGeom prst="rect">
          <a:avLst/>
        </a:prstGeom>
        <a:noFill/>
        <a:ln w="9525">
          <a:miter lim="800000"/>
          <a:headEnd/>
          <a:tailEnd/>
        </a:ln>
      </xdr:spPr>
    </xdr:pic>
    <xdr:clientData/>
  </xdr:twoCellAnchor>
  <xdr:twoCellAnchor editAs="oneCell">
    <xdr:from>
      <xdr:col>3</xdr:col>
      <xdr:colOff>0</xdr:colOff>
      <xdr:row>88</xdr:row>
      <xdr:rowOff>0</xdr:rowOff>
    </xdr:from>
    <xdr:to>
      <xdr:col>3</xdr:col>
      <xdr:colOff>82550</xdr:colOff>
      <xdr:row>88</xdr:row>
      <xdr:rowOff>76200</xdr:rowOff>
    </xdr:to>
    <xdr:pic>
      <xdr:nvPicPr>
        <xdr:cNvPr id="26" name="Control 25">
          <a:extLst>
            <a:ext uri="{FF2B5EF4-FFF2-40B4-BE49-F238E27FC236}">
              <a16:creationId xmlns:a16="http://schemas.microsoft.com/office/drawing/2014/main" xmlns="" id="{00000000-0008-0000-0600-00001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5646400"/>
          <a:ext cx="82550" cy="76200"/>
        </a:xfrm>
        <a:prstGeom prst="rect">
          <a:avLst/>
        </a:prstGeom>
        <a:noFill/>
        <a:ln w="9525">
          <a:miter lim="800000"/>
          <a:headEnd/>
          <a:tailEnd/>
        </a:ln>
      </xdr:spPr>
    </xdr:pic>
    <xdr:clientData/>
  </xdr:twoCellAnchor>
  <xdr:twoCellAnchor editAs="oneCell">
    <xdr:from>
      <xdr:col>3</xdr:col>
      <xdr:colOff>0</xdr:colOff>
      <xdr:row>94</xdr:row>
      <xdr:rowOff>63500</xdr:rowOff>
    </xdr:from>
    <xdr:to>
      <xdr:col>3</xdr:col>
      <xdr:colOff>82550</xdr:colOff>
      <xdr:row>95</xdr:row>
      <xdr:rowOff>50800</xdr:rowOff>
    </xdr:to>
    <xdr:pic>
      <xdr:nvPicPr>
        <xdr:cNvPr id="28" name="Control 27">
          <a:extLst>
            <a:ext uri="{FF2B5EF4-FFF2-40B4-BE49-F238E27FC236}">
              <a16:creationId xmlns:a16="http://schemas.microsoft.com/office/drawing/2014/main" xmlns="" id="{00000000-0008-0000-0600-00001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6776700"/>
          <a:ext cx="82550" cy="165100"/>
        </a:xfrm>
        <a:prstGeom prst="rect">
          <a:avLst/>
        </a:prstGeom>
        <a:noFill/>
        <a:ln w="9525">
          <a:miter lim="800000"/>
          <a:headEnd/>
          <a:tailEnd/>
        </a:ln>
      </xdr:spPr>
    </xdr:pic>
    <xdr:clientData/>
  </xdr:twoCellAnchor>
  <xdr:twoCellAnchor editAs="oneCell">
    <xdr:from>
      <xdr:col>3</xdr:col>
      <xdr:colOff>0</xdr:colOff>
      <xdr:row>101</xdr:row>
      <xdr:rowOff>31750</xdr:rowOff>
    </xdr:from>
    <xdr:to>
      <xdr:col>3</xdr:col>
      <xdr:colOff>82550</xdr:colOff>
      <xdr:row>102</xdr:row>
      <xdr:rowOff>12700</xdr:rowOff>
    </xdr:to>
    <xdr:pic>
      <xdr:nvPicPr>
        <xdr:cNvPr id="30" name="Control 29">
          <a:extLst>
            <a:ext uri="{FF2B5EF4-FFF2-40B4-BE49-F238E27FC236}">
              <a16:creationId xmlns:a16="http://schemas.microsoft.com/office/drawing/2014/main" xmlns="" id="{00000000-0008-0000-0600-00001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7989550"/>
          <a:ext cx="82550" cy="158750"/>
        </a:xfrm>
        <a:prstGeom prst="rect">
          <a:avLst/>
        </a:prstGeom>
        <a:noFill/>
        <a:ln w="9525">
          <a:miter lim="800000"/>
          <a:headEnd/>
          <a:tailEnd/>
        </a:ln>
      </xdr:spPr>
    </xdr:pic>
    <xdr:clientData/>
  </xdr:twoCellAnchor>
  <xdr:twoCellAnchor editAs="oneCell">
    <xdr:from>
      <xdr:col>3</xdr:col>
      <xdr:colOff>0</xdr:colOff>
      <xdr:row>108</xdr:row>
      <xdr:rowOff>0</xdr:rowOff>
    </xdr:from>
    <xdr:to>
      <xdr:col>3</xdr:col>
      <xdr:colOff>82550</xdr:colOff>
      <xdr:row>108</xdr:row>
      <xdr:rowOff>76200</xdr:rowOff>
    </xdr:to>
    <xdr:pic>
      <xdr:nvPicPr>
        <xdr:cNvPr id="32" name="Control 31">
          <a:extLst>
            <a:ext uri="{FF2B5EF4-FFF2-40B4-BE49-F238E27FC236}">
              <a16:creationId xmlns:a16="http://schemas.microsoft.com/office/drawing/2014/main" xmlns="" id="{00000000-0008-0000-0600-00002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19202400"/>
          <a:ext cx="82550" cy="76200"/>
        </a:xfrm>
        <a:prstGeom prst="rect">
          <a:avLst/>
        </a:prstGeom>
        <a:noFill/>
        <a:ln w="9525">
          <a:miter lim="800000"/>
          <a:headEnd/>
          <a:tailEnd/>
        </a:ln>
      </xdr:spPr>
    </xdr:pic>
    <xdr:clientData/>
  </xdr:twoCellAnchor>
  <xdr:twoCellAnchor editAs="oneCell">
    <xdr:from>
      <xdr:col>3</xdr:col>
      <xdr:colOff>0</xdr:colOff>
      <xdr:row>114</xdr:row>
      <xdr:rowOff>57150</xdr:rowOff>
    </xdr:from>
    <xdr:to>
      <xdr:col>3</xdr:col>
      <xdr:colOff>82550</xdr:colOff>
      <xdr:row>115</xdr:row>
      <xdr:rowOff>38100</xdr:rowOff>
    </xdr:to>
    <xdr:pic>
      <xdr:nvPicPr>
        <xdr:cNvPr id="34" name="Control 33">
          <a:extLst>
            <a:ext uri="{FF2B5EF4-FFF2-40B4-BE49-F238E27FC236}">
              <a16:creationId xmlns:a16="http://schemas.microsoft.com/office/drawing/2014/main" xmlns="" id="{00000000-0008-0000-0600-00002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0326350"/>
          <a:ext cx="82550" cy="158750"/>
        </a:xfrm>
        <a:prstGeom prst="rect">
          <a:avLst/>
        </a:prstGeom>
        <a:noFill/>
        <a:ln w="9525">
          <a:miter lim="800000"/>
          <a:headEnd/>
          <a:tailEnd/>
        </a:ln>
      </xdr:spPr>
    </xdr:pic>
    <xdr:clientData/>
  </xdr:twoCellAnchor>
  <xdr:twoCellAnchor editAs="oneCell">
    <xdr:from>
      <xdr:col>3</xdr:col>
      <xdr:colOff>0</xdr:colOff>
      <xdr:row>121</xdr:row>
      <xdr:rowOff>31750</xdr:rowOff>
    </xdr:from>
    <xdr:to>
      <xdr:col>3</xdr:col>
      <xdr:colOff>82550</xdr:colOff>
      <xdr:row>122</xdr:row>
      <xdr:rowOff>12700</xdr:rowOff>
    </xdr:to>
    <xdr:pic>
      <xdr:nvPicPr>
        <xdr:cNvPr id="36" name="Control 35">
          <a:extLst>
            <a:ext uri="{FF2B5EF4-FFF2-40B4-BE49-F238E27FC236}">
              <a16:creationId xmlns:a16="http://schemas.microsoft.com/office/drawing/2014/main" xmlns="" id="{00000000-0008-0000-0600-00002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1545550"/>
          <a:ext cx="82550" cy="158750"/>
        </a:xfrm>
        <a:prstGeom prst="rect">
          <a:avLst/>
        </a:prstGeom>
        <a:noFill/>
        <a:ln w="9525">
          <a:miter lim="800000"/>
          <a:headEnd/>
          <a:tailEnd/>
        </a:ln>
      </xdr:spPr>
    </xdr:pic>
    <xdr:clientData/>
  </xdr:twoCellAnchor>
  <xdr:twoCellAnchor editAs="oneCell">
    <xdr:from>
      <xdr:col>3</xdr:col>
      <xdr:colOff>0</xdr:colOff>
      <xdr:row>128</xdr:row>
      <xdr:rowOff>6350</xdr:rowOff>
    </xdr:from>
    <xdr:to>
      <xdr:col>3</xdr:col>
      <xdr:colOff>82550</xdr:colOff>
      <xdr:row>128</xdr:row>
      <xdr:rowOff>82550</xdr:rowOff>
    </xdr:to>
    <xdr:pic>
      <xdr:nvPicPr>
        <xdr:cNvPr id="38" name="Control 37">
          <a:extLst>
            <a:ext uri="{FF2B5EF4-FFF2-40B4-BE49-F238E27FC236}">
              <a16:creationId xmlns:a16="http://schemas.microsoft.com/office/drawing/2014/main" xmlns="" id="{00000000-0008-0000-0600-00002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2764750"/>
          <a:ext cx="82550" cy="76200"/>
        </a:xfrm>
        <a:prstGeom prst="rect">
          <a:avLst/>
        </a:prstGeom>
        <a:noFill/>
        <a:ln w="9525">
          <a:miter lim="800000"/>
          <a:headEnd/>
          <a:tailEnd/>
        </a:ln>
      </xdr:spPr>
    </xdr:pic>
    <xdr:clientData/>
  </xdr:twoCellAnchor>
  <xdr:twoCellAnchor editAs="oneCell">
    <xdr:from>
      <xdr:col>3</xdr:col>
      <xdr:colOff>0</xdr:colOff>
      <xdr:row>134</xdr:row>
      <xdr:rowOff>69850</xdr:rowOff>
    </xdr:from>
    <xdr:to>
      <xdr:col>3</xdr:col>
      <xdr:colOff>82550</xdr:colOff>
      <xdr:row>135</xdr:row>
      <xdr:rowOff>50800</xdr:rowOff>
    </xdr:to>
    <xdr:pic>
      <xdr:nvPicPr>
        <xdr:cNvPr id="40" name="Control 39">
          <a:extLst>
            <a:ext uri="{FF2B5EF4-FFF2-40B4-BE49-F238E27FC236}">
              <a16:creationId xmlns:a16="http://schemas.microsoft.com/office/drawing/2014/main" xmlns="" id="{00000000-0008-0000-0600-00002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3895050"/>
          <a:ext cx="82550" cy="158750"/>
        </a:xfrm>
        <a:prstGeom prst="rect">
          <a:avLst/>
        </a:prstGeom>
        <a:noFill/>
        <a:ln w="9525">
          <a:miter lim="800000"/>
          <a:headEnd/>
          <a:tailEnd/>
        </a:ln>
      </xdr:spPr>
    </xdr:pic>
    <xdr:clientData/>
  </xdr:twoCellAnchor>
  <xdr:twoCellAnchor editAs="oneCell">
    <xdr:from>
      <xdr:col>3</xdr:col>
      <xdr:colOff>0</xdr:colOff>
      <xdr:row>141</xdr:row>
      <xdr:rowOff>44450</xdr:rowOff>
    </xdr:from>
    <xdr:to>
      <xdr:col>3</xdr:col>
      <xdr:colOff>82550</xdr:colOff>
      <xdr:row>142</xdr:row>
      <xdr:rowOff>31750</xdr:rowOff>
    </xdr:to>
    <xdr:pic>
      <xdr:nvPicPr>
        <xdr:cNvPr id="42" name="Control 41">
          <a:extLst>
            <a:ext uri="{FF2B5EF4-FFF2-40B4-BE49-F238E27FC236}">
              <a16:creationId xmlns:a16="http://schemas.microsoft.com/office/drawing/2014/main" xmlns="" id="{00000000-0008-0000-0600-00002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5114250"/>
          <a:ext cx="82550" cy="165100"/>
        </a:xfrm>
        <a:prstGeom prst="rect">
          <a:avLst/>
        </a:prstGeom>
        <a:noFill/>
        <a:ln w="9525">
          <a:miter lim="800000"/>
          <a:headEnd/>
          <a:tailEnd/>
        </a:ln>
      </xdr:spPr>
    </xdr:pic>
    <xdr:clientData/>
  </xdr:twoCellAnchor>
  <xdr:twoCellAnchor editAs="oneCell">
    <xdr:from>
      <xdr:col>3</xdr:col>
      <xdr:colOff>0</xdr:colOff>
      <xdr:row>147</xdr:row>
      <xdr:rowOff>76200</xdr:rowOff>
    </xdr:from>
    <xdr:to>
      <xdr:col>3</xdr:col>
      <xdr:colOff>82550</xdr:colOff>
      <xdr:row>148</xdr:row>
      <xdr:rowOff>63500</xdr:rowOff>
    </xdr:to>
    <xdr:pic>
      <xdr:nvPicPr>
        <xdr:cNvPr id="44" name="Control 43">
          <a:extLst>
            <a:ext uri="{FF2B5EF4-FFF2-40B4-BE49-F238E27FC236}">
              <a16:creationId xmlns:a16="http://schemas.microsoft.com/office/drawing/2014/main" xmlns="" id="{00000000-0008-0000-0600-00002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6212800"/>
          <a:ext cx="82550" cy="165100"/>
        </a:xfrm>
        <a:prstGeom prst="rect">
          <a:avLst/>
        </a:prstGeom>
        <a:noFill/>
        <a:ln w="9525">
          <a:miter lim="800000"/>
          <a:headEnd/>
          <a:tailEnd/>
        </a:ln>
      </xdr:spPr>
    </xdr:pic>
    <xdr:clientData/>
  </xdr:twoCellAnchor>
  <xdr:twoCellAnchor editAs="oneCell">
    <xdr:from>
      <xdr:col>3</xdr:col>
      <xdr:colOff>0</xdr:colOff>
      <xdr:row>154</xdr:row>
      <xdr:rowOff>57150</xdr:rowOff>
    </xdr:from>
    <xdr:to>
      <xdr:col>3</xdr:col>
      <xdr:colOff>82550</xdr:colOff>
      <xdr:row>155</xdr:row>
      <xdr:rowOff>44450</xdr:rowOff>
    </xdr:to>
    <xdr:pic>
      <xdr:nvPicPr>
        <xdr:cNvPr id="46" name="Control 45">
          <a:extLst>
            <a:ext uri="{FF2B5EF4-FFF2-40B4-BE49-F238E27FC236}">
              <a16:creationId xmlns:a16="http://schemas.microsoft.com/office/drawing/2014/main" xmlns="" id="{00000000-0008-0000-0600-00002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7438350"/>
          <a:ext cx="82550" cy="165100"/>
        </a:xfrm>
        <a:prstGeom prst="rect">
          <a:avLst/>
        </a:prstGeom>
        <a:noFill/>
        <a:ln w="9525">
          <a:miter lim="800000"/>
          <a:headEnd/>
          <a:tailEnd/>
        </a:ln>
      </xdr:spPr>
    </xdr:pic>
    <xdr:clientData/>
  </xdr:twoCellAnchor>
  <xdr:twoCellAnchor editAs="oneCell">
    <xdr:from>
      <xdr:col>3</xdr:col>
      <xdr:colOff>0</xdr:colOff>
      <xdr:row>161</xdr:row>
      <xdr:rowOff>19050</xdr:rowOff>
    </xdr:from>
    <xdr:to>
      <xdr:col>3</xdr:col>
      <xdr:colOff>82550</xdr:colOff>
      <xdr:row>162</xdr:row>
      <xdr:rowOff>6350</xdr:rowOff>
    </xdr:to>
    <xdr:pic>
      <xdr:nvPicPr>
        <xdr:cNvPr id="48" name="Control 47">
          <a:extLst>
            <a:ext uri="{FF2B5EF4-FFF2-40B4-BE49-F238E27FC236}">
              <a16:creationId xmlns:a16="http://schemas.microsoft.com/office/drawing/2014/main" xmlns="" id="{00000000-0008-0000-0600-00003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8644850"/>
          <a:ext cx="82550" cy="165100"/>
        </a:xfrm>
        <a:prstGeom prst="rect">
          <a:avLst/>
        </a:prstGeom>
        <a:noFill/>
        <a:ln w="9525">
          <a:miter lim="800000"/>
          <a:headEnd/>
          <a:tailEnd/>
        </a:ln>
      </xdr:spPr>
    </xdr:pic>
    <xdr:clientData/>
  </xdr:twoCellAnchor>
  <xdr:twoCellAnchor editAs="oneCell">
    <xdr:from>
      <xdr:col>3</xdr:col>
      <xdr:colOff>0</xdr:colOff>
      <xdr:row>168</xdr:row>
      <xdr:rowOff>19050</xdr:rowOff>
    </xdr:from>
    <xdr:to>
      <xdr:col>3</xdr:col>
      <xdr:colOff>82550</xdr:colOff>
      <xdr:row>169</xdr:row>
      <xdr:rowOff>6350</xdr:rowOff>
    </xdr:to>
    <xdr:pic>
      <xdr:nvPicPr>
        <xdr:cNvPr id="50" name="Control 49">
          <a:extLst>
            <a:ext uri="{FF2B5EF4-FFF2-40B4-BE49-F238E27FC236}">
              <a16:creationId xmlns:a16="http://schemas.microsoft.com/office/drawing/2014/main" xmlns="" id="{00000000-0008-0000-0600-00003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29889450"/>
          <a:ext cx="82550" cy="165100"/>
        </a:xfrm>
        <a:prstGeom prst="rect">
          <a:avLst/>
        </a:prstGeom>
        <a:noFill/>
        <a:ln w="9525">
          <a:miter lim="800000"/>
          <a:headEnd/>
          <a:tailEnd/>
        </a:ln>
      </xdr:spPr>
    </xdr:pic>
    <xdr:clientData/>
  </xdr:twoCellAnchor>
  <xdr:twoCellAnchor editAs="oneCell">
    <xdr:from>
      <xdr:col>3</xdr:col>
      <xdr:colOff>0</xdr:colOff>
      <xdr:row>174</xdr:row>
      <xdr:rowOff>63500</xdr:rowOff>
    </xdr:from>
    <xdr:to>
      <xdr:col>3</xdr:col>
      <xdr:colOff>82550</xdr:colOff>
      <xdr:row>175</xdr:row>
      <xdr:rowOff>50800</xdr:rowOff>
    </xdr:to>
    <xdr:pic>
      <xdr:nvPicPr>
        <xdr:cNvPr id="52" name="Control 51">
          <a:extLst>
            <a:ext uri="{FF2B5EF4-FFF2-40B4-BE49-F238E27FC236}">
              <a16:creationId xmlns:a16="http://schemas.microsoft.com/office/drawing/2014/main" xmlns="" id="{00000000-0008-0000-0600-00003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1000700"/>
          <a:ext cx="82550" cy="165100"/>
        </a:xfrm>
        <a:prstGeom prst="rect">
          <a:avLst/>
        </a:prstGeom>
        <a:noFill/>
        <a:ln w="9525">
          <a:miter lim="800000"/>
          <a:headEnd/>
          <a:tailEnd/>
        </a:ln>
      </xdr:spPr>
    </xdr:pic>
    <xdr:clientData/>
  </xdr:twoCellAnchor>
  <xdr:twoCellAnchor editAs="oneCell">
    <xdr:from>
      <xdr:col>3</xdr:col>
      <xdr:colOff>0</xdr:colOff>
      <xdr:row>181</xdr:row>
      <xdr:rowOff>19050</xdr:rowOff>
    </xdr:from>
    <xdr:to>
      <xdr:col>3</xdr:col>
      <xdr:colOff>82550</xdr:colOff>
      <xdr:row>182</xdr:row>
      <xdr:rowOff>0</xdr:rowOff>
    </xdr:to>
    <xdr:pic>
      <xdr:nvPicPr>
        <xdr:cNvPr id="54" name="Control 53">
          <a:extLst>
            <a:ext uri="{FF2B5EF4-FFF2-40B4-BE49-F238E27FC236}">
              <a16:creationId xmlns:a16="http://schemas.microsoft.com/office/drawing/2014/main" xmlns="" id="{00000000-0008-0000-0600-00003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2200850"/>
          <a:ext cx="82550" cy="158750"/>
        </a:xfrm>
        <a:prstGeom prst="rect">
          <a:avLst/>
        </a:prstGeom>
        <a:noFill/>
        <a:ln w="9525">
          <a:miter lim="800000"/>
          <a:headEnd/>
          <a:tailEnd/>
        </a:ln>
      </xdr:spPr>
    </xdr:pic>
    <xdr:clientData/>
  </xdr:twoCellAnchor>
  <xdr:twoCellAnchor editAs="oneCell">
    <xdr:from>
      <xdr:col>3</xdr:col>
      <xdr:colOff>0</xdr:colOff>
      <xdr:row>187</xdr:row>
      <xdr:rowOff>69850</xdr:rowOff>
    </xdr:from>
    <xdr:to>
      <xdr:col>3</xdr:col>
      <xdr:colOff>82550</xdr:colOff>
      <xdr:row>188</xdr:row>
      <xdr:rowOff>50800</xdr:rowOff>
    </xdr:to>
    <xdr:pic>
      <xdr:nvPicPr>
        <xdr:cNvPr id="56" name="Control 55">
          <a:extLst>
            <a:ext uri="{FF2B5EF4-FFF2-40B4-BE49-F238E27FC236}">
              <a16:creationId xmlns:a16="http://schemas.microsoft.com/office/drawing/2014/main" xmlns="" id="{00000000-0008-0000-0600-00003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3318450"/>
          <a:ext cx="82550" cy="158750"/>
        </a:xfrm>
        <a:prstGeom prst="rect">
          <a:avLst/>
        </a:prstGeom>
        <a:noFill/>
        <a:ln w="9525">
          <a:miter lim="800000"/>
          <a:headEnd/>
          <a:tailEnd/>
        </a:ln>
      </xdr:spPr>
    </xdr:pic>
    <xdr:clientData/>
  </xdr:twoCellAnchor>
  <xdr:twoCellAnchor editAs="oneCell">
    <xdr:from>
      <xdr:col>3</xdr:col>
      <xdr:colOff>0</xdr:colOff>
      <xdr:row>194</xdr:row>
      <xdr:rowOff>38100</xdr:rowOff>
    </xdr:from>
    <xdr:to>
      <xdr:col>3</xdr:col>
      <xdr:colOff>82550</xdr:colOff>
      <xdr:row>195</xdr:row>
      <xdr:rowOff>19050</xdr:rowOff>
    </xdr:to>
    <xdr:pic>
      <xdr:nvPicPr>
        <xdr:cNvPr id="58" name="Control 57">
          <a:extLst>
            <a:ext uri="{FF2B5EF4-FFF2-40B4-BE49-F238E27FC236}">
              <a16:creationId xmlns:a16="http://schemas.microsoft.com/office/drawing/2014/main" xmlns="" id="{00000000-0008-0000-0600-00003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4531300"/>
          <a:ext cx="82550" cy="158750"/>
        </a:xfrm>
        <a:prstGeom prst="rect">
          <a:avLst/>
        </a:prstGeom>
        <a:noFill/>
        <a:ln w="9525">
          <a:miter lim="800000"/>
          <a:headEnd/>
          <a:tailEnd/>
        </a:ln>
      </xdr:spPr>
    </xdr:pic>
    <xdr:clientData/>
  </xdr:twoCellAnchor>
  <xdr:twoCellAnchor editAs="oneCell">
    <xdr:from>
      <xdr:col>3</xdr:col>
      <xdr:colOff>0</xdr:colOff>
      <xdr:row>201</xdr:row>
      <xdr:rowOff>19050</xdr:rowOff>
    </xdr:from>
    <xdr:to>
      <xdr:col>3</xdr:col>
      <xdr:colOff>82550</xdr:colOff>
      <xdr:row>202</xdr:row>
      <xdr:rowOff>0</xdr:rowOff>
    </xdr:to>
    <xdr:pic>
      <xdr:nvPicPr>
        <xdr:cNvPr id="60" name="Control 59">
          <a:extLst>
            <a:ext uri="{FF2B5EF4-FFF2-40B4-BE49-F238E27FC236}">
              <a16:creationId xmlns:a16="http://schemas.microsoft.com/office/drawing/2014/main" xmlns="" id="{00000000-0008-0000-0600-00003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5756850"/>
          <a:ext cx="82550" cy="158750"/>
        </a:xfrm>
        <a:prstGeom prst="rect">
          <a:avLst/>
        </a:prstGeom>
        <a:noFill/>
        <a:ln w="9525">
          <a:miter lim="800000"/>
          <a:headEnd/>
          <a:tailEnd/>
        </a:ln>
      </xdr:spPr>
    </xdr:pic>
    <xdr:clientData/>
  </xdr:twoCellAnchor>
  <xdr:twoCellAnchor editAs="oneCell">
    <xdr:from>
      <xdr:col>3</xdr:col>
      <xdr:colOff>0</xdr:colOff>
      <xdr:row>207</xdr:row>
      <xdr:rowOff>82550</xdr:rowOff>
    </xdr:from>
    <xdr:to>
      <xdr:col>3</xdr:col>
      <xdr:colOff>82550</xdr:colOff>
      <xdr:row>208</xdr:row>
      <xdr:rowOff>69850</xdr:rowOff>
    </xdr:to>
    <xdr:pic>
      <xdr:nvPicPr>
        <xdr:cNvPr id="62" name="Control 61">
          <a:extLst>
            <a:ext uri="{FF2B5EF4-FFF2-40B4-BE49-F238E27FC236}">
              <a16:creationId xmlns:a16="http://schemas.microsoft.com/office/drawing/2014/main" xmlns="" id="{00000000-0008-0000-0600-00003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6887150"/>
          <a:ext cx="82550" cy="165100"/>
        </a:xfrm>
        <a:prstGeom prst="rect">
          <a:avLst/>
        </a:prstGeom>
        <a:noFill/>
        <a:ln w="9525">
          <a:miter lim="800000"/>
          <a:headEnd/>
          <a:tailEnd/>
        </a:ln>
      </xdr:spPr>
    </xdr:pic>
    <xdr:clientData/>
  </xdr:twoCellAnchor>
  <xdr:twoCellAnchor editAs="oneCell">
    <xdr:from>
      <xdr:col>3</xdr:col>
      <xdr:colOff>0</xdr:colOff>
      <xdr:row>214</xdr:row>
      <xdr:rowOff>50800</xdr:rowOff>
    </xdr:from>
    <xdr:to>
      <xdr:col>3</xdr:col>
      <xdr:colOff>82550</xdr:colOff>
      <xdr:row>215</xdr:row>
      <xdr:rowOff>31750</xdr:rowOff>
    </xdr:to>
    <xdr:pic>
      <xdr:nvPicPr>
        <xdr:cNvPr id="64" name="Control 63">
          <a:extLst>
            <a:ext uri="{FF2B5EF4-FFF2-40B4-BE49-F238E27FC236}">
              <a16:creationId xmlns:a16="http://schemas.microsoft.com/office/drawing/2014/main" xmlns="" id="{00000000-0008-0000-06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8100000"/>
          <a:ext cx="82550" cy="158750"/>
        </a:xfrm>
        <a:prstGeom prst="rect">
          <a:avLst/>
        </a:prstGeom>
        <a:noFill/>
        <a:ln w="9525">
          <a:miter lim="800000"/>
          <a:headEnd/>
          <a:tailEnd/>
        </a:ln>
      </xdr:spPr>
    </xdr:pic>
    <xdr:clientData/>
  </xdr:twoCellAnchor>
  <xdr:twoCellAnchor editAs="oneCell">
    <xdr:from>
      <xdr:col>3</xdr:col>
      <xdr:colOff>0</xdr:colOff>
      <xdr:row>221</xdr:row>
      <xdr:rowOff>25400</xdr:rowOff>
    </xdr:from>
    <xdr:to>
      <xdr:col>3</xdr:col>
      <xdr:colOff>82550</xdr:colOff>
      <xdr:row>222</xdr:row>
      <xdr:rowOff>12700</xdr:rowOff>
    </xdr:to>
    <xdr:pic>
      <xdr:nvPicPr>
        <xdr:cNvPr id="66" name="Control 65">
          <a:extLst>
            <a:ext uri="{FF2B5EF4-FFF2-40B4-BE49-F238E27FC236}">
              <a16:creationId xmlns:a16="http://schemas.microsoft.com/office/drawing/2014/main" xmlns="" id="{00000000-0008-0000-0600-00004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39319200"/>
          <a:ext cx="82550" cy="165100"/>
        </a:xfrm>
        <a:prstGeom prst="rect">
          <a:avLst/>
        </a:prstGeom>
        <a:noFill/>
        <a:ln w="9525">
          <a:miter lim="800000"/>
          <a:headEnd/>
          <a:tailEnd/>
        </a:ln>
      </xdr:spPr>
    </xdr:pic>
    <xdr:clientData/>
  </xdr:twoCellAnchor>
  <xdr:twoCellAnchor editAs="oneCell">
    <xdr:from>
      <xdr:col>3</xdr:col>
      <xdr:colOff>0</xdr:colOff>
      <xdr:row>227</xdr:row>
      <xdr:rowOff>69850</xdr:rowOff>
    </xdr:from>
    <xdr:to>
      <xdr:col>3</xdr:col>
      <xdr:colOff>82550</xdr:colOff>
      <xdr:row>228</xdr:row>
      <xdr:rowOff>50800</xdr:rowOff>
    </xdr:to>
    <xdr:pic>
      <xdr:nvPicPr>
        <xdr:cNvPr id="68" name="Control 67">
          <a:extLst>
            <a:ext uri="{FF2B5EF4-FFF2-40B4-BE49-F238E27FC236}">
              <a16:creationId xmlns:a16="http://schemas.microsoft.com/office/drawing/2014/main" xmlns="" id="{00000000-0008-0000-0600-00004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0430450"/>
          <a:ext cx="82550" cy="158750"/>
        </a:xfrm>
        <a:prstGeom prst="rect">
          <a:avLst/>
        </a:prstGeom>
        <a:noFill/>
        <a:ln w="9525">
          <a:miter lim="800000"/>
          <a:headEnd/>
          <a:tailEnd/>
        </a:ln>
      </xdr:spPr>
    </xdr:pic>
    <xdr:clientData/>
  </xdr:twoCellAnchor>
  <xdr:twoCellAnchor editAs="oneCell">
    <xdr:from>
      <xdr:col>3</xdr:col>
      <xdr:colOff>0</xdr:colOff>
      <xdr:row>234</xdr:row>
      <xdr:rowOff>57150</xdr:rowOff>
    </xdr:from>
    <xdr:to>
      <xdr:col>3</xdr:col>
      <xdr:colOff>82550</xdr:colOff>
      <xdr:row>235</xdr:row>
      <xdr:rowOff>38100</xdr:rowOff>
    </xdr:to>
    <xdr:pic>
      <xdr:nvPicPr>
        <xdr:cNvPr id="70" name="Control 69">
          <a:extLst>
            <a:ext uri="{FF2B5EF4-FFF2-40B4-BE49-F238E27FC236}">
              <a16:creationId xmlns:a16="http://schemas.microsoft.com/office/drawing/2014/main" xmlns="" id="{00000000-0008-0000-0600-00004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1662350"/>
          <a:ext cx="82550" cy="158750"/>
        </a:xfrm>
        <a:prstGeom prst="rect">
          <a:avLst/>
        </a:prstGeom>
        <a:noFill/>
        <a:ln w="9525">
          <a:miter lim="800000"/>
          <a:headEnd/>
          <a:tailEnd/>
        </a:ln>
      </xdr:spPr>
    </xdr:pic>
    <xdr:clientData/>
  </xdr:twoCellAnchor>
  <xdr:twoCellAnchor editAs="oneCell">
    <xdr:from>
      <xdr:col>3</xdr:col>
      <xdr:colOff>0</xdr:colOff>
      <xdr:row>241</xdr:row>
      <xdr:rowOff>0</xdr:rowOff>
    </xdr:from>
    <xdr:to>
      <xdr:col>3</xdr:col>
      <xdr:colOff>82550</xdr:colOff>
      <xdr:row>241</xdr:row>
      <xdr:rowOff>76200</xdr:rowOff>
    </xdr:to>
    <xdr:pic>
      <xdr:nvPicPr>
        <xdr:cNvPr id="72" name="Control 71">
          <a:extLst>
            <a:ext uri="{FF2B5EF4-FFF2-40B4-BE49-F238E27FC236}">
              <a16:creationId xmlns:a16="http://schemas.microsoft.com/office/drawing/2014/main" xmlns="" id="{00000000-0008-0000-0600-00004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2849800"/>
          <a:ext cx="82550" cy="76200"/>
        </a:xfrm>
        <a:prstGeom prst="rect">
          <a:avLst/>
        </a:prstGeom>
        <a:noFill/>
        <a:ln w="9525">
          <a:miter lim="800000"/>
          <a:headEnd/>
          <a:tailEnd/>
        </a:ln>
      </xdr:spPr>
    </xdr:pic>
    <xdr:clientData/>
  </xdr:twoCellAnchor>
  <xdr:twoCellAnchor editAs="oneCell">
    <xdr:from>
      <xdr:col>3</xdr:col>
      <xdr:colOff>0</xdr:colOff>
      <xdr:row>247</xdr:row>
      <xdr:rowOff>76200</xdr:rowOff>
    </xdr:from>
    <xdr:to>
      <xdr:col>3</xdr:col>
      <xdr:colOff>82550</xdr:colOff>
      <xdr:row>248</xdr:row>
      <xdr:rowOff>57150</xdr:rowOff>
    </xdr:to>
    <xdr:pic>
      <xdr:nvPicPr>
        <xdr:cNvPr id="74" name="Control 73">
          <a:extLst>
            <a:ext uri="{FF2B5EF4-FFF2-40B4-BE49-F238E27FC236}">
              <a16:creationId xmlns:a16="http://schemas.microsoft.com/office/drawing/2014/main" xmlns="" id="{00000000-0008-0000-0600-00004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3992800"/>
          <a:ext cx="82550" cy="158750"/>
        </a:xfrm>
        <a:prstGeom prst="rect">
          <a:avLst/>
        </a:prstGeom>
        <a:noFill/>
        <a:ln w="9525">
          <a:miter lim="800000"/>
          <a:headEnd/>
          <a:tailEnd/>
        </a:ln>
      </xdr:spPr>
    </xdr:pic>
    <xdr:clientData/>
  </xdr:twoCellAnchor>
  <xdr:twoCellAnchor editAs="oneCell">
    <xdr:from>
      <xdr:col>3</xdr:col>
      <xdr:colOff>0</xdr:colOff>
      <xdr:row>254</xdr:row>
      <xdr:rowOff>38100</xdr:rowOff>
    </xdr:from>
    <xdr:to>
      <xdr:col>3</xdr:col>
      <xdr:colOff>82550</xdr:colOff>
      <xdr:row>255</xdr:row>
      <xdr:rowOff>19050</xdr:rowOff>
    </xdr:to>
    <xdr:pic>
      <xdr:nvPicPr>
        <xdr:cNvPr id="76" name="Control 75">
          <a:extLst>
            <a:ext uri="{FF2B5EF4-FFF2-40B4-BE49-F238E27FC236}">
              <a16:creationId xmlns:a16="http://schemas.microsoft.com/office/drawing/2014/main" xmlns="" id="{00000000-0008-0000-0600-00004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5199300"/>
          <a:ext cx="82550" cy="158750"/>
        </a:xfrm>
        <a:prstGeom prst="rect">
          <a:avLst/>
        </a:prstGeom>
        <a:noFill/>
        <a:ln w="9525">
          <a:miter lim="800000"/>
          <a:headEnd/>
          <a:tailEnd/>
        </a:ln>
      </xdr:spPr>
    </xdr:pic>
    <xdr:clientData/>
  </xdr:twoCellAnchor>
  <xdr:twoCellAnchor editAs="oneCell">
    <xdr:from>
      <xdr:col>3</xdr:col>
      <xdr:colOff>0</xdr:colOff>
      <xdr:row>261</xdr:row>
      <xdr:rowOff>19050</xdr:rowOff>
    </xdr:from>
    <xdr:to>
      <xdr:col>3</xdr:col>
      <xdr:colOff>82550</xdr:colOff>
      <xdr:row>262</xdr:row>
      <xdr:rowOff>0</xdr:rowOff>
    </xdr:to>
    <xdr:pic>
      <xdr:nvPicPr>
        <xdr:cNvPr id="78" name="Control 77">
          <a:extLst>
            <a:ext uri="{FF2B5EF4-FFF2-40B4-BE49-F238E27FC236}">
              <a16:creationId xmlns:a16="http://schemas.microsoft.com/office/drawing/2014/main" xmlns="" id="{00000000-0008-0000-0600-00004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6424850"/>
          <a:ext cx="82550" cy="158750"/>
        </a:xfrm>
        <a:prstGeom prst="rect">
          <a:avLst/>
        </a:prstGeom>
        <a:noFill/>
        <a:ln w="9525">
          <a:miter lim="800000"/>
          <a:headEnd/>
          <a:tailEnd/>
        </a:ln>
      </xdr:spPr>
    </xdr:pic>
    <xdr:clientData/>
  </xdr:twoCellAnchor>
  <xdr:twoCellAnchor editAs="oneCell">
    <xdr:from>
      <xdr:col>3</xdr:col>
      <xdr:colOff>0</xdr:colOff>
      <xdr:row>267</xdr:row>
      <xdr:rowOff>44450</xdr:rowOff>
    </xdr:from>
    <xdr:to>
      <xdr:col>3</xdr:col>
      <xdr:colOff>82550</xdr:colOff>
      <xdr:row>268</xdr:row>
      <xdr:rowOff>31750</xdr:rowOff>
    </xdr:to>
    <xdr:pic>
      <xdr:nvPicPr>
        <xdr:cNvPr id="80" name="Control 79">
          <a:extLst>
            <a:ext uri="{FF2B5EF4-FFF2-40B4-BE49-F238E27FC236}">
              <a16:creationId xmlns:a16="http://schemas.microsoft.com/office/drawing/2014/main" xmlns="" id="{00000000-0008-0000-0600-00005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7517050"/>
          <a:ext cx="82550" cy="165100"/>
        </a:xfrm>
        <a:prstGeom prst="rect">
          <a:avLst/>
        </a:prstGeom>
        <a:noFill/>
        <a:ln w="9525">
          <a:miter lim="800000"/>
          <a:headEnd/>
          <a:tailEnd/>
        </a:ln>
      </xdr:spPr>
    </xdr:pic>
    <xdr:clientData/>
  </xdr:twoCellAnchor>
  <xdr:twoCellAnchor editAs="oneCell">
    <xdr:from>
      <xdr:col>3</xdr:col>
      <xdr:colOff>0</xdr:colOff>
      <xdr:row>274</xdr:row>
      <xdr:rowOff>57150</xdr:rowOff>
    </xdr:from>
    <xdr:to>
      <xdr:col>3</xdr:col>
      <xdr:colOff>82550</xdr:colOff>
      <xdr:row>275</xdr:row>
      <xdr:rowOff>44450</xdr:rowOff>
    </xdr:to>
    <xdr:pic>
      <xdr:nvPicPr>
        <xdr:cNvPr id="82" name="Control 81">
          <a:extLst>
            <a:ext uri="{FF2B5EF4-FFF2-40B4-BE49-F238E27FC236}">
              <a16:creationId xmlns:a16="http://schemas.microsoft.com/office/drawing/2014/main" xmlns="" id="{00000000-0008-0000-0600-00005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8774350"/>
          <a:ext cx="82550" cy="165100"/>
        </a:xfrm>
        <a:prstGeom prst="rect">
          <a:avLst/>
        </a:prstGeom>
        <a:noFill/>
        <a:ln w="9525">
          <a:miter lim="800000"/>
          <a:headEnd/>
          <a:tailEnd/>
        </a:ln>
      </xdr:spPr>
    </xdr:pic>
    <xdr:clientData/>
  </xdr:twoCellAnchor>
  <xdr:twoCellAnchor editAs="oneCell">
    <xdr:from>
      <xdr:col>3</xdr:col>
      <xdr:colOff>0</xdr:colOff>
      <xdr:row>280</xdr:row>
      <xdr:rowOff>88900</xdr:rowOff>
    </xdr:from>
    <xdr:to>
      <xdr:col>3</xdr:col>
      <xdr:colOff>82550</xdr:colOff>
      <xdr:row>281</xdr:row>
      <xdr:rowOff>69850</xdr:rowOff>
    </xdr:to>
    <xdr:pic>
      <xdr:nvPicPr>
        <xdr:cNvPr id="84" name="Control 83">
          <a:extLst>
            <a:ext uri="{FF2B5EF4-FFF2-40B4-BE49-F238E27FC236}">
              <a16:creationId xmlns:a16="http://schemas.microsoft.com/office/drawing/2014/main" xmlns="" id="{00000000-0008-0000-0600-00005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49872900"/>
          <a:ext cx="82550" cy="158750"/>
        </a:xfrm>
        <a:prstGeom prst="rect">
          <a:avLst/>
        </a:prstGeom>
        <a:noFill/>
        <a:ln w="9525">
          <a:miter lim="800000"/>
          <a:headEnd/>
          <a:tailEnd/>
        </a:ln>
      </xdr:spPr>
    </xdr:pic>
    <xdr:clientData/>
  </xdr:twoCellAnchor>
  <xdr:twoCellAnchor editAs="oneCell">
    <xdr:from>
      <xdr:col>3</xdr:col>
      <xdr:colOff>0</xdr:colOff>
      <xdr:row>287</xdr:row>
      <xdr:rowOff>57150</xdr:rowOff>
    </xdr:from>
    <xdr:to>
      <xdr:col>3</xdr:col>
      <xdr:colOff>82550</xdr:colOff>
      <xdr:row>288</xdr:row>
      <xdr:rowOff>44450</xdr:rowOff>
    </xdr:to>
    <xdr:pic>
      <xdr:nvPicPr>
        <xdr:cNvPr id="86" name="Control 85">
          <a:extLst>
            <a:ext uri="{FF2B5EF4-FFF2-40B4-BE49-F238E27FC236}">
              <a16:creationId xmlns:a16="http://schemas.microsoft.com/office/drawing/2014/main" xmlns="" id="{00000000-0008-0000-0600-00005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1085750"/>
          <a:ext cx="82550" cy="165100"/>
        </a:xfrm>
        <a:prstGeom prst="rect">
          <a:avLst/>
        </a:prstGeom>
        <a:noFill/>
        <a:ln w="9525">
          <a:miter lim="800000"/>
          <a:headEnd/>
          <a:tailEnd/>
        </a:ln>
      </xdr:spPr>
    </xdr:pic>
    <xdr:clientData/>
  </xdr:twoCellAnchor>
  <xdr:twoCellAnchor editAs="oneCell">
    <xdr:from>
      <xdr:col>3</xdr:col>
      <xdr:colOff>0</xdr:colOff>
      <xdr:row>294</xdr:row>
      <xdr:rowOff>63500</xdr:rowOff>
    </xdr:from>
    <xdr:to>
      <xdr:col>3</xdr:col>
      <xdr:colOff>82550</xdr:colOff>
      <xdr:row>295</xdr:row>
      <xdr:rowOff>50800</xdr:rowOff>
    </xdr:to>
    <xdr:pic>
      <xdr:nvPicPr>
        <xdr:cNvPr id="88" name="Control 87">
          <a:extLst>
            <a:ext uri="{FF2B5EF4-FFF2-40B4-BE49-F238E27FC236}">
              <a16:creationId xmlns:a16="http://schemas.microsoft.com/office/drawing/2014/main" xmlns="" id="{00000000-0008-0000-0600-00005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2336700"/>
          <a:ext cx="82550" cy="165100"/>
        </a:xfrm>
        <a:prstGeom prst="rect">
          <a:avLst/>
        </a:prstGeom>
        <a:noFill/>
        <a:ln w="9525">
          <a:miter lim="800000"/>
          <a:headEnd/>
          <a:tailEnd/>
        </a:ln>
      </xdr:spPr>
    </xdr:pic>
    <xdr:clientData/>
  </xdr:twoCellAnchor>
  <xdr:twoCellAnchor editAs="oneCell">
    <xdr:from>
      <xdr:col>3</xdr:col>
      <xdr:colOff>0</xdr:colOff>
      <xdr:row>300</xdr:row>
      <xdr:rowOff>82550</xdr:rowOff>
    </xdr:from>
    <xdr:to>
      <xdr:col>3</xdr:col>
      <xdr:colOff>82550</xdr:colOff>
      <xdr:row>301</xdr:row>
      <xdr:rowOff>69850</xdr:rowOff>
    </xdr:to>
    <xdr:pic>
      <xdr:nvPicPr>
        <xdr:cNvPr id="90" name="Control 89">
          <a:extLst>
            <a:ext uri="{FF2B5EF4-FFF2-40B4-BE49-F238E27FC236}">
              <a16:creationId xmlns:a16="http://schemas.microsoft.com/office/drawing/2014/main" xmlns="" id="{00000000-0008-0000-0600-00005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3422550"/>
          <a:ext cx="82550" cy="165100"/>
        </a:xfrm>
        <a:prstGeom prst="rect">
          <a:avLst/>
        </a:prstGeom>
        <a:noFill/>
        <a:ln w="9525">
          <a:miter lim="800000"/>
          <a:headEnd/>
          <a:tailEnd/>
        </a:ln>
      </xdr:spPr>
    </xdr:pic>
    <xdr:clientData/>
  </xdr:twoCellAnchor>
  <xdr:twoCellAnchor editAs="oneCell">
    <xdr:from>
      <xdr:col>3</xdr:col>
      <xdr:colOff>0</xdr:colOff>
      <xdr:row>307</xdr:row>
      <xdr:rowOff>44450</xdr:rowOff>
    </xdr:from>
    <xdr:to>
      <xdr:col>3</xdr:col>
      <xdr:colOff>82550</xdr:colOff>
      <xdr:row>308</xdr:row>
      <xdr:rowOff>31750</xdr:rowOff>
    </xdr:to>
    <xdr:pic>
      <xdr:nvPicPr>
        <xdr:cNvPr id="92" name="Control 91">
          <a:extLst>
            <a:ext uri="{FF2B5EF4-FFF2-40B4-BE49-F238E27FC236}">
              <a16:creationId xmlns:a16="http://schemas.microsoft.com/office/drawing/2014/main" xmlns="" id="{00000000-0008-0000-0600-00005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4629050"/>
          <a:ext cx="82550" cy="165100"/>
        </a:xfrm>
        <a:prstGeom prst="rect">
          <a:avLst/>
        </a:prstGeom>
        <a:noFill/>
        <a:ln w="9525">
          <a:miter lim="800000"/>
          <a:headEnd/>
          <a:tailEnd/>
        </a:ln>
      </xdr:spPr>
    </xdr:pic>
    <xdr:clientData/>
  </xdr:twoCellAnchor>
  <xdr:twoCellAnchor editAs="oneCell">
    <xdr:from>
      <xdr:col>3</xdr:col>
      <xdr:colOff>0</xdr:colOff>
      <xdr:row>314</xdr:row>
      <xdr:rowOff>19050</xdr:rowOff>
    </xdr:from>
    <xdr:to>
      <xdr:col>3</xdr:col>
      <xdr:colOff>82550</xdr:colOff>
      <xdr:row>315</xdr:row>
      <xdr:rowOff>6350</xdr:rowOff>
    </xdr:to>
    <xdr:pic>
      <xdr:nvPicPr>
        <xdr:cNvPr id="94" name="Control 93">
          <a:extLst>
            <a:ext uri="{FF2B5EF4-FFF2-40B4-BE49-F238E27FC236}">
              <a16:creationId xmlns:a16="http://schemas.microsoft.com/office/drawing/2014/main" xmlns="" id="{00000000-0008-0000-0600-00005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5848250"/>
          <a:ext cx="82550" cy="165100"/>
        </a:xfrm>
        <a:prstGeom prst="rect">
          <a:avLst/>
        </a:prstGeom>
        <a:noFill/>
        <a:ln w="9525">
          <a:miter lim="800000"/>
          <a:headEnd/>
          <a:tailEnd/>
        </a:ln>
      </xdr:spPr>
    </xdr:pic>
    <xdr:clientData/>
  </xdr:twoCellAnchor>
  <xdr:twoCellAnchor editAs="oneCell">
    <xdr:from>
      <xdr:col>3</xdr:col>
      <xdr:colOff>0</xdr:colOff>
      <xdr:row>321</xdr:row>
      <xdr:rowOff>31750</xdr:rowOff>
    </xdr:from>
    <xdr:to>
      <xdr:col>3</xdr:col>
      <xdr:colOff>82550</xdr:colOff>
      <xdr:row>322</xdr:row>
      <xdr:rowOff>12700</xdr:rowOff>
    </xdr:to>
    <xdr:pic>
      <xdr:nvPicPr>
        <xdr:cNvPr id="96" name="Control 95">
          <a:extLst>
            <a:ext uri="{FF2B5EF4-FFF2-40B4-BE49-F238E27FC236}">
              <a16:creationId xmlns:a16="http://schemas.microsoft.com/office/drawing/2014/main" xmlns="" id="{00000000-0008-0000-0600-00006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7105550"/>
          <a:ext cx="82550" cy="158750"/>
        </a:xfrm>
        <a:prstGeom prst="rect">
          <a:avLst/>
        </a:prstGeom>
        <a:noFill/>
        <a:ln w="9525">
          <a:miter lim="800000"/>
          <a:headEnd/>
          <a:tailEnd/>
        </a:ln>
      </xdr:spPr>
    </xdr:pic>
    <xdr:clientData/>
  </xdr:twoCellAnchor>
  <xdr:twoCellAnchor editAs="oneCell">
    <xdr:from>
      <xdr:col>3</xdr:col>
      <xdr:colOff>0</xdr:colOff>
      <xdr:row>327</xdr:row>
      <xdr:rowOff>76200</xdr:rowOff>
    </xdr:from>
    <xdr:to>
      <xdr:col>3</xdr:col>
      <xdr:colOff>82550</xdr:colOff>
      <xdr:row>328</xdr:row>
      <xdr:rowOff>57150</xdr:rowOff>
    </xdr:to>
    <xdr:pic>
      <xdr:nvPicPr>
        <xdr:cNvPr id="98" name="Control 97">
          <a:extLst>
            <a:ext uri="{FF2B5EF4-FFF2-40B4-BE49-F238E27FC236}">
              <a16:creationId xmlns:a16="http://schemas.microsoft.com/office/drawing/2014/main" xmlns="" id="{00000000-0008-0000-0600-00006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8216800"/>
          <a:ext cx="82550" cy="158750"/>
        </a:xfrm>
        <a:prstGeom prst="rect">
          <a:avLst/>
        </a:prstGeom>
        <a:noFill/>
        <a:ln w="9525">
          <a:miter lim="800000"/>
          <a:headEnd/>
          <a:tailEnd/>
        </a:ln>
      </xdr:spPr>
    </xdr:pic>
    <xdr:clientData/>
  </xdr:twoCellAnchor>
  <xdr:twoCellAnchor editAs="oneCell">
    <xdr:from>
      <xdr:col>3</xdr:col>
      <xdr:colOff>0</xdr:colOff>
      <xdr:row>334</xdr:row>
      <xdr:rowOff>25400</xdr:rowOff>
    </xdr:from>
    <xdr:to>
      <xdr:col>3</xdr:col>
      <xdr:colOff>82550</xdr:colOff>
      <xdr:row>335</xdr:row>
      <xdr:rowOff>12700</xdr:rowOff>
    </xdr:to>
    <xdr:pic>
      <xdr:nvPicPr>
        <xdr:cNvPr id="100" name="Control 99">
          <a:extLst>
            <a:ext uri="{FF2B5EF4-FFF2-40B4-BE49-F238E27FC236}">
              <a16:creationId xmlns:a16="http://schemas.microsoft.com/office/drawing/2014/main" xmlns="" id="{00000000-0008-0000-0600-00006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59410600"/>
          <a:ext cx="82550" cy="165100"/>
        </a:xfrm>
        <a:prstGeom prst="rect">
          <a:avLst/>
        </a:prstGeom>
        <a:noFill/>
        <a:ln w="9525">
          <a:miter lim="800000"/>
          <a:headEnd/>
          <a:tailEnd/>
        </a:ln>
      </xdr:spPr>
    </xdr:pic>
    <xdr:clientData/>
  </xdr:twoCellAnchor>
  <xdr:twoCellAnchor editAs="oneCell">
    <xdr:from>
      <xdr:col>3</xdr:col>
      <xdr:colOff>0</xdr:colOff>
      <xdr:row>341</xdr:row>
      <xdr:rowOff>19050</xdr:rowOff>
    </xdr:from>
    <xdr:to>
      <xdr:col>3</xdr:col>
      <xdr:colOff>82550</xdr:colOff>
      <xdr:row>342</xdr:row>
      <xdr:rowOff>0</xdr:rowOff>
    </xdr:to>
    <xdr:pic>
      <xdr:nvPicPr>
        <xdr:cNvPr id="102" name="Control 101">
          <a:extLst>
            <a:ext uri="{FF2B5EF4-FFF2-40B4-BE49-F238E27FC236}">
              <a16:creationId xmlns:a16="http://schemas.microsoft.com/office/drawing/2014/main" xmlns="" id="{00000000-0008-0000-0600-00006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0648850"/>
          <a:ext cx="82550" cy="158750"/>
        </a:xfrm>
        <a:prstGeom prst="rect">
          <a:avLst/>
        </a:prstGeom>
        <a:noFill/>
        <a:ln w="9525">
          <a:miter lim="800000"/>
          <a:headEnd/>
          <a:tailEnd/>
        </a:ln>
      </xdr:spPr>
    </xdr:pic>
    <xdr:clientData/>
  </xdr:twoCellAnchor>
  <xdr:twoCellAnchor editAs="oneCell">
    <xdr:from>
      <xdr:col>3</xdr:col>
      <xdr:colOff>0</xdr:colOff>
      <xdr:row>347</xdr:row>
      <xdr:rowOff>57150</xdr:rowOff>
    </xdr:from>
    <xdr:to>
      <xdr:col>3</xdr:col>
      <xdr:colOff>82550</xdr:colOff>
      <xdr:row>348</xdr:row>
      <xdr:rowOff>38100</xdr:rowOff>
    </xdr:to>
    <xdr:pic>
      <xdr:nvPicPr>
        <xdr:cNvPr id="104" name="Control 103">
          <a:extLst>
            <a:ext uri="{FF2B5EF4-FFF2-40B4-BE49-F238E27FC236}">
              <a16:creationId xmlns:a16="http://schemas.microsoft.com/office/drawing/2014/main" xmlns="" id="{00000000-0008-0000-0600-00006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1753750"/>
          <a:ext cx="82550" cy="158750"/>
        </a:xfrm>
        <a:prstGeom prst="rect">
          <a:avLst/>
        </a:prstGeom>
        <a:noFill/>
        <a:ln w="9525">
          <a:miter lim="800000"/>
          <a:headEnd/>
          <a:tailEnd/>
        </a:ln>
      </xdr:spPr>
    </xdr:pic>
    <xdr:clientData/>
  </xdr:twoCellAnchor>
  <xdr:twoCellAnchor editAs="oneCell">
    <xdr:from>
      <xdr:col>3</xdr:col>
      <xdr:colOff>0</xdr:colOff>
      <xdr:row>354</xdr:row>
      <xdr:rowOff>19050</xdr:rowOff>
    </xdr:from>
    <xdr:to>
      <xdr:col>3</xdr:col>
      <xdr:colOff>82550</xdr:colOff>
      <xdr:row>355</xdr:row>
      <xdr:rowOff>0</xdr:rowOff>
    </xdr:to>
    <xdr:pic>
      <xdr:nvPicPr>
        <xdr:cNvPr id="106" name="Control 105">
          <a:extLst>
            <a:ext uri="{FF2B5EF4-FFF2-40B4-BE49-F238E27FC236}">
              <a16:creationId xmlns:a16="http://schemas.microsoft.com/office/drawing/2014/main" xmlns="" id="{00000000-0008-0000-0600-00006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2960250"/>
          <a:ext cx="82550" cy="158750"/>
        </a:xfrm>
        <a:prstGeom prst="rect">
          <a:avLst/>
        </a:prstGeom>
        <a:noFill/>
        <a:ln w="9525">
          <a:miter lim="800000"/>
          <a:headEnd/>
          <a:tailEnd/>
        </a:ln>
      </xdr:spPr>
    </xdr:pic>
    <xdr:clientData/>
  </xdr:twoCellAnchor>
  <xdr:twoCellAnchor editAs="oneCell">
    <xdr:from>
      <xdr:col>3</xdr:col>
      <xdr:colOff>0</xdr:colOff>
      <xdr:row>360</xdr:row>
      <xdr:rowOff>63500</xdr:rowOff>
    </xdr:from>
    <xdr:to>
      <xdr:col>3</xdr:col>
      <xdr:colOff>82550</xdr:colOff>
      <xdr:row>361</xdr:row>
      <xdr:rowOff>50800</xdr:rowOff>
    </xdr:to>
    <xdr:pic>
      <xdr:nvPicPr>
        <xdr:cNvPr id="108" name="Control 107">
          <a:extLst>
            <a:ext uri="{FF2B5EF4-FFF2-40B4-BE49-F238E27FC236}">
              <a16:creationId xmlns:a16="http://schemas.microsoft.com/office/drawing/2014/main" xmlns="" id="{00000000-0008-0000-0600-00006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4071500"/>
          <a:ext cx="82550" cy="165100"/>
        </a:xfrm>
        <a:prstGeom prst="rect">
          <a:avLst/>
        </a:prstGeom>
        <a:noFill/>
        <a:ln w="9525">
          <a:miter lim="800000"/>
          <a:headEnd/>
          <a:tailEnd/>
        </a:ln>
      </xdr:spPr>
    </xdr:pic>
    <xdr:clientData/>
  </xdr:twoCellAnchor>
  <xdr:twoCellAnchor editAs="oneCell">
    <xdr:from>
      <xdr:col>3</xdr:col>
      <xdr:colOff>0</xdr:colOff>
      <xdr:row>367</xdr:row>
      <xdr:rowOff>38100</xdr:rowOff>
    </xdr:from>
    <xdr:to>
      <xdr:col>3</xdr:col>
      <xdr:colOff>82550</xdr:colOff>
      <xdr:row>368</xdr:row>
      <xdr:rowOff>19050</xdr:rowOff>
    </xdr:to>
    <xdr:pic>
      <xdr:nvPicPr>
        <xdr:cNvPr id="110" name="Control 109">
          <a:extLst>
            <a:ext uri="{FF2B5EF4-FFF2-40B4-BE49-F238E27FC236}">
              <a16:creationId xmlns:a16="http://schemas.microsoft.com/office/drawing/2014/main" xmlns="" id="{00000000-0008-0000-0600-00006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5290700"/>
          <a:ext cx="82550" cy="158750"/>
        </a:xfrm>
        <a:prstGeom prst="rect">
          <a:avLst/>
        </a:prstGeom>
        <a:noFill/>
        <a:ln w="9525">
          <a:miter lim="800000"/>
          <a:headEnd/>
          <a:tailEnd/>
        </a:ln>
      </xdr:spPr>
    </xdr:pic>
    <xdr:clientData/>
  </xdr:twoCellAnchor>
  <xdr:twoCellAnchor editAs="oneCell">
    <xdr:from>
      <xdr:col>3</xdr:col>
      <xdr:colOff>0</xdr:colOff>
      <xdr:row>373</xdr:row>
      <xdr:rowOff>88900</xdr:rowOff>
    </xdr:from>
    <xdr:to>
      <xdr:col>3</xdr:col>
      <xdr:colOff>82550</xdr:colOff>
      <xdr:row>374</xdr:row>
      <xdr:rowOff>69850</xdr:rowOff>
    </xdr:to>
    <xdr:pic>
      <xdr:nvPicPr>
        <xdr:cNvPr id="112" name="Control 111">
          <a:extLst>
            <a:ext uri="{FF2B5EF4-FFF2-40B4-BE49-F238E27FC236}">
              <a16:creationId xmlns:a16="http://schemas.microsoft.com/office/drawing/2014/main" xmlns="" id="{00000000-0008-0000-0600-00007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6408300"/>
          <a:ext cx="82550" cy="158750"/>
        </a:xfrm>
        <a:prstGeom prst="rect">
          <a:avLst/>
        </a:prstGeom>
        <a:noFill/>
        <a:ln w="9525">
          <a:miter lim="800000"/>
          <a:headEnd/>
          <a:tailEnd/>
        </a:ln>
      </xdr:spPr>
    </xdr:pic>
    <xdr:clientData/>
  </xdr:twoCellAnchor>
  <xdr:twoCellAnchor editAs="oneCell">
    <xdr:from>
      <xdr:col>3</xdr:col>
      <xdr:colOff>0</xdr:colOff>
      <xdr:row>380</xdr:row>
      <xdr:rowOff>57150</xdr:rowOff>
    </xdr:from>
    <xdr:to>
      <xdr:col>3</xdr:col>
      <xdr:colOff>82550</xdr:colOff>
      <xdr:row>381</xdr:row>
      <xdr:rowOff>44450</xdr:rowOff>
    </xdr:to>
    <xdr:pic>
      <xdr:nvPicPr>
        <xdr:cNvPr id="114" name="Control 113">
          <a:extLst>
            <a:ext uri="{FF2B5EF4-FFF2-40B4-BE49-F238E27FC236}">
              <a16:creationId xmlns:a16="http://schemas.microsoft.com/office/drawing/2014/main" xmlns="" id="{00000000-0008-0000-0600-00007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7621150"/>
          <a:ext cx="82550" cy="165100"/>
        </a:xfrm>
        <a:prstGeom prst="rect">
          <a:avLst/>
        </a:prstGeom>
        <a:noFill/>
        <a:ln w="9525">
          <a:miter lim="800000"/>
          <a:headEnd/>
          <a:tailEnd/>
        </a:ln>
      </xdr:spPr>
    </xdr:pic>
    <xdr:clientData/>
  </xdr:twoCellAnchor>
  <xdr:twoCellAnchor editAs="oneCell">
    <xdr:from>
      <xdr:col>3</xdr:col>
      <xdr:colOff>0</xdr:colOff>
      <xdr:row>387</xdr:row>
      <xdr:rowOff>38100</xdr:rowOff>
    </xdr:from>
    <xdr:to>
      <xdr:col>3</xdr:col>
      <xdr:colOff>82550</xdr:colOff>
      <xdr:row>388</xdr:row>
      <xdr:rowOff>19050</xdr:rowOff>
    </xdr:to>
    <xdr:pic>
      <xdr:nvPicPr>
        <xdr:cNvPr id="116" name="Control 115">
          <a:extLst>
            <a:ext uri="{FF2B5EF4-FFF2-40B4-BE49-F238E27FC236}">
              <a16:creationId xmlns:a16="http://schemas.microsoft.com/office/drawing/2014/main" xmlns="" id="{00000000-0008-0000-0600-00007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68846700"/>
          <a:ext cx="82550" cy="158750"/>
        </a:xfrm>
        <a:prstGeom prst="rect">
          <a:avLst/>
        </a:prstGeom>
        <a:noFill/>
        <a:ln w="9525">
          <a:miter lim="800000"/>
          <a:headEnd/>
          <a:tailEnd/>
        </a:ln>
      </xdr:spPr>
    </xdr:pic>
    <xdr:clientData/>
  </xdr:twoCellAnchor>
  <xdr:twoCellAnchor editAs="oneCell">
    <xdr:from>
      <xdr:col>3</xdr:col>
      <xdr:colOff>0</xdr:colOff>
      <xdr:row>394</xdr:row>
      <xdr:rowOff>0</xdr:rowOff>
    </xdr:from>
    <xdr:to>
      <xdr:col>3</xdr:col>
      <xdr:colOff>82550</xdr:colOff>
      <xdr:row>394</xdr:row>
      <xdr:rowOff>76200</xdr:rowOff>
    </xdr:to>
    <xdr:pic>
      <xdr:nvPicPr>
        <xdr:cNvPr id="118" name="Control 117">
          <a:extLst>
            <a:ext uri="{FF2B5EF4-FFF2-40B4-BE49-F238E27FC236}">
              <a16:creationId xmlns:a16="http://schemas.microsoft.com/office/drawing/2014/main" xmlns="" id="{00000000-0008-0000-0600-00007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0053200"/>
          <a:ext cx="82550" cy="76200"/>
        </a:xfrm>
        <a:prstGeom prst="rect">
          <a:avLst/>
        </a:prstGeom>
        <a:noFill/>
        <a:ln w="9525">
          <a:miter lim="800000"/>
          <a:headEnd/>
          <a:tailEnd/>
        </a:ln>
      </xdr:spPr>
    </xdr:pic>
    <xdr:clientData/>
  </xdr:twoCellAnchor>
  <xdr:twoCellAnchor editAs="oneCell">
    <xdr:from>
      <xdr:col>3</xdr:col>
      <xdr:colOff>0</xdr:colOff>
      <xdr:row>400</xdr:row>
      <xdr:rowOff>76200</xdr:rowOff>
    </xdr:from>
    <xdr:to>
      <xdr:col>3</xdr:col>
      <xdr:colOff>82550</xdr:colOff>
      <xdr:row>401</xdr:row>
      <xdr:rowOff>57150</xdr:rowOff>
    </xdr:to>
    <xdr:pic>
      <xdr:nvPicPr>
        <xdr:cNvPr id="120" name="Control 119">
          <a:extLst>
            <a:ext uri="{FF2B5EF4-FFF2-40B4-BE49-F238E27FC236}">
              <a16:creationId xmlns:a16="http://schemas.microsoft.com/office/drawing/2014/main" xmlns="" id="{00000000-0008-0000-0600-00007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1196200"/>
          <a:ext cx="82550" cy="158750"/>
        </a:xfrm>
        <a:prstGeom prst="rect">
          <a:avLst/>
        </a:prstGeom>
        <a:noFill/>
        <a:ln w="9525">
          <a:miter lim="800000"/>
          <a:headEnd/>
          <a:tailEnd/>
        </a:ln>
      </xdr:spPr>
    </xdr:pic>
    <xdr:clientData/>
  </xdr:twoCellAnchor>
  <xdr:twoCellAnchor editAs="oneCell">
    <xdr:from>
      <xdr:col>3</xdr:col>
      <xdr:colOff>0</xdr:colOff>
      <xdr:row>407</xdr:row>
      <xdr:rowOff>50800</xdr:rowOff>
    </xdr:from>
    <xdr:to>
      <xdr:col>3</xdr:col>
      <xdr:colOff>82550</xdr:colOff>
      <xdr:row>408</xdr:row>
      <xdr:rowOff>31750</xdr:rowOff>
    </xdr:to>
    <xdr:pic>
      <xdr:nvPicPr>
        <xdr:cNvPr id="122" name="Control 121">
          <a:extLst>
            <a:ext uri="{FF2B5EF4-FFF2-40B4-BE49-F238E27FC236}">
              <a16:creationId xmlns:a16="http://schemas.microsoft.com/office/drawing/2014/main" xmlns="" id="{00000000-0008-0000-0600-00007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2415400"/>
          <a:ext cx="82550" cy="158750"/>
        </a:xfrm>
        <a:prstGeom prst="rect">
          <a:avLst/>
        </a:prstGeom>
        <a:noFill/>
        <a:ln w="9525">
          <a:miter lim="800000"/>
          <a:headEnd/>
          <a:tailEnd/>
        </a:ln>
      </xdr:spPr>
    </xdr:pic>
    <xdr:clientData/>
  </xdr:twoCellAnchor>
  <xdr:twoCellAnchor editAs="oneCell">
    <xdr:from>
      <xdr:col>3</xdr:col>
      <xdr:colOff>0</xdr:colOff>
      <xdr:row>414</xdr:row>
      <xdr:rowOff>44450</xdr:rowOff>
    </xdr:from>
    <xdr:to>
      <xdr:col>3</xdr:col>
      <xdr:colOff>82550</xdr:colOff>
      <xdr:row>415</xdr:row>
      <xdr:rowOff>31750</xdr:rowOff>
    </xdr:to>
    <xdr:pic>
      <xdr:nvPicPr>
        <xdr:cNvPr id="124" name="Control 123">
          <a:extLst>
            <a:ext uri="{FF2B5EF4-FFF2-40B4-BE49-F238E27FC236}">
              <a16:creationId xmlns:a16="http://schemas.microsoft.com/office/drawing/2014/main" xmlns="" id="{00000000-0008-0000-0600-00007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3653650"/>
          <a:ext cx="82550" cy="165100"/>
        </a:xfrm>
        <a:prstGeom prst="rect">
          <a:avLst/>
        </a:prstGeom>
        <a:noFill/>
        <a:ln w="9525">
          <a:miter lim="800000"/>
          <a:headEnd/>
          <a:tailEnd/>
        </a:ln>
      </xdr:spPr>
    </xdr:pic>
    <xdr:clientData/>
  </xdr:twoCellAnchor>
  <xdr:twoCellAnchor editAs="oneCell">
    <xdr:from>
      <xdr:col>3</xdr:col>
      <xdr:colOff>0</xdr:colOff>
      <xdr:row>420</xdr:row>
      <xdr:rowOff>57150</xdr:rowOff>
    </xdr:from>
    <xdr:to>
      <xdr:col>3</xdr:col>
      <xdr:colOff>82550</xdr:colOff>
      <xdr:row>421</xdr:row>
      <xdr:rowOff>38100</xdr:rowOff>
    </xdr:to>
    <xdr:pic>
      <xdr:nvPicPr>
        <xdr:cNvPr id="126" name="Control 125">
          <a:extLst>
            <a:ext uri="{FF2B5EF4-FFF2-40B4-BE49-F238E27FC236}">
              <a16:creationId xmlns:a16="http://schemas.microsoft.com/office/drawing/2014/main" xmlns="" id="{00000000-0008-0000-0600-00007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4733150"/>
          <a:ext cx="82550" cy="158750"/>
        </a:xfrm>
        <a:prstGeom prst="rect">
          <a:avLst/>
        </a:prstGeom>
        <a:noFill/>
        <a:ln w="9525">
          <a:miter lim="800000"/>
          <a:headEnd/>
          <a:tailEnd/>
        </a:ln>
      </xdr:spPr>
    </xdr:pic>
    <xdr:clientData/>
  </xdr:twoCellAnchor>
  <xdr:twoCellAnchor editAs="oneCell">
    <xdr:from>
      <xdr:col>3</xdr:col>
      <xdr:colOff>0</xdr:colOff>
      <xdr:row>427</xdr:row>
      <xdr:rowOff>25400</xdr:rowOff>
    </xdr:from>
    <xdr:to>
      <xdr:col>3</xdr:col>
      <xdr:colOff>82550</xdr:colOff>
      <xdr:row>428</xdr:row>
      <xdr:rowOff>12700</xdr:rowOff>
    </xdr:to>
    <xdr:pic>
      <xdr:nvPicPr>
        <xdr:cNvPr id="128" name="Control 127">
          <a:extLst>
            <a:ext uri="{FF2B5EF4-FFF2-40B4-BE49-F238E27FC236}">
              <a16:creationId xmlns:a16="http://schemas.microsoft.com/office/drawing/2014/main" xmlns="" id="{00000000-0008-0000-0600-00008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5946000"/>
          <a:ext cx="82550" cy="165100"/>
        </a:xfrm>
        <a:prstGeom prst="rect">
          <a:avLst/>
        </a:prstGeom>
        <a:noFill/>
        <a:ln w="9525">
          <a:miter lim="800000"/>
          <a:headEnd/>
          <a:tailEnd/>
        </a:ln>
      </xdr:spPr>
    </xdr:pic>
    <xdr:clientData/>
  </xdr:twoCellAnchor>
  <xdr:twoCellAnchor editAs="oneCell">
    <xdr:from>
      <xdr:col>3</xdr:col>
      <xdr:colOff>0</xdr:colOff>
      <xdr:row>433</xdr:row>
      <xdr:rowOff>88900</xdr:rowOff>
    </xdr:from>
    <xdr:to>
      <xdr:col>3</xdr:col>
      <xdr:colOff>82550</xdr:colOff>
      <xdr:row>434</xdr:row>
      <xdr:rowOff>69850</xdr:rowOff>
    </xdr:to>
    <xdr:pic>
      <xdr:nvPicPr>
        <xdr:cNvPr id="130" name="Control 129">
          <a:extLst>
            <a:ext uri="{FF2B5EF4-FFF2-40B4-BE49-F238E27FC236}">
              <a16:creationId xmlns:a16="http://schemas.microsoft.com/office/drawing/2014/main" xmlns="" id="{00000000-0008-0000-0600-00008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7076300"/>
          <a:ext cx="82550" cy="158750"/>
        </a:xfrm>
        <a:prstGeom prst="rect">
          <a:avLst/>
        </a:prstGeom>
        <a:noFill/>
        <a:ln w="9525">
          <a:miter lim="800000"/>
          <a:headEnd/>
          <a:tailEnd/>
        </a:ln>
      </xdr:spPr>
    </xdr:pic>
    <xdr:clientData/>
  </xdr:twoCellAnchor>
  <xdr:twoCellAnchor editAs="oneCell">
    <xdr:from>
      <xdr:col>3</xdr:col>
      <xdr:colOff>0</xdr:colOff>
      <xdr:row>440</xdr:row>
      <xdr:rowOff>82550</xdr:rowOff>
    </xdr:from>
    <xdr:to>
      <xdr:col>3</xdr:col>
      <xdr:colOff>82550</xdr:colOff>
      <xdr:row>441</xdr:row>
      <xdr:rowOff>69850</xdr:rowOff>
    </xdr:to>
    <xdr:pic>
      <xdr:nvPicPr>
        <xdr:cNvPr id="132" name="Control 131">
          <a:extLst>
            <a:ext uri="{FF2B5EF4-FFF2-40B4-BE49-F238E27FC236}">
              <a16:creationId xmlns:a16="http://schemas.microsoft.com/office/drawing/2014/main" xmlns="" id="{00000000-0008-0000-0600-00008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8314550"/>
          <a:ext cx="82550" cy="165100"/>
        </a:xfrm>
        <a:prstGeom prst="rect">
          <a:avLst/>
        </a:prstGeom>
        <a:noFill/>
        <a:ln w="9525">
          <a:miter lim="800000"/>
          <a:headEnd/>
          <a:tailEnd/>
        </a:ln>
      </xdr:spPr>
    </xdr:pic>
    <xdr:clientData/>
  </xdr:twoCellAnchor>
  <xdr:twoCellAnchor editAs="oneCell">
    <xdr:from>
      <xdr:col>3</xdr:col>
      <xdr:colOff>0</xdr:colOff>
      <xdr:row>447</xdr:row>
      <xdr:rowOff>31750</xdr:rowOff>
    </xdr:from>
    <xdr:to>
      <xdr:col>3</xdr:col>
      <xdr:colOff>82550</xdr:colOff>
      <xdr:row>448</xdr:row>
      <xdr:rowOff>12700</xdr:rowOff>
    </xdr:to>
    <xdr:pic>
      <xdr:nvPicPr>
        <xdr:cNvPr id="134" name="Control 133">
          <a:extLst>
            <a:ext uri="{FF2B5EF4-FFF2-40B4-BE49-F238E27FC236}">
              <a16:creationId xmlns:a16="http://schemas.microsoft.com/office/drawing/2014/main" xmlns="" id="{00000000-0008-0000-0600-00008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79508350"/>
          <a:ext cx="82550" cy="158750"/>
        </a:xfrm>
        <a:prstGeom prst="rect">
          <a:avLst/>
        </a:prstGeom>
        <a:noFill/>
        <a:ln w="9525">
          <a:miter lim="800000"/>
          <a:headEnd/>
          <a:tailEnd/>
        </a:ln>
      </xdr:spPr>
    </xdr:pic>
    <xdr:clientData/>
  </xdr:twoCellAnchor>
  <xdr:twoCellAnchor editAs="oneCell">
    <xdr:from>
      <xdr:col>3</xdr:col>
      <xdr:colOff>0</xdr:colOff>
      <xdr:row>453</xdr:row>
      <xdr:rowOff>82550</xdr:rowOff>
    </xdr:from>
    <xdr:to>
      <xdr:col>3</xdr:col>
      <xdr:colOff>82550</xdr:colOff>
      <xdr:row>454</xdr:row>
      <xdr:rowOff>69850</xdr:rowOff>
    </xdr:to>
    <xdr:pic>
      <xdr:nvPicPr>
        <xdr:cNvPr id="136" name="Control 135">
          <a:extLst>
            <a:ext uri="{FF2B5EF4-FFF2-40B4-BE49-F238E27FC236}">
              <a16:creationId xmlns:a16="http://schemas.microsoft.com/office/drawing/2014/main" xmlns="" id="{00000000-0008-0000-0600-000088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0625950"/>
          <a:ext cx="82550" cy="165100"/>
        </a:xfrm>
        <a:prstGeom prst="rect">
          <a:avLst/>
        </a:prstGeom>
        <a:noFill/>
        <a:ln w="9525">
          <a:miter lim="800000"/>
          <a:headEnd/>
          <a:tailEnd/>
        </a:ln>
      </xdr:spPr>
    </xdr:pic>
    <xdr:clientData/>
  </xdr:twoCellAnchor>
  <xdr:twoCellAnchor editAs="oneCell">
    <xdr:from>
      <xdr:col>3</xdr:col>
      <xdr:colOff>0</xdr:colOff>
      <xdr:row>460</xdr:row>
      <xdr:rowOff>88900</xdr:rowOff>
    </xdr:from>
    <xdr:to>
      <xdr:col>3</xdr:col>
      <xdr:colOff>82550</xdr:colOff>
      <xdr:row>461</xdr:row>
      <xdr:rowOff>69850</xdr:rowOff>
    </xdr:to>
    <xdr:pic>
      <xdr:nvPicPr>
        <xdr:cNvPr id="138" name="Control 137">
          <a:extLst>
            <a:ext uri="{FF2B5EF4-FFF2-40B4-BE49-F238E27FC236}">
              <a16:creationId xmlns:a16="http://schemas.microsoft.com/office/drawing/2014/main" xmlns="" id="{00000000-0008-0000-0600-00008A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1876900"/>
          <a:ext cx="82550" cy="158750"/>
        </a:xfrm>
        <a:prstGeom prst="rect">
          <a:avLst/>
        </a:prstGeom>
        <a:noFill/>
        <a:ln w="9525">
          <a:miter lim="800000"/>
          <a:headEnd/>
          <a:tailEnd/>
        </a:ln>
      </xdr:spPr>
    </xdr:pic>
    <xdr:clientData/>
  </xdr:twoCellAnchor>
  <xdr:twoCellAnchor editAs="oneCell">
    <xdr:from>
      <xdr:col>3</xdr:col>
      <xdr:colOff>0</xdr:colOff>
      <xdr:row>467</xdr:row>
      <xdr:rowOff>12700</xdr:rowOff>
    </xdr:from>
    <xdr:to>
      <xdr:col>3</xdr:col>
      <xdr:colOff>82550</xdr:colOff>
      <xdr:row>467</xdr:row>
      <xdr:rowOff>82550</xdr:rowOff>
    </xdr:to>
    <xdr:pic>
      <xdr:nvPicPr>
        <xdr:cNvPr id="140" name="Control 139">
          <a:extLst>
            <a:ext uri="{FF2B5EF4-FFF2-40B4-BE49-F238E27FC236}">
              <a16:creationId xmlns:a16="http://schemas.microsoft.com/office/drawing/2014/main" xmlns="" id="{00000000-0008-0000-0600-00008C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3045300"/>
          <a:ext cx="82550" cy="69850"/>
        </a:xfrm>
        <a:prstGeom prst="rect">
          <a:avLst/>
        </a:prstGeom>
        <a:noFill/>
        <a:ln w="9525">
          <a:miter lim="800000"/>
          <a:headEnd/>
          <a:tailEnd/>
        </a:ln>
      </xdr:spPr>
    </xdr:pic>
    <xdr:clientData/>
  </xdr:twoCellAnchor>
  <xdr:twoCellAnchor editAs="oneCell">
    <xdr:from>
      <xdr:col>3</xdr:col>
      <xdr:colOff>0</xdr:colOff>
      <xdr:row>473</xdr:row>
      <xdr:rowOff>88900</xdr:rowOff>
    </xdr:from>
    <xdr:to>
      <xdr:col>3</xdr:col>
      <xdr:colOff>82550</xdr:colOff>
      <xdr:row>474</xdr:row>
      <xdr:rowOff>69850</xdr:rowOff>
    </xdr:to>
    <xdr:pic>
      <xdr:nvPicPr>
        <xdr:cNvPr id="142" name="Control 141">
          <a:extLst>
            <a:ext uri="{FF2B5EF4-FFF2-40B4-BE49-F238E27FC236}">
              <a16:creationId xmlns:a16="http://schemas.microsoft.com/office/drawing/2014/main" xmlns="" id="{00000000-0008-0000-0600-00008E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4188300"/>
          <a:ext cx="82550" cy="158750"/>
        </a:xfrm>
        <a:prstGeom prst="rect">
          <a:avLst/>
        </a:prstGeom>
        <a:noFill/>
        <a:ln w="9525">
          <a:miter lim="800000"/>
          <a:headEnd/>
          <a:tailEnd/>
        </a:ln>
      </xdr:spPr>
    </xdr:pic>
    <xdr:clientData/>
  </xdr:twoCellAnchor>
  <xdr:twoCellAnchor editAs="oneCell">
    <xdr:from>
      <xdr:col>3</xdr:col>
      <xdr:colOff>0</xdr:colOff>
      <xdr:row>480</xdr:row>
      <xdr:rowOff>38100</xdr:rowOff>
    </xdr:from>
    <xdr:to>
      <xdr:col>3</xdr:col>
      <xdr:colOff>82550</xdr:colOff>
      <xdr:row>481</xdr:row>
      <xdr:rowOff>25400</xdr:rowOff>
    </xdr:to>
    <xdr:pic>
      <xdr:nvPicPr>
        <xdr:cNvPr id="144" name="Control 143">
          <a:extLst>
            <a:ext uri="{FF2B5EF4-FFF2-40B4-BE49-F238E27FC236}">
              <a16:creationId xmlns:a16="http://schemas.microsoft.com/office/drawing/2014/main" xmlns="" id="{00000000-0008-0000-0600-00009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5382100"/>
          <a:ext cx="82550" cy="165100"/>
        </a:xfrm>
        <a:prstGeom prst="rect">
          <a:avLst/>
        </a:prstGeom>
        <a:noFill/>
        <a:ln w="9525">
          <a:miter lim="800000"/>
          <a:headEnd/>
          <a:tailEnd/>
        </a:ln>
      </xdr:spPr>
    </xdr:pic>
    <xdr:clientData/>
  </xdr:twoCellAnchor>
  <xdr:twoCellAnchor editAs="oneCell">
    <xdr:from>
      <xdr:col>3</xdr:col>
      <xdr:colOff>0</xdr:colOff>
      <xdr:row>487</xdr:row>
      <xdr:rowOff>19050</xdr:rowOff>
    </xdr:from>
    <xdr:to>
      <xdr:col>3</xdr:col>
      <xdr:colOff>82550</xdr:colOff>
      <xdr:row>488</xdr:row>
      <xdr:rowOff>0</xdr:rowOff>
    </xdr:to>
    <xdr:pic>
      <xdr:nvPicPr>
        <xdr:cNvPr id="146" name="Control 145">
          <a:extLst>
            <a:ext uri="{FF2B5EF4-FFF2-40B4-BE49-F238E27FC236}">
              <a16:creationId xmlns:a16="http://schemas.microsoft.com/office/drawing/2014/main" xmlns="" id="{00000000-0008-0000-0600-00009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6607650"/>
          <a:ext cx="82550" cy="158750"/>
        </a:xfrm>
        <a:prstGeom prst="rect">
          <a:avLst/>
        </a:prstGeom>
        <a:noFill/>
        <a:ln w="9525">
          <a:miter lim="800000"/>
          <a:headEnd/>
          <a:tailEnd/>
        </a:ln>
      </xdr:spPr>
    </xdr:pic>
    <xdr:clientData/>
  </xdr:twoCellAnchor>
  <xdr:twoCellAnchor editAs="oneCell">
    <xdr:from>
      <xdr:col>3</xdr:col>
      <xdr:colOff>0</xdr:colOff>
      <xdr:row>493</xdr:row>
      <xdr:rowOff>76200</xdr:rowOff>
    </xdr:from>
    <xdr:to>
      <xdr:col>3</xdr:col>
      <xdr:colOff>82550</xdr:colOff>
      <xdr:row>494</xdr:row>
      <xdr:rowOff>63500</xdr:rowOff>
    </xdr:to>
    <xdr:pic>
      <xdr:nvPicPr>
        <xdr:cNvPr id="148" name="Control 147">
          <a:extLst>
            <a:ext uri="{FF2B5EF4-FFF2-40B4-BE49-F238E27FC236}">
              <a16:creationId xmlns:a16="http://schemas.microsoft.com/office/drawing/2014/main" xmlns="" id="{00000000-0008-0000-0600-000094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7731600"/>
          <a:ext cx="82550" cy="165100"/>
        </a:xfrm>
        <a:prstGeom prst="rect">
          <a:avLst/>
        </a:prstGeom>
        <a:noFill/>
        <a:ln w="9525">
          <a:miter lim="800000"/>
          <a:headEnd/>
          <a:tailEnd/>
        </a:ln>
      </xdr:spPr>
    </xdr:pic>
    <xdr:clientData/>
  </xdr:twoCellAnchor>
  <xdr:twoCellAnchor editAs="oneCell">
    <xdr:from>
      <xdr:col>3</xdr:col>
      <xdr:colOff>0</xdr:colOff>
      <xdr:row>500</xdr:row>
      <xdr:rowOff>63500</xdr:rowOff>
    </xdr:from>
    <xdr:to>
      <xdr:col>3</xdr:col>
      <xdr:colOff>82550</xdr:colOff>
      <xdr:row>501</xdr:row>
      <xdr:rowOff>50800</xdr:rowOff>
    </xdr:to>
    <xdr:pic>
      <xdr:nvPicPr>
        <xdr:cNvPr id="150" name="Control 149">
          <a:extLst>
            <a:ext uri="{FF2B5EF4-FFF2-40B4-BE49-F238E27FC236}">
              <a16:creationId xmlns:a16="http://schemas.microsoft.com/office/drawing/2014/main" xmlns="" id="{00000000-0008-0000-0600-000096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47850" y="88963500"/>
          <a:ext cx="82550" cy="165100"/>
        </a:xfrm>
        <a:prstGeom prst="rect">
          <a:avLst/>
        </a:prstGeom>
        <a:noFill/>
        <a:ln w="9525">
          <a:miter lim="800000"/>
          <a:headEnd/>
          <a:tailEnd/>
        </a:ln>
      </xdr:spPr>
    </xdr:pic>
    <xdr:clientData/>
  </xdr:twoCellAnchor>
  <xdr:twoCellAnchor editAs="oneCell">
    <xdr:from>
      <xdr:col>3</xdr:col>
      <xdr:colOff>0</xdr:colOff>
      <xdr:row>507</xdr:row>
      <xdr:rowOff>38100</xdr:rowOff>
    </xdr:from>
    <xdr:to>
      <xdr:col>3</xdr:col>
      <xdr:colOff>82550</xdr:colOff>
      <xdr:row>508</xdr:row>
      <xdr:rowOff>19050</xdr:rowOff>
    </xdr:to>
    <xdr:pic>
      <xdr:nvPicPr>
        <xdr:cNvPr id="152" name="Control 151">
          <a:extLst>
            <a:ext uri="{FF2B5EF4-FFF2-40B4-BE49-F238E27FC236}">
              <a16:creationId xmlns:a16="http://schemas.microsoft.com/office/drawing/2014/main" xmlns="" id="{00000000-0008-0000-0600-00009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0182700"/>
          <a:ext cx="82550" cy="158750"/>
        </a:xfrm>
        <a:prstGeom prst="rect">
          <a:avLst/>
        </a:prstGeom>
        <a:noFill/>
        <a:ln w="9525">
          <a:miter lim="800000"/>
          <a:headEnd/>
          <a:tailEnd/>
        </a:ln>
      </xdr:spPr>
    </xdr:pic>
    <xdr:clientData/>
  </xdr:twoCellAnchor>
  <xdr:twoCellAnchor editAs="oneCell">
    <xdr:from>
      <xdr:col>3</xdr:col>
      <xdr:colOff>0</xdr:colOff>
      <xdr:row>513</xdr:row>
      <xdr:rowOff>76200</xdr:rowOff>
    </xdr:from>
    <xdr:to>
      <xdr:col>3</xdr:col>
      <xdr:colOff>82550</xdr:colOff>
      <xdr:row>514</xdr:row>
      <xdr:rowOff>57150</xdr:rowOff>
    </xdr:to>
    <xdr:pic>
      <xdr:nvPicPr>
        <xdr:cNvPr id="154" name="Control 153">
          <a:extLst>
            <a:ext uri="{FF2B5EF4-FFF2-40B4-BE49-F238E27FC236}">
              <a16:creationId xmlns:a16="http://schemas.microsoft.com/office/drawing/2014/main" xmlns="" id="{00000000-0008-0000-0600-00009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1287600"/>
          <a:ext cx="82550" cy="158750"/>
        </a:xfrm>
        <a:prstGeom prst="rect">
          <a:avLst/>
        </a:prstGeom>
        <a:noFill/>
        <a:ln w="9525">
          <a:miter lim="800000"/>
          <a:headEnd/>
          <a:tailEnd/>
        </a:ln>
      </xdr:spPr>
    </xdr:pic>
    <xdr:clientData/>
  </xdr:twoCellAnchor>
  <xdr:twoCellAnchor editAs="oneCell">
    <xdr:from>
      <xdr:col>3</xdr:col>
      <xdr:colOff>0</xdr:colOff>
      <xdr:row>520</xdr:row>
      <xdr:rowOff>31750</xdr:rowOff>
    </xdr:from>
    <xdr:to>
      <xdr:col>3</xdr:col>
      <xdr:colOff>82550</xdr:colOff>
      <xdr:row>521</xdr:row>
      <xdr:rowOff>12700</xdr:rowOff>
    </xdr:to>
    <xdr:pic>
      <xdr:nvPicPr>
        <xdr:cNvPr id="156" name="Control 155">
          <a:extLst>
            <a:ext uri="{FF2B5EF4-FFF2-40B4-BE49-F238E27FC236}">
              <a16:creationId xmlns:a16="http://schemas.microsoft.com/office/drawing/2014/main" xmlns="" id="{00000000-0008-0000-0600-00009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2487750"/>
          <a:ext cx="82550" cy="158750"/>
        </a:xfrm>
        <a:prstGeom prst="rect">
          <a:avLst/>
        </a:prstGeom>
        <a:noFill/>
        <a:ln w="9525">
          <a:miter lim="800000"/>
          <a:headEnd/>
          <a:tailEnd/>
        </a:ln>
      </xdr:spPr>
    </xdr:pic>
    <xdr:clientData/>
  </xdr:twoCellAnchor>
  <xdr:twoCellAnchor editAs="oneCell">
    <xdr:from>
      <xdr:col>3</xdr:col>
      <xdr:colOff>0</xdr:colOff>
      <xdr:row>527</xdr:row>
      <xdr:rowOff>12700</xdr:rowOff>
    </xdr:from>
    <xdr:to>
      <xdr:col>3</xdr:col>
      <xdr:colOff>82550</xdr:colOff>
      <xdr:row>527</xdr:row>
      <xdr:rowOff>82550</xdr:rowOff>
    </xdr:to>
    <xdr:pic>
      <xdr:nvPicPr>
        <xdr:cNvPr id="158" name="Control 157">
          <a:extLst>
            <a:ext uri="{FF2B5EF4-FFF2-40B4-BE49-F238E27FC236}">
              <a16:creationId xmlns:a16="http://schemas.microsoft.com/office/drawing/2014/main" xmlns="" id="{00000000-0008-0000-0600-00009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3713300"/>
          <a:ext cx="82550" cy="69850"/>
        </a:xfrm>
        <a:prstGeom prst="rect">
          <a:avLst/>
        </a:prstGeom>
        <a:noFill/>
        <a:ln w="9525">
          <a:miter lim="800000"/>
          <a:headEnd/>
          <a:tailEnd/>
        </a:ln>
      </xdr:spPr>
    </xdr:pic>
    <xdr:clientData/>
  </xdr:twoCellAnchor>
  <xdr:twoCellAnchor editAs="oneCell">
    <xdr:from>
      <xdr:col>3</xdr:col>
      <xdr:colOff>0</xdr:colOff>
      <xdr:row>533</xdr:row>
      <xdr:rowOff>88900</xdr:rowOff>
    </xdr:from>
    <xdr:to>
      <xdr:col>3</xdr:col>
      <xdr:colOff>82550</xdr:colOff>
      <xdr:row>534</xdr:row>
      <xdr:rowOff>69850</xdr:rowOff>
    </xdr:to>
    <xdr:pic>
      <xdr:nvPicPr>
        <xdr:cNvPr id="160" name="Control 159">
          <a:extLst>
            <a:ext uri="{FF2B5EF4-FFF2-40B4-BE49-F238E27FC236}">
              <a16:creationId xmlns:a16="http://schemas.microsoft.com/office/drawing/2014/main" xmlns="" id="{00000000-0008-0000-0600-0000A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4856300"/>
          <a:ext cx="82550" cy="158750"/>
        </a:xfrm>
        <a:prstGeom prst="rect">
          <a:avLst/>
        </a:prstGeom>
        <a:noFill/>
        <a:ln w="9525">
          <a:miter lim="800000"/>
          <a:headEnd/>
          <a:tailEnd/>
        </a:ln>
      </xdr:spPr>
    </xdr:pic>
    <xdr:clientData/>
  </xdr:twoCellAnchor>
  <xdr:twoCellAnchor editAs="oneCell">
    <xdr:from>
      <xdr:col>3</xdr:col>
      <xdr:colOff>0</xdr:colOff>
      <xdr:row>540</xdr:row>
      <xdr:rowOff>76200</xdr:rowOff>
    </xdr:from>
    <xdr:to>
      <xdr:col>3</xdr:col>
      <xdr:colOff>82550</xdr:colOff>
      <xdr:row>541</xdr:row>
      <xdr:rowOff>63500</xdr:rowOff>
    </xdr:to>
    <xdr:pic>
      <xdr:nvPicPr>
        <xdr:cNvPr id="162" name="Control 161">
          <a:extLst>
            <a:ext uri="{FF2B5EF4-FFF2-40B4-BE49-F238E27FC236}">
              <a16:creationId xmlns:a16="http://schemas.microsoft.com/office/drawing/2014/main" xmlns="" id="{00000000-0008-0000-0600-0000A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6088200"/>
          <a:ext cx="82550" cy="165100"/>
        </a:xfrm>
        <a:prstGeom prst="rect">
          <a:avLst/>
        </a:prstGeom>
        <a:noFill/>
        <a:ln w="9525">
          <a:miter lim="800000"/>
          <a:headEnd/>
          <a:tailEnd/>
        </a:ln>
      </xdr:spPr>
    </xdr:pic>
    <xdr:clientData/>
  </xdr:twoCellAnchor>
  <xdr:twoCellAnchor editAs="oneCell">
    <xdr:from>
      <xdr:col>3</xdr:col>
      <xdr:colOff>0</xdr:colOff>
      <xdr:row>547</xdr:row>
      <xdr:rowOff>12700</xdr:rowOff>
    </xdr:from>
    <xdr:to>
      <xdr:col>3</xdr:col>
      <xdr:colOff>82550</xdr:colOff>
      <xdr:row>547</xdr:row>
      <xdr:rowOff>82550</xdr:rowOff>
    </xdr:to>
    <xdr:pic>
      <xdr:nvPicPr>
        <xdr:cNvPr id="164" name="Control 163">
          <a:extLst>
            <a:ext uri="{FF2B5EF4-FFF2-40B4-BE49-F238E27FC236}">
              <a16:creationId xmlns:a16="http://schemas.microsoft.com/office/drawing/2014/main" xmlns="" id="{00000000-0008-0000-0600-0000A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7269300"/>
          <a:ext cx="82550" cy="69850"/>
        </a:xfrm>
        <a:prstGeom prst="rect">
          <a:avLst/>
        </a:prstGeom>
        <a:noFill/>
        <a:ln w="9525">
          <a:miter lim="800000"/>
          <a:headEnd/>
          <a:tailEnd/>
        </a:ln>
      </xdr:spPr>
    </xdr:pic>
    <xdr:clientData/>
  </xdr:twoCellAnchor>
  <xdr:twoCellAnchor editAs="oneCell">
    <xdr:from>
      <xdr:col>3</xdr:col>
      <xdr:colOff>0</xdr:colOff>
      <xdr:row>553</xdr:row>
      <xdr:rowOff>57150</xdr:rowOff>
    </xdr:from>
    <xdr:to>
      <xdr:col>3</xdr:col>
      <xdr:colOff>82550</xdr:colOff>
      <xdr:row>554</xdr:row>
      <xdr:rowOff>44450</xdr:rowOff>
    </xdr:to>
    <xdr:pic>
      <xdr:nvPicPr>
        <xdr:cNvPr id="166" name="Control 165">
          <a:extLst>
            <a:ext uri="{FF2B5EF4-FFF2-40B4-BE49-F238E27FC236}">
              <a16:creationId xmlns:a16="http://schemas.microsoft.com/office/drawing/2014/main" xmlns="" id="{00000000-0008-0000-0600-0000A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8380550"/>
          <a:ext cx="82550" cy="165100"/>
        </a:xfrm>
        <a:prstGeom prst="rect">
          <a:avLst/>
        </a:prstGeom>
        <a:noFill/>
        <a:ln w="9525">
          <a:miter lim="800000"/>
          <a:headEnd/>
          <a:tailEnd/>
        </a:ln>
      </xdr:spPr>
    </xdr:pic>
    <xdr:clientData/>
  </xdr:twoCellAnchor>
  <xdr:twoCellAnchor editAs="oneCell">
    <xdr:from>
      <xdr:col>3</xdr:col>
      <xdr:colOff>0</xdr:colOff>
      <xdr:row>560</xdr:row>
      <xdr:rowOff>50800</xdr:rowOff>
    </xdr:from>
    <xdr:to>
      <xdr:col>3</xdr:col>
      <xdr:colOff>82550</xdr:colOff>
      <xdr:row>561</xdr:row>
      <xdr:rowOff>31750</xdr:rowOff>
    </xdr:to>
    <xdr:pic>
      <xdr:nvPicPr>
        <xdr:cNvPr id="168" name="Control 167">
          <a:extLst>
            <a:ext uri="{FF2B5EF4-FFF2-40B4-BE49-F238E27FC236}">
              <a16:creationId xmlns:a16="http://schemas.microsoft.com/office/drawing/2014/main" xmlns="" id="{00000000-0008-0000-0600-0000A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99618800"/>
          <a:ext cx="82550" cy="158750"/>
        </a:xfrm>
        <a:prstGeom prst="rect">
          <a:avLst/>
        </a:prstGeom>
        <a:noFill/>
        <a:ln w="9525">
          <a:miter lim="800000"/>
          <a:headEnd/>
          <a:tailEnd/>
        </a:ln>
      </xdr:spPr>
    </xdr:pic>
    <xdr:clientData/>
  </xdr:twoCellAnchor>
  <xdr:twoCellAnchor editAs="oneCell">
    <xdr:from>
      <xdr:col>3</xdr:col>
      <xdr:colOff>0</xdr:colOff>
      <xdr:row>567</xdr:row>
      <xdr:rowOff>0</xdr:rowOff>
    </xdr:from>
    <xdr:to>
      <xdr:col>3</xdr:col>
      <xdr:colOff>82550</xdr:colOff>
      <xdr:row>567</xdr:row>
      <xdr:rowOff>76200</xdr:rowOff>
    </xdr:to>
    <xdr:pic>
      <xdr:nvPicPr>
        <xdr:cNvPr id="170" name="Control 169">
          <a:extLst>
            <a:ext uri="{FF2B5EF4-FFF2-40B4-BE49-F238E27FC236}">
              <a16:creationId xmlns:a16="http://schemas.microsoft.com/office/drawing/2014/main" xmlns="" id="{00000000-0008-0000-0600-0000A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0812600"/>
          <a:ext cx="82550" cy="76200"/>
        </a:xfrm>
        <a:prstGeom prst="rect">
          <a:avLst/>
        </a:prstGeom>
        <a:noFill/>
        <a:ln w="9525">
          <a:miter lim="800000"/>
          <a:headEnd/>
          <a:tailEnd/>
        </a:ln>
      </xdr:spPr>
    </xdr:pic>
    <xdr:clientData/>
  </xdr:twoCellAnchor>
  <xdr:twoCellAnchor editAs="oneCell">
    <xdr:from>
      <xdr:col>3</xdr:col>
      <xdr:colOff>0</xdr:colOff>
      <xdr:row>573</xdr:row>
      <xdr:rowOff>57150</xdr:rowOff>
    </xdr:from>
    <xdr:to>
      <xdr:col>3</xdr:col>
      <xdr:colOff>82550</xdr:colOff>
      <xdr:row>574</xdr:row>
      <xdr:rowOff>38100</xdr:rowOff>
    </xdr:to>
    <xdr:pic>
      <xdr:nvPicPr>
        <xdr:cNvPr id="172" name="Control 171">
          <a:extLst>
            <a:ext uri="{FF2B5EF4-FFF2-40B4-BE49-F238E27FC236}">
              <a16:creationId xmlns:a16="http://schemas.microsoft.com/office/drawing/2014/main" xmlns="" id="{00000000-0008-0000-0600-0000A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1936550"/>
          <a:ext cx="82550" cy="158750"/>
        </a:xfrm>
        <a:prstGeom prst="rect">
          <a:avLst/>
        </a:prstGeom>
        <a:noFill/>
        <a:ln w="9525">
          <a:miter lim="800000"/>
          <a:headEnd/>
          <a:tailEnd/>
        </a:ln>
      </xdr:spPr>
    </xdr:pic>
    <xdr:clientData/>
  </xdr:twoCellAnchor>
  <xdr:twoCellAnchor editAs="oneCell">
    <xdr:from>
      <xdr:col>3</xdr:col>
      <xdr:colOff>0</xdr:colOff>
      <xdr:row>580</xdr:row>
      <xdr:rowOff>57150</xdr:rowOff>
    </xdr:from>
    <xdr:to>
      <xdr:col>3</xdr:col>
      <xdr:colOff>82550</xdr:colOff>
      <xdr:row>581</xdr:row>
      <xdr:rowOff>38100</xdr:rowOff>
    </xdr:to>
    <xdr:pic>
      <xdr:nvPicPr>
        <xdr:cNvPr id="174" name="Control 173">
          <a:extLst>
            <a:ext uri="{FF2B5EF4-FFF2-40B4-BE49-F238E27FC236}">
              <a16:creationId xmlns:a16="http://schemas.microsoft.com/office/drawing/2014/main" xmlns="" id="{00000000-0008-0000-0600-0000A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3181150"/>
          <a:ext cx="82550" cy="158750"/>
        </a:xfrm>
        <a:prstGeom prst="rect">
          <a:avLst/>
        </a:prstGeom>
        <a:noFill/>
        <a:ln w="9525">
          <a:miter lim="800000"/>
          <a:headEnd/>
          <a:tailEnd/>
        </a:ln>
      </xdr:spPr>
    </xdr:pic>
    <xdr:clientData/>
  </xdr:twoCellAnchor>
  <xdr:twoCellAnchor editAs="oneCell">
    <xdr:from>
      <xdr:col>3</xdr:col>
      <xdr:colOff>0</xdr:colOff>
      <xdr:row>587</xdr:row>
      <xdr:rowOff>12700</xdr:rowOff>
    </xdr:from>
    <xdr:to>
      <xdr:col>3</xdr:col>
      <xdr:colOff>82550</xdr:colOff>
      <xdr:row>587</xdr:row>
      <xdr:rowOff>82550</xdr:rowOff>
    </xdr:to>
    <xdr:pic>
      <xdr:nvPicPr>
        <xdr:cNvPr id="176" name="Control 175">
          <a:extLst>
            <a:ext uri="{FF2B5EF4-FFF2-40B4-BE49-F238E27FC236}">
              <a16:creationId xmlns:a16="http://schemas.microsoft.com/office/drawing/2014/main" xmlns="" id="{00000000-0008-0000-0600-0000B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4381300"/>
          <a:ext cx="82550" cy="69850"/>
        </a:xfrm>
        <a:prstGeom prst="rect">
          <a:avLst/>
        </a:prstGeom>
        <a:noFill/>
        <a:ln w="9525">
          <a:miter lim="800000"/>
          <a:headEnd/>
          <a:tailEnd/>
        </a:ln>
      </xdr:spPr>
    </xdr:pic>
    <xdr:clientData/>
  </xdr:twoCellAnchor>
  <xdr:twoCellAnchor editAs="oneCell">
    <xdr:from>
      <xdr:col>3</xdr:col>
      <xdr:colOff>0</xdr:colOff>
      <xdr:row>593</xdr:row>
      <xdr:rowOff>69850</xdr:rowOff>
    </xdr:from>
    <xdr:to>
      <xdr:col>3</xdr:col>
      <xdr:colOff>82550</xdr:colOff>
      <xdr:row>594</xdr:row>
      <xdr:rowOff>50800</xdr:rowOff>
    </xdr:to>
    <xdr:pic>
      <xdr:nvPicPr>
        <xdr:cNvPr id="178" name="Control 177">
          <a:extLst>
            <a:ext uri="{FF2B5EF4-FFF2-40B4-BE49-F238E27FC236}">
              <a16:creationId xmlns:a16="http://schemas.microsoft.com/office/drawing/2014/main" xmlns="" id="{00000000-0008-0000-0600-0000B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5505250"/>
          <a:ext cx="82550" cy="158750"/>
        </a:xfrm>
        <a:prstGeom prst="rect">
          <a:avLst/>
        </a:prstGeom>
        <a:noFill/>
        <a:ln w="9525">
          <a:miter lim="800000"/>
          <a:headEnd/>
          <a:tailEnd/>
        </a:ln>
      </xdr:spPr>
    </xdr:pic>
    <xdr:clientData/>
  </xdr:twoCellAnchor>
  <xdr:twoCellAnchor editAs="oneCell">
    <xdr:from>
      <xdr:col>3</xdr:col>
      <xdr:colOff>0</xdr:colOff>
      <xdr:row>600</xdr:row>
      <xdr:rowOff>76200</xdr:rowOff>
    </xdr:from>
    <xdr:to>
      <xdr:col>3</xdr:col>
      <xdr:colOff>82550</xdr:colOff>
      <xdr:row>601</xdr:row>
      <xdr:rowOff>57150</xdr:rowOff>
    </xdr:to>
    <xdr:pic>
      <xdr:nvPicPr>
        <xdr:cNvPr id="180" name="Control 179">
          <a:extLst>
            <a:ext uri="{FF2B5EF4-FFF2-40B4-BE49-F238E27FC236}">
              <a16:creationId xmlns:a16="http://schemas.microsoft.com/office/drawing/2014/main" xmlns="" id="{00000000-0008-0000-0600-0000B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6756200"/>
          <a:ext cx="82550" cy="158750"/>
        </a:xfrm>
        <a:prstGeom prst="rect">
          <a:avLst/>
        </a:prstGeom>
        <a:noFill/>
        <a:ln w="9525">
          <a:miter lim="800000"/>
          <a:headEnd/>
          <a:tailEnd/>
        </a:ln>
      </xdr:spPr>
    </xdr:pic>
    <xdr:clientData/>
  </xdr:twoCellAnchor>
  <xdr:twoCellAnchor editAs="oneCell">
    <xdr:from>
      <xdr:col>3</xdr:col>
      <xdr:colOff>0</xdr:colOff>
      <xdr:row>607</xdr:row>
      <xdr:rowOff>6350</xdr:rowOff>
    </xdr:from>
    <xdr:to>
      <xdr:col>3</xdr:col>
      <xdr:colOff>82550</xdr:colOff>
      <xdr:row>607</xdr:row>
      <xdr:rowOff>82550</xdr:rowOff>
    </xdr:to>
    <xdr:pic>
      <xdr:nvPicPr>
        <xdr:cNvPr id="182" name="Control 181">
          <a:extLst>
            <a:ext uri="{FF2B5EF4-FFF2-40B4-BE49-F238E27FC236}">
              <a16:creationId xmlns:a16="http://schemas.microsoft.com/office/drawing/2014/main" xmlns="" id="{00000000-0008-0000-0600-0000B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7930950"/>
          <a:ext cx="82550" cy="76200"/>
        </a:xfrm>
        <a:prstGeom prst="rect">
          <a:avLst/>
        </a:prstGeom>
        <a:noFill/>
        <a:ln w="9525">
          <a:miter lim="800000"/>
          <a:headEnd/>
          <a:tailEnd/>
        </a:ln>
      </xdr:spPr>
    </xdr:pic>
    <xdr:clientData/>
  </xdr:twoCellAnchor>
  <xdr:twoCellAnchor editAs="oneCell">
    <xdr:from>
      <xdr:col>3</xdr:col>
      <xdr:colOff>0</xdr:colOff>
      <xdr:row>613</xdr:row>
      <xdr:rowOff>38100</xdr:rowOff>
    </xdr:from>
    <xdr:to>
      <xdr:col>3</xdr:col>
      <xdr:colOff>82550</xdr:colOff>
      <xdr:row>614</xdr:row>
      <xdr:rowOff>19050</xdr:rowOff>
    </xdr:to>
    <xdr:pic>
      <xdr:nvPicPr>
        <xdr:cNvPr id="184" name="Control 183">
          <a:extLst>
            <a:ext uri="{FF2B5EF4-FFF2-40B4-BE49-F238E27FC236}">
              <a16:creationId xmlns:a16="http://schemas.microsoft.com/office/drawing/2014/main" xmlns="" id="{00000000-0008-0000-0600-0000B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09029500"/>
          <a:ext cx="82550" cy="158750"/>
        </a:xfrm>
        <a:prstGeom prst="rect">
          <a:avLst/>
        </a:prstGeom>
        <a:noFill/>
        <a:ln w="9525">
          <a:miter lim="800000"/>
          <a:headEnd/>
          <a:tailEnd/>
        </a:ln>
      </xdr:spPr>
    </xdr:pic>
    <xdr:clientData/>
  </xdr:twoCellAnchor>
  <xdr:twoCellAnchor editAs="oneCell">
    <xdr:from>
      <xdr:col>3</xdr:col>
      <xdr:colOff>0</xdr:colOff>
      <xdr:row>620</xdr:row>
      <xdr:rowOff>12700</xdr:rowOff>
    </xdr:from>
    <xdr:to>
      <xdr:col>3</xdr:col>
      <xdr:colOff>82550</xdr:colOff>
      <xdr:row>620</xdr:row>
      <xdr:rowOff>82550</xdr:rowOff>
    </xdr:to>
    <xdr:pic>
      <xdr:nvPicPr>
        <xdr:cNvPr id="186" name="Control 185">
          <a:extLst>
            <a:ext uri="{FF2B5EF4-FFF2-40B4-BE49-F238E27FC236}">
              <a16:creationId xmlns:a16="http://schemas.microsoft.com/office/drawing/2014/main" xmlns="" id="{00000000-0008-0000-0600-0000B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0248700"/>
          <a:ext cx="82550" cy="69850"/>
        </a:xfrm>
        <a:prstGeom prst="rect">
          <a:avLst/>
        </a:prstGeom>
        <a:noFill/>
        <a:ln w="9525">
          <a:miter lim="800000"/>
          <a:headEnd/>
          <a:tailEnd/>
        </a:ln>
      </xdr:spPr>
    </xdr:pic>
    <xdr:clientData/>
  </xdr:twoCellAnchor>
  <xdr:twoCellAnchor editAs="oneCell">
    <xdr:from>
      <xdr:col>3</xdr:col>
      <xdr:colOff>0</xdr:colOff>
      <xdr:row>627</xdr:row>
      <xdr:rowOff>19050</xdr:rowOff>
    </xdr:from>
    <xdr:to>
      <xdr:col>3</xdr:col>
      <xdr:colOff>82550</xdr:colOff>
      <xdr:row>628</xdr:row>
      <xdr:rowOff>6350</xdr:rowOff>
    </xdr:to>
    <xdr:pic>
      <xdr:nvPicPr>
        <xdr:cNvPr id="188" name="Control 187">
          <a:extLst>
            <a:ext uri="{FF2B5EF4-FFF2-40B4-BE49-F238E27FC236}">
              <a16:creationId xmlns:a16="http://schemas.microsoft.com/office/drawing/2014/main" xmlns="" id="{00000000-0008-0000-0600-0000B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1499650"/>
          <a:ext cx="82550" cy="165100"/>
        </a:xfrm>
        <a:prstGeom prst="rect">
          <a:avLst/>
        </a:prstGeom>
        <a:noFill/>
        <a:ln w="9525">
          <a:miter lim="800000"/>
          <a:headEnd/>
          <a:tailEnd/>
        </a:ln>
      </xdr:spPr>
    </xdr:pic>
    <xdr:clientData/>
  </xdr:twoCellAnchor>
  <xdr:twoCellAnchor editAs="oneCell">
    <xdr:from>
      <xdr:col>3</xdr:col>
      <xdr:colOff>0</xdr:colOff>
      <xdr:row>634</xdr:row>
      <xdr:rowOff>0</xdr:rowOff>
    </xdr:from>
    <xdr:to>
      <xdr:col>3</xdr:col>
      <xdr:colOff>82550</xdr:colOff>
      <xdr:row>634</xdr:row>
      <xdr:rowOff>76200</xdr:rowOff>
    </xdr:to>
    <xdr:pic>
      <xdr:nvPicPr>
        <xdr:cNvPr id="190" name="Control 189">
          <a:extLst>
            <a:ext uri="{FF2B5EF4-FFF2-40B4-BE49-F238E27FC236}">
              <a16:creationId xmlns:a16="http://schemas.microsoft.com/office/drawing/2014/main" xmlns="" id="{00000000-0008-0000-0600-0000B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2725200"/>
          <a:ext cx="82550" cy="76200"/>
        </a:xfrm>
        <a:prstGeom prst="rect">
          <a:avLst/>
        </a:prstGeom>
        <a:noFill/>
        <a:ln w="9525">
          <a:miter lim="800000"/>
          <a:headEnd/>
          <a:tailEnd/>
        </a:ln>
      </xdr:spPr>
    </xdr:pic>
    <xdr:clientData/>
  </xdr:twoCellAnchor>
  <xdr:twoCellAnchor editAs="oneCell">
    <xdr:from>
      <xdr:col>3</xdr:col>
      <xdr:colOff>0</xdr:colOff>
      <xdr:row>640</xdr:row>
      <xdr:rowOff>31750</xdr:rowOff>
    </xdr:from>
    <xdr:to>
      <xdr:col>3</xdr:col>
      <xdr:colOff>82550</xdr:colOff>
      <xdr:row>641</xdr:row>
      <xdr:rowOff>12700</xdr:rowOff>
    </xdr:to>
    <xdr:pic>
      <xdr:nvPicPr>
        <xdr:cNvPr id="192" name="Control 191">
          <a:extLst>
            <a:ext uri="{FF2B5EF4-FFF2-40B4-BE49-F238E27FC236}">
              <a16:creationId xmlns:a16="http://schemas.microsoft.com/office/drawing/2014/main" xmlns="" id="{00000000-0008-0000-0600-0000C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3823750"/>
          <a:ext cx="82550" cy="158750"/>
        </a:xfrm>
        <a:prstGeom prst="rect">
          <a:avLst/>
        </a:prstGeom>
        <a:noFill/>
        <a:ln w="9525">
          <a:miter lim="800000"/>
          <a:headEnd/>
          <a:tailEnd/>
        </a:ln>
      </xdr:spPr>
    </xdr:pic>
    <xdr:clientData/>
  </xdr:twoCellAnchor>
  <xdr:twoCellAnchor editAs="oneCell">
    <xdr:from>
      <xdr:col>3</xdr:col>
      <xdr:colOff>0</xdr:colOff>
      <xdr:row>646</xdr:row>
      <xdr:rowOff>69850</xdr:rowOff>
    </xdr:from>
    <xdr:to>
      <xdr:col>3</xdr:col>
      <xdr:colOff>82550</xdr:colOff>
      <xdr:row>647</xdr:row>
      <xdr:rowOff>50800</xdr:rowOff>
    </xdr:to>
    <xdr:pic>
      <xdr:nvPicPr>
        <xdr:cNvPr id="194" name="Control 193">
          <a:extLst>
            <a:ext uri="{FF2B5EF4-FFF2-40B4-BE49-F238E27FC236}">
              <a16:creationId xmlns:a16="http://schemas.microsoft.com/office/drawing/2014/main" xmlns="" id="{00000000-0008-0000-0600-0000C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4928650"/>
          <a:ext cx="82550" cy="158750"/>
        </a:xfrm>
        <a:prstGeom prst="rect">
          <a:avLst/>
        </a:prstGeom>
        <a:noFill/>
        <a:ln w="9525">
          <a:miter lim="800000"/>
          <a:headEnd/>
          <a:tailEnd/>
        </a:ln>
      </xdr:spPr>
    </xdr:pic>
    <xdr:clientData/>
  </xdr:twoCellAnchor>
  <xdr:twoCellAnchor editAs="oneCell">
    <xdr:from>
      <xdr:col>3</xdr:col>
      <xdr:colOff>0</xdr:colOff>
      <xdr:row>653</xdr:row>
      <xdr:rowOff>50800</xdr:rowOff>
    </xdr:from>
    <xdr:to>
      <xdr:col>3</xdr:col>
      <xdr:colOff>82550</xdr:colOff>
      <xdr:row>654</xdr:row>
      <xdr:rowOff>31750</xdr:rowOff>
    </xdr:to>
    <xdr:pic>
      <xdr:nvPicPr>
        <xdr:cNvPr id="196" name="Control 195">
          <a:extLst>
            <a:ext uri="{FF2B5EF4-FFF2-40B4-BE49-F238E27FC236}">
              <a16:creationId xmlns:a16="http://schemas.microsoft.com/office/drawing/2014/main" xmlns="" id="{00000000-0008-0000-0600-0000C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6154200"/>
          <a:ext cx="82550" cy="158750"/>
        </a:xfrm>
        <a:prstGeom prst="rect">
          <a:avLst/>
        </a:prstGeom>
        <a:noFill/>
        <a:ln w="9525">
          <a:miter lim="800000"/>
          <a:headEnd/>
          <a:tailEnd/>
        </a:ln>
      </xdr:spPr>
    </xdr:pic>
    <xdr:clientData/>
  </xdr:twoCellAnchor>
  <xdr:twoCellAnchor editAs="oneCell">
    <xdr:from>
      <xdr:col>3</xdr:col>
      <xdr:colOff>0</xdr:colOff>
      <xdr:row>660</xdr:row>
      <xdr:rowOff>25400</xdr:rowOff>
    </xdr:from>
    <xdr:to>
      <xdr:col>3</xdr:col>
      <xdr:colOff>82550</xdr:colOff>
      <xdr:row>661</xdr:row>
      <xdr:rowOff>12700</xdr:rowOff>
    </xdr:to>
    <xdr:pic>
      <xdr:nvPicPr>
        <xdr:cNvPr id="198" name="Control 197">
          <a:extLst>
            <a:ext uri="{FF2B5EF4-FFF2-40B4-BE49-F238E27FC236}">
              <a16:creationId xmlns:a16="http://schemas.microsoft.com/office/drawing/2014/main" xmlns="" id="{00000000-0008-0000-0600-0000C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7373400"/>
          <a:ext cx="82550" cy="165100"/>
        </a:xfrm>
        <a:prstGeom prst="rect">
          <a:avLst/>
        </a:prstGeom>
        <a:noFill/>
        <a:ln w="9525">
          <a:miter lim="800000"/>
          <a:headEnd/>
          <a:tailEnd/>
        </a:ln>
      </xdr:spPr>
    </xdr:pic>
    <xdr:clientData/>
  </xdr:twoCellAnchor>
  <xdr:twoCellAnchor editAs="oneCell">
    <xdr:from>
      <xdr:col>3</xdr:col>
      <xdr:colOff>0</xdr:colOff>
      <xdr:row>666</xdr:row>
      <xdr:rowOff>76200</xdr:rowOff>
    </xdr:from>
    <xdr:to>
      <xdr:col>3</xdr:col>
      <xdr:colOff>82550</xdr:colOff>
      <xdr:row>667</xdr:row>
      <xdr:rowOff>57150</xdr:rowOff>
    </xdr:to>
    <xdr:pic>
      <xdr:nvPicPr>
        <xdr:cNvPr id="200" name="Control 199">
          <a:extLst>
            <a:ext uri="{FF2B5EF4-FFF2-40B4-BE49-F238E27FC236}">
              <a16:creationId xmlns:a16="http://schemas.microsoft.com/office/drawing/2014/main" xmlns="" id="{00000000-0008-0000-0600-0000C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8491000"/>
          <a:ext cx="82550" cy="158750"/>
        </a:xfrm>
        <a:prstGeom prst="rect">
          <a:avLst/>
        </a:prstGeom>
        <a:noFill/>
        <a:ln w="9525">
          <a:miter lim="800000"/>
          <a:headEnd/>
          <a:tailEnd/>
        </a:ln>
      </xdr:spPr>
    </xdr:pic>
    <xdr:clientData/>
  </xdr:twoCellAnchor>
  <xdr:twoCellAnchor editAs="oneCell">
    <xdr:from>
      <xdr:col>3</xdr:col>
      <xdr:colOff>0</xdr:colOff>
      <xdr:row>673</xdr:row>
      <xdr:rowOff>69850</xdr:rowOff>
    </xdr:from>
    <xdr:to>
      <xdr:col>3</xdr:col>
      <xdr:colOff>82550</xdr:colOff>
      <xdr:row>674</xdr:row>
      <xdr:rowOff>50800</xdr:rowOff>
    </xdr:to>
    <xdr:pic>
      <xdr:nvPicPr>
        <xdr:cNvPr id="202" name="Control 201">
          <a:extLst>
            <a:ext uri="{FF2B5EF4-FFF2-40B4-BE49-F238E27FC236}">
              <a16:creationId xmlns:a16="http://schemas.microsoft.com/office/drawing/2014/main" xmlns="" id="{00000000-0008-0000-0600-0000C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19729250"/>
          <a:ext cx="82550" cy="158750"/>
        </a:xfrm>
        <a:prstGeom prst="rect">
          <a:avLst/>
        </a:prstGeom>
        <a:noFill/>
        <a:ln w="9525">
          <a:miter lim="800000"/>
          <a:headEnd/>
          <a:tailEnd/>
        </a:ln>
      </xdr:spPr>
    </xdr:pic>
    <xdr:clientData/>
  </xdr:twoCellAnchor>
  <xdr:twoCellAnchor editAs="oneCell">
    <xdr:from>
      <xdr:col>3</xdr:col>
      <xdr:colOff>0</xdr:colOff>
      <xdr:row>680</xdr:row>
      <xdr:rowOff>57150</xdr:rowOff>
    </xdr:from>
    <xdr:to>
      <xdr:col>3</xdr:col>
      <xdr:colOff>82550</xdr:colOff>
      <xdr:row>681</xdr:row>
      <xdr:rowOff>38100</xdr:rowOff>
    </xdr:to>
    <xdr:pic>
      <xdr:nvPicPr>
        <xdr:cNvPr id="204" name="Control 203">
          <a:extLst>
            <a:ext uri="{FF2B5EF4-FFF2-40B4-BE49-F238E27FC236}">
              <a16:creationId xmlns:a16="http://schemas.microsoft.com/office/drawing/2014/main" xmlns="" id="{00000000-0008-0000-0600-0000C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0961150"/>
          <a:ext cx="82550" cy="158750"/>
        </a:xfrm>
        <a:prstGeom prst="rect">
          <a:avLst/>
        </a:prstGeom>
        <a:noFill/>
        <a:ln w="9525">
          <a:miter lim="800000"/>
          <a:headEnd/>
          <a:tailEnd/>
        </a:ln>
      </xdr:spPr>
    </xdr:pic>
    <xdr:clientData/>
  </xdr:twoCellAnchor>
  <xdr:twoCellAnchor editAs="oneCell">
    <xdr:from>
      <xdr:col>3</xdr:col>
      <xdr:colOff>0</xdr:colOff>
      <xdr:row>686</xdr:row>
      <xdr:rowOff>88900</xdr:rowOff>
    </xdr:from>
    <xdr:to>
      <xdr:col>3</xdr:col>
      <xdr:colOff>82550</xdr:colOff>
      <xdr:row>687</xdr:row>
      <xdr:rowOff>69850</xdr:rowOff>
    </xdr:to>
    <xdr:pic>
      <xdr:nvPicPr>
        <xdr:cNvPr id="206" name="Control 205">
          <a:extLst>
            <a:ext uri="{FF2B5EF4-FFF2-40B4-BE49-F238E27FC236}">
              <a16:creationId xmlns:a16="http://schemas.microsoft.com/office/drawing/2014/main" xmlns="" id="{00000000-0008-0000-0600-0000C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2059700"/>
          <a:ext cx="82550" cy="158750"/>
        </a:xfrm>
        <a:prstGeom prst="rect">
          <a:avLst/>
        </a:prstGeom>
        <a:noFill/>
        <a:ln w="9525">
          <a:miter lim="800000"/>
          <a:headEnd/>
          <a:tailEnd/>
        </a:ln>
      </xdr:spPr>
    </xdr:pic>
    <xdr:clientData/>
  </xdr:twoCellAnchor>
  <xdr:twoCellAnchor editAs="oneCell">
    <xdr:from>
      <xdr:col>3</xdr:col>
      <xdr:colOff>0</xdr:colOff>
      <xdr:row>693</xdr:row>
      <xdr:rowOff>57150</xdr:rowOff>
    </xdr:from>
    <xdr:to>
      <xdr:col>3</xdr:col>
      <xdr:colOff>82550</xdr:colOff>
      <xdr:row>694</xdr:row>
      <xdr:rowOff>38100</xdr:rowOff>
    </xdr:to>
    <xdr:pic>
      <xdr:nvPicPr>
        <xdr:cNvPr id="208" name="Control 207">
          <a:extLst>
            <a:ext uri="{FF2B5EF4-FFF2-40B4-BE49-F238E27FC236}">
              <a16:creationId xmlns:a16="http://schemas.microsoft.com/office/drawing/2014/main" xmlns="" id="{00000000-0008-0000-0600-0000D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3272550"/>
          <a:ext cx="82550" cy="158750"/>
        </a:xfrm>
        <a:prstGeom prst="rect">
          <a:avLst/>
        </a:prstGeom>
        <a:noFill/>
        <a:ln w="9525">
          <a:miter lim="800000"/>
          <a:headEnd/>
          <a:tailEnd/>
        </a:ln>
      </xdr:spPr>
    </xdr:pic>
    <xdr:clientData/>
  </xdr:twoCellAnchor>
  <xdr:twoCellAnchor editAs="oneCell">
    <xdr:from>
      <xdr:col>3</xdr:col>
      <xdr:colOff>0</xdr:colOff>
      <xdr:row>700</xdr:row>
      <xdr:rowOff>31750</xdr:rowOff>
    </xdr:from>
    <xdr:to>
      <xdr:col>3</xdr:col>
      <xdr:colOff>82550</xdr:colOff>
      <xdr:row>701</xdr:row>
      <xdr:rowOff>12700</xdr:rowOff>
    </xdr:to>
    <xdr:pic>
      <xdr:nvPicPr>
        <xdr:cNvPr id="210" name="Control 209">
          <a:extLst>
            <a:ext uri="{FF2B5EF4-FFF2-40B4-BE49-F238E27FC236}">
              <a16:creationId xmlns:a16="http://schemas.microsoft.com/office/drawing/2014/main" xmlns="" id="{00000000-0008-0000-0600-0000D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4491750"/>
          <a:ext cx="82550" cy="158750"/>
        </a:xfrm>
        <a:prstGeom prst="rect">
          <a:avLst/>
        </a:prstGeom>
        <a:noFill/>
        <a:ln w="9525">
          <a:miter lim="800000"/>
          <a:headEnd/>
          <a:tailEnd/>
        </a:ln>
      </xdr:spPr>
    </xdr:pic>
    <xdr:clientData/>
  </xdr:twoCellAnchor>
  <xdr:twoCellAnchor editAs="oneCell">
    <xdr:from>
      <xdr:col>3</xdr:col>
      <xdr:colOff>0</xdr:colOff>
      <xdr:row>706</xdr:row>
      <xdr:rowOff>50800</xdr:rowOff>
    </xdr:from>
    <xdr:to>
      <xdr:col>3</xdr:col>
      <xdr:colOff>82550</xdr:colOff>
      <xdr:row>707</xdr:row>
      <xdr:rowOff>31750</xdr:rowOff>
    </xdr:to>
    <xdr:pic>
      <xdr:nvPicPr>
        <xdr:cNvPr id="212" name="Control 211">
          <a:extLst>
            <a:ext uri="{FF2B5EF4-FFF2-40B4-BE49-F238E27FC236}">
              <a16:creationId xmlns:a16="http://schemas.microsoft.com/office/drawing/2014/main" xmlns="" id="{00000000-0008-0000-0600-0000D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5577600"/>
          <a:ext cx="82550" cy="158750"/>
        </a:xfrm>
        <a:prstGeom prst="rect">
          <a:avLst/>
        </a:prstGeom>
        <a:noFill/>
        <a:ln w="9525">
          <a:miter lim="800000"/>
          <a:headEnd/>
          <a:tailEnd/>
        </a:ln>
      </xdr:spPr>
    </xdr:pic>
    <xdr:clientData/>
  </xdr:twoCellAnchor>
  <xdr:twoCellAnchor editAs="oneCell">
    <xdr:from>
      <xdr:col>3</xdr:col>
      <xdr:colOff>0</xdr:colOff>
      <xdr:row>713</xdr:row>
      <xdr:rowOff>38100</xdr:rowOff>
    </xdr:from>
    <xdr:to>
      <xdr:col>3</xdr:col>
      <xdr:colOff>82550</xdr:colOff>
      <xdr:row>714</xdr:row>
      <xdr:rowOff>25400</xdr:rowOff>
    </xdr:to>
    <xdr:pic>
      <xdr:nvPicPr>
        <xdr:cNvPr id="214" name="Control 213">
          <a:extLst>
            <a:ext uri="{FF2B5EF4-FFF2-40B4-BE49-F238E27FC236}">
              <a16:creationId xmlns:a16="http://schemas.microsoft.com/office/drawing/2014/main" xmlns="" id="{00000000-0008-0000-0600-0000D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6809500"/>
          <a:ext cx="82550" cy="165100"/>
        </a:xfrm>
        <a:prstGeom prst="rect">
          <a:avLst/>
        </a:prstGeom>
        <a:noFill/>
        <a:ln w="9525">
          <a:miter lim="800000"/>
          <a:headEnd/>
          <a:tailEnd/>
        </a:ln>
      </xdr:spPr>
    </xdr:pic>
    <xdr:clientData/>
  </xdr:twoCellAnchor>
  <xdr:twoCellAnchor editAs="oneCell">
    <xdr:from>
      <xdr:col>3</xdr:col>
      <xdr:colOff>0</xdr:colOff>
      <xdr:row>720</xdr:row>
      <xdr:rowOff>19050</xdr:rowOff>
    </xdr:from>
    <xdr:to>
      <xdr:col>3</xdr:col>
      <xdr:colOff>82550</xdr:colOff>
      <xdr:row>721</xdr:row>
      <xdr:rowOff>0</xdr:rowOff>
    </xdr:to>
    <xdr:pic>
      <xdr:nvPicPr>
        <xdr:cNvPr id="216" name="Control 215">
          <a:extLst>
            <a:ext uri="{FF2B5EF4-FFF2-40B4-BE49-F238E27FC236}">
              <a16:creationId xmlns:a16="http://schemas.microsoft.com/office/drawing/2014/main" xmlns="" id="{00000000-0008-0000-0600-0000D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8035050"/>
          <a:ext cx="82550" cy="158750"/>
        </a:xfrm>
        <a:prstGeom prst="rect">
          <a:avLst/>
        </a:prstGeom>
        <a:noFill/>
        <a:ln w="9525">
          <a:miter lim="800000"/>
          <a:headEnd/>
          <a:tailEnd/>
        </a:ln>
      </xdr:spPr>
    </xdr:pic>
    <xdr:clientData/>
  </xdr:twoCellAnchor>
  <xdr:twoCellAnchor editAs="oneCell">
    <xdr:from>
      <xdr:col>3</xdr:col>
      <xdr:colOff>0</xdr:colOff>
      <xdr:row>726</xdr:row>
      <xdr:rowOff>76200</xdr:rowOff>
    </xdr:from>
    <xdr:to>
      <xdr:col>3</xdr:col>
      <xdr:colOff>82550</xdr:colOff>
      <xdr:row>727</xdr:row>
      <xdr:rowOff>57150</xdr:rowOff>
    </xdr:to>
    <xdr:pic>
      <xdr:nvPicPr>
        <xdr:cNvPr id="218" name="Control 217">
          <a:extLst>
            <a:ext uri="{FF2B5EF4-FFF2-40B4-BE49-F238E27FC236}">
              <a16:creationId xmlns:a16="http://schemas.microsoft.com/office/drawing/2014/main" xmlns="" id="{00000000-0008-0000-0600-0000D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29159000"/>
          <a:ext cx="82550" cy="158750"/>
        </a:xfrm>
        <a:prstGeom prst="rect">
          <a:avLst/>
        </a:prstGeom>
        <a:noFill/>
        <a:ln w="9525">
          <a:miter lim="800000"/>
          <a:headEnd/>
          <a:tailEnd/>
        </a:ln>
      </xdr:spPr>
    </xdr:pic>
    <xdr:clientData/>
  </xdr:twoCellAnchor>
  <xdr:twoCellAnchor editAs="oneCell">
    <xdr:from>
      <xdr:col>3</xdr:col>
      <xdr:colOff>0</xdr:colOff>
      <xdr:row>733</xdr:row>
      <xdr:rowOff>38100</xdr:rowOff>
    </xdr:from>
    <xdr:to>
      <xdr:col>3</xdr:col>
      <xdr:colOff>82550</xdr:colOff>
      <xdr:row>734</xdr:row>
      <xdr:rowOff>19050</xdr:rowOff>
    </xdr:to>
    <xdr:pic>
      <xdr:nvPicPr>
        <xdr:cNvPr id="220" name="Control 219">
          <a:extLst>
            <a:ext uri="{FF2B5EF4-FFF2-40B4-BE49-F238E27FC236}">
              <a16:creationId xmlns:a16="http://schemas.microsoft.com/office/drawing/2014/main" xmlns="" id="{00000000-0008-0000-0600-0000D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0365500"/>
          <a:ext cx="82550" cy="158750"/>
        </a:xfrm>
        <a:prstGeom prst="rect">
          <a:avLst/>
        </a:prstGeom>
        <a:noFill/>
        <a:ln w="9525">
          <a:miter lim="800000"/>
          <a:headEnd/>
          <a:tailEnd/>
        </a:ln>
      </xdr:spPr>
    </xdr:pic>
    <xdr:clientData/>
  </xdr:twoCellAnchor>
  <xdr:twoCellAnchor editAs="oneCell">
    <xdr:from>
      <xdr:col>3</xdr:col>
      <xdr:colOff>0</xdr:colOff>
      <xdr:row>739</xdr:row>
      <xdr:rowOff>88900</xdr:rowOff>
    </xdr:from>
    <xdr:to>
      <xdr:col>3</xdr:col>
      <xdr:colOff>82550</xdr:colOff>
      <xdr:row>740</xdr:row>
      <xdr:rowOff>69850</xdr:rowOff>
    </xdr:to>
    <xdr:pic>
      <xdr:nvPicPr>
        <xdr:cNvPr id="222" name="Control 221">
          <a:extLst>
            <a:ext uri="{FF2B5EF4-FFF2-40B4-BE49-F238E27FC236}">
              <a16:creationId xmlns:a16="http://schemas.microsoft.com/office/drawing/2014/main" xmlns="" id="{00000000-0008-0000-0600-0000D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1483100"/>
          <a:ext cx="82550" cy="158750"/>
        </a:xfrm>
        <a:prstGeom prst="rect">
          <a:avLst/>
        </a:prstGeom>
        <a:noFill/>
        <a:ln w="9525">
          <a:miter lim="800000"/>
          <a:headEnd/>
          <a:tailEnd/>
        </a:ln>
      </xdr:spPr>
    </xdr:pic>
    <xdr:clientData/>
  </xdr:twoCellAnchor>
  <xdr:twoCellAnchor editAs="oneCell">
    <xdr:from>
      <xdr:col>3</xdr:col>
      <xdr:colOff>0</xdr:colOff>
      <xdr:row>746</xdr:row>
      <xdr:rowOff>88900</xdr:rowOff>
    </xdr:from>
    <xdr:to>
      <xdr:col>3</xdr:col>
      <xdr:colOff>82550</xdr:colOff>
      <xdr:row>747</xdr:row>
      <xdr:rowOff>69850</xdr:rowOff>
    </xdr:to>
    <xdr:pic>
      <xdr:nvPicPr>
        <xdr:cNvPr id="224" name="Control 223">
          <a:extLst>
            <a:ext uri="{FF2B5EF4-FFF2-40B4-BE49-F238E27FC236}">
              <a16:creationId xmlns:a16="http://schemas.microsoft.com/office/drawing/2014/main" xmlns="" id="{00000000-0008-0000-0600-0000E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2727700"/>
          <a:ext cx="82550" cy="158750"/>
        </a:xfrm>
        <a:prstGeom prst="rect">
          <a:avLst/>
        </a:prstGeom>
        <a:noFill/>
        <a:ln w="9525">
          <a:miter lim="800000"/>
          <a:headEnd/>
          <a:tailEnd/>
        </a:ln>
      </xdr:spPr>
    </xdr:pic>
    <xdr:clientData/>
  </xdr:twoCellAnchor>
  <xdr:twoCellAnchor editAs="oneCell">
    <xdr:from>
      <xdr:col>3</xdr:col>
      <xdr:colOff>0</xdr:colOff>
      <xdr:row>753</xdr:row>
      <xdr:rowOff>31750</xdr:rowOff>
    </xdr:from>
    <xdr:to>
      <xdr:col>3</xdr:col>
      <xdr:colOff>82550</xdr:colOff>
      <xdr:row>754</xdr:row>
      <xdr:rowOff>12700</xdr:rowOff>
    </xdr:to>
    <xdr:pic>
      <xdr:nvPicPr>
        <xdr:cNvPr id="226" name="Control 225">
          <a:extLst>
            <a:ext uri="{FF2B5EF4-FFF2-40B4-BE49-F238E27FC236}">
              <a16:creationId xmlns:a16="http://schemas.microsoft.com/office/drawing/2014/main" xmlns="" id="{00000000-0008-0000-0600-0000E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3915150"/>
          <a:ext cx="82550" cy="158750"/>
        </a:xfrm>
        <a:prstGeom prst="rect">
          <a:avLst/>
        </a:prstGeom>
        <a:noFill/>
        <a:ln w="9525">
          <a:miter lim="800000"/>
          <a:headEnd/>
          <a:tailEnd/>
        </a:ln>
      </xdr:spPr>
    </xdr:pic>
    <xdr:clientData/>
  </xdr:twoCellAnchor>
  <xdr:twoCellAnchor editAs="oneCell">
    <xdr:from>
      <xdr:col>3</xdr:col>
      <xdr:colOff>0</xdr:colOff>
      <xdr:row>760</xdr:row>
      <xdr:rowOff>25400</xdr:rowOff>
    </xdr:from>
    <xdr:to>
      <xdr:col>3</xdr:col>
      <xdr:colOff>82550</xdr:colOff>
      <xdr:row>761</xdr:row>
      <xdr:rowOff>12700</xdr:rowOff>
    </xdr:to>
    <xdr:pic>
      <xdr:nvPicPr>
        <xdr:cNvPr id="228" name="Control 227">
          <a:extLst>
            <a:ext uri="{FF2B5EF4-FFF2-40B4-BE49-F238E27FC236}">
              <a16:creationId xmlns:a16="http://schemas.microsoft.com/office/drawing/2014/main" xmlns="" id="{00000000-0008-0000-0600-0000E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5153400"/>
          <a:ext cx="82550" cy="165100"/>
        </a:xfrm>
        <a:prstGeom prst="rect">
          <a:avLst/>
        </a:prstGeom>
        <a:noFill/>
        <a:ln w="9525">
          <a:miter lim="800000"/>
          <a:headEnd/>
          <a:tailEnd/>
        </a:ln>
      </xdr:spPr>
    </xdr:pic>
    <xdr:clientData/>
  </xdr:twoCellAnchor>
  <xdr:twoCellAnchor editAs="oneCell">
    <xdr:from>
      <xdr:col>3</xdr:col>
      <xdr:colOff>0</xdr:colOff>
      <xdr:row>766</xdr:row>
      <xdr:rowOff>57150</xdr:rowOff>
    </xdr:from>
    <xdr:to>
      <xdr:col>3</xdr:col>
      <xdr:colOff>82550</xdr:colOff>
      <xdr:row>767</xdr:row>
      <xdr:rowOff>38100</xdr:rowOff>
    </xdr:to>
    <xdr:pic>
      <xdr:nvPicPr>
        <xdr:cNvPr id="230" name="Control 229">
          <a:extLst>
            <a:ext uri="{FF2B5EF4-FFF2-40B4-BE49-F238E27FC236}">
              <a16:creationId xmlns:a16="http://schemas.microsoft.com/office/drawing/2014/main" xmlns="" id="{00000000-0008-0000-0600-0000E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6251950"/>
          <a:ext cx="82550" cy="158750"/>
        </a:xfrm>
        <a:prstGeom prst="rect">
          <a:avLst/>
        </a:prstGeom>
        <a:noFill/>
        <a:ln w="9525">
          <a:miter lim="800000"/>
          <a:headEnd/>
          <a:tailEnd/>
        </a:ln>
      </xdr:spPr>
    </xdr:pic>
    <xdr:clientData/>
  </xdr:twoCellAnchor>
  <xdr:twoCellAnchor editAs="oneCell">
    <xdr:from>
      <xdr:col>3</xdr:col>
      <xdr:colOff>0</xdr:colOff>
      <xdr:row>773</xdr:row>
      <xdr:rowOff>38100</xdr:rowOff>
    </xdr:from>
    <xdr:to>
      <xdr:col>3</xdr:col>
      <xdr:colOff>82550</xdr:colOff>
      <xdr:row>774</xdr:row>
      <xdr:rowOff>19050</xdr:rowOff>
    </xdr:to>
    <xdr:pic>
      <xdr:nvPicPr>
        <xdr:cNvPr id="232" name="Control 231">
          <a:extLst>
            <a:ext uri="{FF2B5EF4-FFF2-40B4-BE49-F238E27FC236}">
              <a16:creationId xmlns:a16="http://schemas.microsoft.com/office/drawing/2014/main" xmlns="" id="{00000000-0008-0000-0600-0000E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7477500"/>
          <a:ext cx="82550" cy="158750"/>
        </a:xfrm>
        <a:prstGeom prst="rect">
          <a:avLst/>
        </a:prstGeom>
        <a:noFill/>
        <a:ln w="9525">
          <a:miter lim="800000"/>
          <a:headEnd/>
          <a:tailEnd/>
        </a:ln>
      </xdr:spPr>
    </xdr:pic>
    <xdr:clientData/>
  </xdr:twoCellAnchor>
  <xdr:twoCellAnchor editAs="oneCell">
    <xdr:from>
      <xdr:col>3</xdr:col>
      <xdr:colOff>0</xdr:colOff>
      <xdr:row>780</xdr:row>
      <xdr:rowOff>6350</xdr:rowOff>
    </xdr:from>
    <xdr:to>
      <xdr:col>3</xdr:col>
      <xdr:colOff>82550</xdr:colOff>
      <xdr:row>780</xdr:row>
      <xdr:rowOff>82550</xdr:rowOff>
    </xdr:to>
    <xdr:pic>
      <xdr:nvPicPr>
        <xdr:cNvPr id="234" name="Control 233">
          <a:extLst>
            <a:ext uri="{FF2B5EF4-FFF2-40B4-BE49-F238E27FC236}">
              <a16:creationId xmlns:a16="http://schemas.microsoft.com/office/drawing/2014/main" xmlns="" id="{00000000-0008-0000-0600-0000E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8690350"/>
          <a:ext cx="82550" cy="76200"/>
        </a:xfrm>
        <a:prstGeom prst="rect">
          <a:avLst/>
        </a:prstGeom>
        <a:noFill/>
        <a:ln w="9525">
          <a:miter lim="800000"/>
          <a:headEnd/>
          <a:tailEnd/>
        </a:ln>
      </xdr:spPr>
    </xdr:pic>
    <xdr:clientData/>
  </xdr:twoCellAnchor>
  <xdr:twoCellAnchor editAs="oneCell">
    <xdr:from>
      <xdr:col>3</xdr:col>
      <xdr:colOff>0</xdr:colOff>
      <xdr:row>786</xdr:row>
      <xdr:rowOff>69850</xdr:rowOff>
    </xdr:from>
    <xdr:to>
      <xdr:col>3</xdr:col>
      <xdr:colOff>82550</xdr:colOff>
      <xdr:row>787</xdr:row>
      <xdr:rowOff>50800</xdr:rowOff>
    </xdr:to>
    <xdr:pic>
      <xdr:nvPicPr>
        <xdr:cNvPr id="236" name="Control 235">
          <a:extLst>
            <a:ext uri="{FF2B5EF4-FFF2-40B4-BE49-F238E27FC236}">
              <a16:creationId xmlns:a16="http://schemas.microsoft.com/office/drawing/2014/main" xmlns="" id="{00000000-0008-0000-0600-0000E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39820650"/>
          <a:ext cx="82550" cy="158750"/>
        </a:xfrm>
        <a:prstGeom prst="rect">
          <a:avLst/>
        </a:prstGeom>
        <a:noFill/>
        <a:ln w="9525">
          <a:miter lim="800000"/>
          <a:headEnd/>
          <a:tailEnd/>
        </a:ln>
      </xdr:spPr>
    </xdr:pic>
    <xdr:clientData/>
  </xdr:twoCellAnchor>
  <xdr:twoCellAnchor editAs="oneCell">
    <xdr:from>
      <xdr:col>3</xdr:col>
      <xdr:colOff>0</xdr:colOff>
      <xdr:row>793</xdr:row>
      <xdr:rowOff>31750</xdr:rowOff>
    </xdr:from>
    <xdr:to>
      <xdr:col>3</xdr:col>
      <xdr:colOff>82550</xdr:colOff>
      <xdr:row>794</xdr:row>
      <xdr:rowOff>12700</xdr:rowOff>
    </xdr:to>
    <xdr:pic>
      <xdr:nvPicPr>
        <xdr:cNvPr id="238" name="Control 237">
          <a:extLst>
            <a:ext uri="{FF2B5EF4-FFF2-40B4-BE49-F238E27FC236}">
              <a16:creationId xmlns:a16="http://schemas.microsoft.com/office/drawing/2014/main" xmlns="" id="{00000000-0008-0000-0600-0000E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1027150"/>
          <a:ext cx="82550" cy="158750"/>
        </a:xfrm>
        <a:prstGeom prst="rect">
          <a:avLst/>
        </a:prstGeom>
        <a:noFill/>
        <a:ln w="9525">
          <a:miter lim="800000"/>
          <a:headEnd/>
          <a:tailEnd/>
        </a:ln>
      </xdr:spPr>
    </xdr:pic>
    <xdr:clientData/>
  </xdr:twoCellAnchor>
  <xdr:twoCellAnchor editAs="oneCell">
    <xdr:from>
      <xdr:col>3</xdr:col>
      <xdr:colOff>0</xdr:colOff>
      <xdr:row>799</xdr:row>
      <xdr:rowOff>63500</xdr:rowOff>
    </xdr:from>
    <xdr:to>
      <xdr:col>3</xdr:col>
      <xdr:colOff>82550</xdr:colOff>
      <xdr:row>800</xdr:row>
      <xdr:rowOff>50800</xdr:rowOff>
    </xdr:to>
    <xdr:pic>
      <xdr:nvPicPr>
        <xdr:cNvPr id="240" name="Control 239">
          <a:extLst>
            <a:ext uri="{FF2B5EF4-FFF2-40B4-BE49-F238E27FC236}">
              <a16:creationId xmlns:a16="http://schemas.microsoft.com/office/drawing/2014/main" xmlns="" id="{00000000-0008-0000-0600-0000F0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2125700"/>
          <a:ext cx="82550" cy="165100"/>
        </a:xfrm>
        <a:prstGeom prst="rect">
          <a:avLst/>
        </a:prstGeom>
        <a:noFill/>
        <a:ln w="9525">
          <a:miter lim="800000"/>
          <a:headEnd/>
          <a:tailEnd/>
        </a:ln>
      </xdr:spPr>
    </xdr:pic>
    <xdr:clientData/>
  </xdr:twoCellAnchor>
  <xdr:twoCellAnchor editAs="oneCell">
    <xdr:from>
      <xdr:col>3</xdr:col>
      <xdr:colOff>0</xdr:colOff>
      <xdr:row>806</xdr:row>
      <xdr:rowOff>69850</xdr:rowOff>
    </xdr:from>
    <xdr:to>
      <xdr:col>3</xdr:col>
      <xdr:colOff>82550</xdr:colOff>
      <xdr:row>807</xdr:row>
      <xdr:rowOff>50800</xdr:rowOff>
    </xdr:to>
    <xdr:pic>
      <xdr:nvPicPr>
        <xdr:cNvPr id="242" name="Control 241">
          <a:extLst>
            <a:ext uri="{FF2B5EF4-FFF2-40B4-BE49-F238E27FC236}">
              <a16:creationId xmlns:a16="http://schemas.microsoft.com/office/drawing/2014/main" xmlns="" id="{00000000-0008-0000-0600-0000F2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3376650"/>
          <a:ext cx="82550" cy="158750"/>
        </a:xfrm>
        <a:prstGeom prst="rect">
          <a:avLst/>
        </a:prstGeom>
        <a:noFill/>
        <a:ln w="9525">
          <a:miter lim="800000"/>
          <a:headEnd/>
          <a:tailEnd/>
        </a:ln>
      </xdr:spPr>
    </xdr:pic>
    <xdr:clientData/>
  </xdr:twoCellAnchor>
  <xdr:twoCellAnchor editAs="oneCell">
    <xdr:from>
      <xdr:col>3</xdr:col>
      <xdr:colOff>0</xdr:colOff>
      <xdr:row>813</xdr:row>
      <xdr:rowOff>19050</xdr:rowOff>
    </xdr:from>
    <xdr:to>
      <xdr:col>3</xdr:col>
      <xdr:colOff>82550</xdr:colOff>
      <xdr:row>814</xdr:row>
      <xdr:rowOff>6350</xdr:rowOff>
    </xdr:to>
    <xdr:pic>
      <xdr:nvPicPr>
        <xdr:cNvPr id="244" name="Control 243">
          <a:extLst>
            <a:ext uri="{FF2B5EF4-FFF2-40B4-BE49-F238E27FC236}">
              <a16:creationId xmlns:a16="http://schemas.microsoft.com/office/drawing/2014/main" xmlns="" id="{00000000-0008-0000-0600-0000F4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4570450"/>
          <a:ext cx="82550" cy="165100"/>
        </a:xfrm>
        <a:prstGeom prst="rect">
          <a:avLst/>
        </a:prstGeom>
        <a:noFill/>
        <a:ln w="9525">
          <a:miter lim="800000"/>
          <a:headEnd/>
          <a:tailEnd/>
        </a:ln>
      </xdr:spPr>
    </xdr:pic>
    <xdr:clientData/>
  </xdr:twoCellAnchor>
  <xdr:twoCellAnchor editAs="oneCell">
    <xdr:from>
      <xdr:col>3</xdr:col>
      <xdr:colOff>0</xdr:colOff>
      <xdr:row>819</xdr:row>
      <xdr:rowOff>76200</xdr:rowOff>
    </xdr:from>
    <xdr:to>
      <xdr:col>3</xdr:col>
      <xdr:colOff>82550</xdr:colOff>
      <xdr:row>820</xdr:row>
      <xdr:rowOff>63500</xdr:rowOff>
    </xdr:to>
    <xdr:pic>
      <xdr:nvPicPr>
        <xdr:cNvPr id="246" name="Control 245">
          <a:extLst>
            <a:ext uri="{FF2B5EF4-FFF2-40B4-BE49-F238E27FC236}">
              <a16:creationId xmlns:a16="http://schemas.microsoft.com/office/drawing/2014/main" xmlns="" id="{00000000-0008-0000-0600-0000F6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5694400"/>
          <a:ext cx="82550" cy="165100"/>
        </a:xfrm>
        <a:prstGeom prst="rect">
          <a:avLst/>
        </a:prstGeom>
        <a:noFill/>
        <a:ln w="9525">
          <a:miter lim="800000"/>
          <a:headEnd/>
          <a:tailEnd/>
        </a:ln>
      </xdr:spPr>
    </xdr:pic>
    <xdr:clientData/>
  </xdr:twoCellAnchor>
  <xdr:twoCellAnchor editAs="oneCell">
    <xdr:from>
      <xdr:col>3</xdr:col>
      <xdr:colOff>0</xdr:colOff>
      <xdr:row>826</xdr:row>
      <xdr:rowOff>76200</xdr:rowOff>
    </xdr:from>
    <xdr:to>
      <xdr:col>3</xdr:col>
      <xdr:colOff>82550</xdr:colOff>
      <xdr:row>827</xdr:row>
      <xdr:rowOff>57150</xdr:rowOff>
    </xdr:to>
    <xdr:pic>
      <xdr:nvPicPr>
        <xdr:cNvPr id="248" name="Control 247">
          <a:extLst>
            <a:ext uri="{FF2B5EF4-FFF2-40B4-BE49-F238E27FC236}">
              <a16:creationId xmlns:a16="http://schemas.microsoft.com/office/drawing/2014/main" xmlns="" id="{00000000-0008-0000-0600-0000F8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6939000"/>
          <a:ext cx="82550" cy="158750"/>
        </a:xfrm>
        <a:prstGeom prst="rect">
          <a:avLst/>
        </a:prstGeom>
        <a:noFill/>
        <a:ln w="9525">
          <a:miter lim="800000"/>
          <a:headEnd/>
          <a:tailEnd/>
        </a:ln>
      </xdr:spPr>
    </xdr:pic>
    <xdr:clientData/>
  </xdr:twoCellAnchor>
  <xdr:twoCellAnchor editAs="oneCell">
    <xdr:from>
      <xdr:col>3</xdr:col>
      <xdr:colOff>0</xdr:colOff>
      <xdr:row>833</xdr:row>
      <xdr:rowOff>12700</xdr:rowOff>
    </xdr:from>
    <xdr:to>
      <xdr:col>3</xdr:col>
      <xdr:colOff>82550</xdr:colOff>
      <xdr:row>833</xdr:row>
      <xdr:rowOff>82550</xdr:rowOff>
    </xdr:to>
    <xdr:pic>
      <xdr:nvPicPr>
        <xdr:cNvPr id="250" name="Control 249">
          <a:extLst>
            <a:ext uri="{FF2B5EF4-FFF2-40B4-BE49-F238E27FC236}">
              <a16:creationId xmlns:a16="http://schemas.microsoft.com/office/drawing/2014/main" xmlns="" id="{00000000-0008-0000-0600-0000FA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8120100"/>
          <a:ext cx="82550" cy="69850"/>
        </a:xfrm>
        <a:prstGeom prst="rect">
          <a:avLst/>
        </a:prstGeom>
        <a:noFill/>
        <a:ln w="9525">
          <a:miter lim="800000"/>
          <a:headEnd/>
          <a:tailEnd/>
        </a:ln>
      </xdr:spPr>
    </xdr:pic>
    <xdr:clientData/>
  </xdr:twoCellAnchor>
  <xdr:twoCellAnchor editAs="oneCell">
    <xdr:from>
      <xdr:col>3</xdr:col>
      <xdr:colOff>0</xdr:colOff>
      <xdr:row>839</xdr:row>
      <xdr:rowOff>76200</xdr:rowOff>
    </xdr:from>
    <xdr:to>
      <xdr:col>3</xdr:col>
      <xdr:colOff>82550</xdr:colOff>
      <xdr:row>840</xdr:row>
      <xdr:rowOff>63500</xdr:rowOff>
    </xdr:to>
    <xdr:pic>
      <xdr:nvPicPr>
        <xdr:cNvPr id="252" name="Control 251">
          <a:extLst>
            <a:ext uri="{FF2B5EF4-FFF2-40B4-BE49-F238E27FC236}">
              <a16:creationId xmlns:a16="http://schemas.microsoft.com/office/drawing/2014/main" xmlns="" id="{00000000-0008-0000-0600-0000FC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49250400"/>
          <a:ext cx="82550" cy="165100"/>
        </a:xfrm>
        <a:prstGeom prst="rect">
          <a:avLst/>
        </a:prstGeom>
        <a:noFill/>
        <a:ln w="9525">
          <a:miter lim="800000"/>
          <a:headEnd/>
          <a:tailEnd/>
        </a:ln>
      </xdr:spPr>
    </xdr:pic>
    <xdr:clientData/>
  </xdr:twoCellAnchor>
  <xdr:twoCellAnchor editAs="oneCell">
    <xdr:from>
      <xdr:col>3</xdr:col>
      <xdr:colOff>0</xdr:colOff>
      <xdr:row>846</xdr:row>
      <xdr:rowOff>31750</xdr:rowOff>
    </xdr:from>
    <xdr:to>
      <xdr:col>3</xdr:col>
      <xdr:colOff>82550</xdr:colOff>
      <xdr:row>847</xdr:row>
      <xdr:rowOff>12700</xdr:rowOff>
    </xdr:to>
    <xdr:pic>
      <xdr:nvPicPr>
        <xdr:cNvPr id="254" name="Control 253">
          <a:extLst>
            <a:ext uri="{FF2B5EF4-FFF2-40B4-BE49-F238E27FC236}">
              <a16:creationId xmlns:a16="http://schemas.microsoft.com/office/drawing/2014/main" xmlns="" id="{00000000-0008-0000-0600-0000FE00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7850" y="150450550"/>
          <a:ext cx="82550" cy="158750"/>
        </a:xfrm>
        <a:prstGeom prst="rect">
          <a:avLst/>
        </a:prstGeom>
        <a:noFill/>
        <a:ln w="9525">
          <a:miter lim="800000"/>
          <a:headEnd/>
          <a:tailEnd/>
        </a:ln>
      </xdr:spPr>
    </xdr:pic>
    <xdr:clientData/>
  </xdr:twoCellAnchor>
  <xdr:twoCellAnchor editAs="oneCell">
    <xdr:from>
      <xdr:col>3</xdr:col>
      <xdr:colOff>0</xdr:colOff>
      <xdr:row>853</xdr:row>
      <xdr:rowOff>25400</xdr:rowOff>
    </xdr:from>
    <xdr:to>
      <xdr:col>3</xdr:col>
      <xdr:colOff>82550</xdr:colOff>
      <xdr:row>854</xdr:row>
      <xdr:rowOff>25400</xdr:rowOff>
    </xdr:to>
    <xdr:pic>
      <xdr:nvPicPr>
        <xdr:cNvPr id="256" name="Control 255">
          <a:extLst>
            <a:ext uri="{FF2B5EF4-FFF2-40B4-BE49-F238E27FC236}">
              <a16:creationId xmlns:a16="http://schemas.microsoft.com/office/drawing/2014/main" xmlns="" id="{00000000-0008-0000-0600-00000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1688800"/>
          <a:ext cx="82550" cy="177800"/>
        </a:xfrm>
        <a:prstGeom prst="rect">
          <a:avLst/>
        </a:prstGeom>
        <a:noFill/>
        <a:ln w="9525">
          <a:miter lim="800000"/>
          <a:headEnd/>
          <a:tailEnd/>
        </a:ln>
      </xdr:spPr>
    </xdr:pic>
    <xdr:clientData/>
  </xdr:twoCellAnchor>
  <xdr:twoCellAnchor editAs="oneCell">
    <xdr:from>
      <xdr:col>3</xdr:col>
      <xdr:colOff>0</xdr:colOff>
      <xdr:row>859</xdr:row>
      <xdr:rowOff>88900</xdr:rowOff>
    </xdr:from>
    <xdr:to>
      <xdr:col>3</xdr:col>
      <xdr:colOff>82550</xdr:colOff>
      <xdr:row>860</xdr:row>
      <xdr:rowOff>88900</xdr:rowOff>
    </xdr:to>
    <xdr:pic>
      <xdr:nvPicPr>
        <xdr:cNvPr id="258" name="Control 257">
          <a:extLst>
            <a:ext uri="{FF2B5EF4-FFF2-40B4-BE49-F238E27FC236}">
              <a16:creationId xmlns:a16="http://schemas.microsoft.com/office/drawing/2014/main" xmlns="" id="{00000000-0008-0000-0600-00000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2819100"/>
          <a:ext cx="82550" cy="177800"/>
        </a:xfrm>
        <a:prstGeom prst="rect">
          <a:avLst/>
        </a:prstGeom>
        <a:noFill/>
        <a:ln w="9525">
          <a:miter lim="800000"/>
          <a:headEnd/>
          <a:tailEnd/>
        </a:ln>
      </xdr:spPr>
    </xdr:pic>
    <xdr:clientData/>
  </xdr:twoCellAnchor>
  <xdr:twoCellAnchor editAs="oneCell">
    <xdr:from>
      <xdr:col>3</xdr:col>
      <xdr:colOff>0</xdr:colOff>
      <xdr:row>866</xdr:row>
      <xdr:rowOff>57150</xdr:rowOff>
    </xdr:from>
    <xdr:to>
      <xdr:col>3</xdr:col>
      <xdr:colOff>82550</xdr:colOff>
      <xdr:row>867</xdr:row>
      <xdr:rowOff>57150</xdr:rowOff>
    </xdr:to>
    <xdr:pic>
      <xdr:nvPicPr>
        <xdr:cNvPr id="260" name="Control 259">
          <a:extLst>
            <a:ext uri="{FF2B5EF4-FFF2-40B4-BE49-F238E27FC236}">
              <a16:creationId xmlns:a16="http://schemas.microsoft.com/office/drawing/2014/main" xmlns="" id="{00000000-0008-0000-0600-00000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4031950"/>
          <a:ext cx="82550" cy="177800"/>
        </a:xfrm>
        <a:prstGeom prst="rect">
          <a:avLst/>
        </a:prstGeom>
        <a:noFill/>
        <a:ln w="9525">
          <a:miter lim="800000"/>
          <a:headEnd/>
          <a:tailEnd/>
        </a:ln>
      </xdr:spPr>
    </xdr:pic>
    <xdr:clientData/>
  </xdr:twoCellAnchor>
  <xdr:twoCellAnchor editAs="oneCell">
    <xdr:from>
      <xdr:col>3</xdr:col>
      <xdr:colOff>0</xdr:colOff>
      <xdr:row>873</xdr:row>
      <xdr:rowOff>19050</xdr:rowOff>
    </xdr:from>
    <xdr:to>
      <xdr:col>3</xdr:col>
      <xdr:colOff>82550</xdr:colOff>
      <xdr:row>874</xdr:row>
      <xdr:rowOff>19050</xdr:rowOff>
    </xdr:to>
    <xdr:pic>
      <xdr:nvPicPr>
        <xdr:cNvPr id="262" name="Control 261">
          <a:extLst>
            <a:ext uri="{FF2B5EF4-FFF2-40B4-BE49-F238E27FC236}">
              <a16:creationId xmlns:a16="http://schemas.microsoft.com/office/drawing/2014/main" xmlns="" id="{00000000-0008-0000-0600-00000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5238450"/>
          <a:ext cx="82550" cy="177800"/>
        </a:xfrm>
        <a:prstGeom prst="rect">
          <a:avLst/>
        </a:prstGeom>
        <a:noFill/>
        <a:ln w="9525">
          <a:miter lim="800000"/>
          <a:headEnd/>
          <a:tailEnd/>
        </a:ln>
      </xdr:spPr>
    </xdr:pic>
    <xdr:clientData/>
  </xdr:twoCellAnchor>
  <xdr:twoCellAnchor editAs="oneCell">
    <xdr:from>
      <xdr:col>3</xdr:col>
      <xdr:colOff>0</xdr:colOff>
      <xdr:row>879</xdr:row>
      <xdr:rowOff>76200</xdr:rowOff>
    </xdr:from>
    <xdr:to>
      <xdr:col>3</xdr:col>
      <xdr:colOff>82550</xdr:colOff>
      <xdr:row>880</xdr:row>
      <xdr:rowOff>76200</xdr:rowOff>
    </xdr:to>
    <xdr:pic>
      <xdr:nvPicPr>
        <xdr:cNvPr id="264" name="Control 263">
          <a:extLst>
            <a:ext uri="{FF2B5EF4-FFF2-40B4-BE49-F238E27FC236}">
              <a16:creationId xmlns:a16="http://schemas.microsoft.com/office/drawing/2014/main" xmlns="" id="{00000000-0008-0000-0600-00000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6362400"/>
          <a:ext cx="82550" cy="177800"/>
        </a:xfrm>
        <a:prstGeom prst="rect">
          <a:avLst/>
        </a:prstGeom>
        <a:noFill/>
        <a:ln w="9525">
          <a:miter lim="800000"/>
          <a:headEnd/>
          <a:tailEnd/>
        </a:ln>
      </xdr:spPr>
    </xdr:pic>
    <xdr:clientData/>
  </xdr:twoCellAnchor>
  <xdr:twoCellAnchor editAs="oneCell">
    <xdr:from>
      <xdr:col>3</xdr:col>
      <xdr:colOff>0</xdr:colOff>
      <xdr:row>886</xdr:row>
      <xdr:rowOff>57150</xdr:rowOff>
    </xdr:from>
    <xdr:to>
      <xdr:col>3</xdr:col>
      <xdr:colOff>82550</xdr:colOff>
      <xdr:row>887</xdr:row>
      <xdr:rowOff>57150</xdr:rowOff>
    </xdr:to>
    <xdr:pic>
      <xdr:nvPicPr>
        <xdr:cNvPr id="266" name="Control 265">
          <a:extLst>
            <a:ext uri="{FF2B5EF4-FFF2-40B4-BE49-F238E27FC236}">
              <a16:creationId xmlns:a16="http://schemas.microsoft.com/office/drawing/2014/main" xmlns="" id="{00000000-0008-0000-0600-00000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7587950"/>
          <a:ext cx="82550" cy="177800"/>
        </a:xfrm>
        <a:prstGeom prst="rect">
          <a:avLst/>
        </a:prstGeom>
        <a:noFill/>
        <a:ln w="9525">
          <a:miter lim="800000"/>
          <a:headEnd/>
          <a:tailEnd/>
        </a:ln>
      </xdr:spPr>
    </xdr:pic>
    <xdr:clientData/>
  </xdr:twoCellAnchor>
  <xdr:twoCellAnchor editAs="oneCell">
    <xdr:from>
      <xdr:col>3</xdr:col>
      <xdr:colOff>0</xdr:colOff>
      <xdr:row>893</xdr:row>
      <xdr:rowOff>19050</xdr:rowOff>
    </xdr:from>
    <xdr:to>
      <xdr:col>3</xdr:col>
      <xdr:colOff>82550</xdr:colOff>
      <xdr:row>894</xdr:row>
      <xdr:rowOff>19050</xdr:rowOff>
    </xdr:to>
    <xdr:pic>
      <xdr:nvPicPr>
        <xdr:cNvPr id="268" name="Control 267">
          <a:extLst>
            <a:ext uri="{FF2B5EF4-FFF2-40B4-BE49-F238E27FC236}">
              <a16:creationId xmlns:a16="http://schemas.microsoft.com/office/drawing/2014/main" xmlns="" id="{00000000-0008-0000-0600-00000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8794450"/>
          <a:ext cx="82550" cy="177800"/>
        </a:xfrm>
        <a:prstGeom prst="rect">
          <a:avLst/>
        </a:prstGeom>
        <a:noFill/>
        <a:ln w="9525">
          <a:miter lim="800000"/>
          <a:headEnd/>
          <a:tailEnd/>
        </a:ln>
      </xdr:spPr>
    </xdr:pic>
    <xdr:clientData/>
  </xdr:twoCellAnchor>
  <xdr:twoCellAnchor editAs="oneCell">
    <xdr:from>
      <xdr:col>3</xdr:col>
      <xdr:colOff>0</xdr:colOff>
      <xdr:row>899</xdr:row>
      <xdr:rowOff>76200</xdr:rowOff>
    </xdr:from>
    <xdr:to>
      <xdr:col>3</xdr:col>
      <xdr:colOff>82550</xdr:colOff>
      <xdr:row>900</xdr:row>
      <xdr:rowOff>76200</xdr:rowOff>
    </xdr:to>
    <xdr:pic>
      <xdr:nvPicPr>
        <xdr:cNvPr id="270" name="Control 269">
          <a:extLst>
            <a:ext uri="{FF2B5EF4-FFF2-40B4-BE49-F238E27FC236}">
              <a16:creationId xmlns:a16="http://schemas.microsoft.com/office/drawing/2014/main" xmlns="" id="{00000000-0008-0000-0600-00000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59918400"/>
          <a:ext cx="82550" cy="177800"/>
        </a:xfrm>
        <a:prstGeom prst="rect">
          <a:avLst/>
        </a:prstGeom>
        <a:noFill/>
        <a:ln w="9525">
          <a:miter lim="800000"/>
          <a:headEnd/>
          <a:tailEnd/>
        </a:ln>
      </xdr:spPr>
    </xdr:pic>
    <xdr:clientData/>
  </xdr:twoCellAnchor>
  <xdr:twoCellAnchor editAs="oneCell">
    <xdr:from>
      <xdr:col>3</xdr:col>
      <xdr:colOff>0</xdr:colOff>
      <xdr:row>906</xdr:row>
      <xdr:rowOff>57150</xdr:rowOff>
    </xdr:from>
    <xdr:to>
      <xdr:col>3</xdr:col>
      <xdr:colOff>82550</xdr:colOff>
      <xdr:row>907</xdr:row>
      <xdr:rowOff>57150</xdr:rowOff>
    </xdr:to>
    <xdr:pic>
      <xdr:nvPicPr>
        <xdr:cNvPr id="272" name="Control 271">
          <a:extLst>
            <a:ext uri="{FF2B5EF4-FFF2-40B4-BE49-F238E27FC236}">
              <a16:creationId xmlns:a16="http://schemas.microsoft.com/office/drawing/2014/main" xmlns="" id="{00000000-0008-0000-0600-00001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1143950"/>
          <a:ext cx="82550" cy="177800"/>
        </a:xfrm>
        <a:prstGeom prst="rect">
          <a:avLst/>
        </a:prstGeom>
        <a:noFill/>
        <a:ln w="9525">
          <a:miter lim="800000"/>
          <a:headEnd/>
          <a:tailEnd/>
        </a:ln>
      </xdr:spPr>
    </xdr:pic>
    <xdr:clientData/>
  </xdr:twoCellAnchor>
  <xdr:twoCellAnchor editAs="oneCell">
    <xdr:from>
      <xdr:col>3</xdr:col>
      <xdr:colOff>0</xdr:colOff>
      <xdr:row>913</xdr:row>
      <xdr:rowOff>19050</xdr:rowOff>
    </xdr:from>
    <xdr:to>
      <xdr:col>3</xdr:col>
      <xdr:colOff>82550</xdr:colOff>
      <xdr:row>914</xdr:row>
      <xdr:rowOff>19050</xdr:rowOff>
    </xdr:to>
    <xdr:pic>
      <xdr:nvPicPr>
        <xdr:cNvPr id="274" name="Control 273">
          <a:extLst>
            <a:ext uri="{FF2B5EF4-FFF2-40B4-BE49-F238E27FC236}">
              <a16:creationId xmlns:a16="http://schemas.microsoft.com/office/drawing/2014/main" xmlns="" id="{00000000-0008-0000-0600-00001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2350450"/>
          <a:ext cx="82550" cy="177800"/>
        </a:xfrm>
        <a:prstGeom prst="rect">
          <a:avLst/>
        </a:prstGeom>
        <a:noFill/>
        <a:ln w="9525">
          <a:miter lim="800000"/>
          <a:headEnd/>
          <a:tailEnd/>
        </a:ln>
      </xdr:spPr>
    </xdr:pic>
    <xdr:clientData/>
  </xdr:twoCellAnchor>
  <xdr:twoCellAnchor editAs="oneCell">
    <xdr:from>
      <xdr:col>3</xdr:col>
      <xdr:colOff>0</xdr:colOff>
      <xdr:row>919</xdr:row>
      <xdr:rowOff>69850</xdr:rowOff>
    </xdr:from>
    <xdr:to>
      <xdr:col>3</xdr:col>
      <xdr:colOff>82550</xdr:colOff>
      <xdr:row>920</xdr:row>
      <xdr:rowOff>69850</xdr:rowOff>
    </xdr:to>
    <xdr:pic>
      <xdr:nvPicPr>
        <xdr:cNvPr id="276" name="Control 275">
          <a:extLst>
            <a:ext uri="{FF2B5EF4-FFF2-40B4-BE49-F238E27FC236}">
              <a16:creationId xmlns:a16="http://schemas.microsoft.com/office/drawing/2014/main" xmlns="" id="{00000000-0008-0000-0600-00001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3468050"/>
          <a:ext cx="82550" cy="177800"/>
        </a:xfrm>
        <a:prstGeom prst="rect">
          <a:avLst/>
        </a:prstGeom>
        <a:noFill/>
        <a:ln w="9525">
          <a:miter lim="800000"/>
          <a:headEnd/>
          <a:tailEnd/>
        </a:ln>
      </xdr:spPr>
    </xdr:pic>
    <xdr:clientData/>
  </xdr:twoCellAnchor>
  <xdr:twoCellAnchor editAs="oneCell">
    <xdr:from>
      <xdr:col>3</xdr:col>
      <xdr:colOff>0</xdr:colOff>
      <xdr:row>926</xdr:row>
      <xdr:rowOff>38100</xdr:rowOff>
    </xdr:from>
    <xdr:to>
      <xdr:col>3</xdr:col>
      <xdr:colOff>82550</xdr:colOff>
      <xdr:row>927</xdr:row>
      <xdr:rowOff>38100</xdr:rowOff>
    </xdr:to>
    <xdr:pic>
      <xdr:nvPicPr>
        <xdr:cNvPr id="278" name="Control 277">
          <a:extLst>
            <a:ext uri="{FF2B5EF4-FFF2-40B4-BE49-F238E27FC236}">
              <a16:creationId xmlns:a16="http://schemas.microsoft.com/office/drawing/2014/main" xmlns="" id="{00000000-0008-0000-0600-00001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4680900"/>
          <a:ext cx="82550" cy="177800"/>
        </a:xfrm>
        <a:prstGeom prst="rect">
          <a:avLst/>
        </a:prstGeom>
        <a:noFill/>
        <a:ln w="9525">
          <a:miter lim="800000"/>
          <a:headEnd/>
          <a:tailEnd/>
        </a:ln>
      </xdr:spPr>
    </xdr:pic>
    <xdr:clientData/>
  </xdr:twoCellAnchor>
  <xdr:twoCellAnchor editAs="oneCell">
    <xdr:from>
      <xdr:col>3</xdr:col>
      <xdr:colOff>0</xdr:colOff>
      <xdr:row>932</xdr:row>
      <xdr:rowOff>82550</xdr:rowOff>
    </xdr:from>
    <xdr:to>
      <xdr:col>3</xdr:col>
      <xdr:colOff>82550</xdr:colOff>
      <xdr:row>933</xdr:row>
      <xdr:rowOff>82550</xdr:rowOff>
    </xdr:to>
    <xdr:pic>
      <xdr:nvPicPr>
        <xdr:cNvPr id="280" name="Control 279">
          <a:extLst>
            <a:ext uri="{FF2B5EF4-FFF2-40B4-BE49-F238E27FC236}">
              <a16:creationId xmlns:a16="http://schemas.microsoft.com/office/drawing/2014/main" xmlns="" id="{00000000-0008-0000-0600-00001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5792150"/>
          <a:ext cx="82550" cy="177800"/>
        </a:xfrm>
        <a:prstGeom prst="rect">
          <a:avLst/>
        </a:prstGeom>
        <a:noFill/>
        <a:ln w="9525">
          <a:miter lim="800000"/>
          <a:headEnd/>
          <a:tailEnd/>
        </a:ln>
      </xdr:spPr>
    </xdr:pic>
    <xdr:clientData/>
  </xdr:twoCellAnchor>
  <xdr:twoCellAnchor editAs="oneCell">
    <xdr:from>
      <xdr:col>3</xdr:col>
      <xdr:colOff>0</xdr:colOff>
      <xdr:row>940</xdr:row>
      <xdr:rowOff>6350</xdr:rowOff>
    </xdr:from>
    <xdr:to>
      <xdr:col>3</xdr:col>
      <xdr:colOff>82550</xdr:colOff>
      <xdr:row>941</xdr:row>
      <xdr:rowOff>6350</xdr:rowOff>
    </xdr:to>
    <xdr:pic>
      <xdr:nvPicPr>
        <xdr:cNvPr id="282" name="Control 281">
          <a:extLst>
            <a:ext uri="{FF2B5EF4-FFF2-40B4-BE49-F238E27FC236}">
              <a16:creationId xmlns:a16="http://schemas.microsoft.com/office/drawing/2014/main" xmlns="" id="{00000000-0008-0000-0600-00001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7138350"/>
          <a:ext cx="82550" cy="177800"/>
        </a:xfrm>
        <a:prstGeom prst="rect">
          <a:avLst/>
        </a:prstGeom>
        <a:noFill/>
        <a:ln w="9525">
          <a:miter lim="800000"/>
          <a:headEnd/>
          <a:tailEnd/>
        </a:ln>
      </xdr:spPr>
    </xdr:pic>
    <xdr:clientData/>
  </xdr:twoCellAnchor>
  <xdr:twoCellAnchor editAs="oneCell">
    <xdr:from>
      <xdr:col>3</xdr:col>
      <xdr:colOff>0</xdr:colOff>
      <xdr:row>946</xdr:row>
      <xdr:rowOff>57150</xdr:rowOff>
    </xdr:from>
    <xdr:to>
      <xdr:col>3</xdr:col>
      <xdr:colOff>82550</xdr:colOff>
      <xdr:row>947</xdr:row>
      <xdr:rowOff>57150</xdr:rowOff>
    </xdr:to>
    <xdr:pic>
      <xdr:nvPicPr>
        <xdr:cNvPr id="284" name="Control 283">
          <a:extLst>
            <a:ext uri="{FF2B5EF4-FFF2-40B4-BE49-F238E27FC236}">
              <a16:creationId xmlns:a16="http://schemas.microsoft.com/office/drawing/2014/main" xmlns="" id="{00000000-0008-0000-0600-00001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8255950"/>
          <a:ext cx="82550" cy="177800"/>
        </a:xfrm>
        <a:prstGeom prst="rect">
          <a:avLst/>
        </a:prstGeom>
        <a:noFill/>
        <a:ln w="9525">
          <a:miter lim="800000"/>
          <a:headEnd/>
          <a:tailEnd/>
        </a:ln>
      </xdr:spPr>
    </xdr:pic>
    <xdr:clientData/>
  </xdr:twoCellAnchor>
  <xdr:twoCellAnchor editAs="oneCell">
    <xdr:from>
      <xdr:col>3</xdr:col>
      <xdr:colOff>0</xdr:colOff>
      <xdr:row>952</xdr:row>
      <xdr:rowOff>82550</xdr:rowOff>
    </xdr:from>
    <xdr:to>
      <xdr:col>3</xdr:col>
      <xdr:colOff>82550</xdr:colOff>
      <xdr:row>953</xdr:row>
      <xdr:rowOff>82550</xdr:rowOff>
    </xdr:to>
    <xdr:pic>
      <xdr:nvPicPr>
        <xdr:cNvPr id="286" name="Control 285">
          <a:extLst>
            <a:ext uri="{FF2B5EF4-FFF2-40B4-BE49-F238E27FC236}">
              <a16:creationId xmlns:a16="http://schemas.microsoft.com/office/drawing/2014/main" xmlns="" id="{00000000-0008-0000-0600-00001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69348150"/>
          <a:ext cx="82550" cy="177800"/>
        </a:xfrm>
        <a:prstGeom prst="rect">
          <a:avLst/>
        </a:prstGeom>
        <a:noFill/>
        <a:ln w="9525">
          <a:miter lim="800000"/>
          <a:headEnd/>
          <a:tailEnd/>
        </a:ln>
      </xdr:spPr>
    </xdr:pic>
    <xdr:clientData/>
  </xdr:twoCellAnchor>
  <xdr:twoCellAnchor editAs="oneCell">
    <xdr:from>
      <xdr:col>3</xdr:col>
      <xdr:colOff>0</xdr:colOff>
      <xdr:row>959</xdr:row>
      <xdr:rowOff>57150</xdr:rowOff>
    </xdr:from>
    <xdr:to>
      <xdr:col>3</xdr:col>
      <xdr:colOff>82550</xdr:colOff>
      <xdr:row>960</xdr:row>
      <xdr:rowOff>57150</xdr:rowOff>
    </xdr:to>
    <xdr:pic>
      <xdr:nvPicPr>
        <xdr:cNvPr id="288" name="Control 287">
          <a:extLst>
            <a:ext uri="{FF2B5EF4-FFF2-40B4-BE49-F238E27FC236}">
              <a16:creationId xmlns:a16="http://schemas.microsoft.com/office/drawing/2014/main" xmlns="" id="{00000000-0008-0000-0600-00002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0567350"/>
          <a:ext cx="82550" cy="177800"/>
        </a:xfrm>
        <a:prstGeom prst="rect">
          <a:avLst/>
        </a:prstGeom>
        <a:noFill/>
        <a:ln w="9525">
          <a:miter lim="800000"/>
          <a:headEnd/>
          <a:tailEnd/>
        </a:ln>
      </xdr:spPr>
    </xdr:pic>
    <xdr:clientData/>
  </xdr:twoCellAnchor>
  <xdr:twoCellAnchor editAs="oneCell">
    <xdr:from>
      <xdr:col>3</xdr:col>
      <xdr:colOff>0</xdr:colOff>
      <xdr:row>966</xdr:row>
      <xdr:rowOff>6350</xdr:rowOff>
    </xdr:from>
    <xdr:to>
      <xdr:col>3</xdr:col>
      <xdr:colOff>82550</xdr:colOff>
      <xdr:row>967</xdr:row>
      <xdr:rowOff>6350</xdr:rowOff>
    </xdr:to>
    <xdr:pic>
      <xdr:nvPicPr>
        <xdr:cNvPr id="290" name="Control 289">
          <a:extLst>
            <a:ext uri="{FF2B5EF4-FFF2-40B4-BE49-F238E27FC236}">
              <a16:creationId xmlns:a16="http://schemas.microsoft.com/office/drawing/2014/main" xmlns="" id="{00000000-0008-0000-0600-00002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1761150"/>
          <a:ext cx="82550" cy="177800"/>
        </a:xfrm>
        <a:prstGeom prst="rect">
          <a:avLst/>
        </a:prstGeom>
        <a:noFill/>
        <a:ln w="9525">
          <a:miter lim="800000"/>
          <a:headEnd/>
          <a:tailEnd/>
        </a:ln>
      </xdr:spPr>
    </xdr:pic>
    <xdr:clientData/>
  </xdr:twoCellAnchor>
  <xdr:twoCellAnchor editAs="oneCell">
    <xdr:from>
      <xdr:col>3</xdr:col>
      <xdr:colOff>0</xdr:colOff>
      <xdr:row>973</xdr:row>
      <xdr:rowOff>12700</xdr:rowOff>
    </xdr:from>
    <xdr:to>
      <xdr:col>3</xdr:col>
      <xdr:colOff>82550</xdr:colOff>
      <xdr:row>974</xdr:row>
      <xdr:rowOff>12700</xdr:rowOff>
    </xdr:to>
    <xdr:pic>
      <xdr:nvPicPr>
        <xdr:cNvPr id="292" name="Control 291">
          <a:extLst>
            <a:ext uri="{FF2B5EF4-FFF2-40B4-BE49-F238E27FC236}">
              <a16:creationId xmlns:a16="http://schemas.microsoft.com/office/drawing/2014/main" xmlns="" id="{00000000-0008-0000-0600-00002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3012100"/>
          <a:ext cx="82550" cy="177800"/>
        </a:xfrm>
        <a:prstGeom prst="rect">
          <a:avLst/>
        </a:prstGeom>
        <a:noFill/>
        <a:ln w="9525">
          <a:miter lim="800000"/>
          <a:headEnd/>
          <a:tailEnd/>
        </a:ln>
      </xdr:spPr>
    </xdr:pic>
    <xdr:clientData/>
  </xdr:twoCellAnchor>
  <xdr:twoCellAnchor editAs="oneCell">
    <xdr:from>
      <xdr:col>3</xdr:col>
      <xdr:colOff>0</xdr:colOff>
      <xdr:row>979</xdr:row>
      <xdr:rowOff>57150</xdr:rowOff>
    </xdr:from>
    <xdr:to>
      <xdr:col>3</xdr:col>
      <xdr:colOff>82550</xdr:colOff>
      <xdr:row>980</xdr:row>
      <xdr:rowOff>57150</xdr:rowOff>
    </xdr:to>
    <xdr:pic>
      <xdr:nvPicPr>
        <xdr:cNvPr id="294" name="Control 293">
          <a:extLst>
            <a:ext uri="{FF2B5EF4-FFF2-40B4-BE49-F238E27FC236}">
              <a16:creationId xmlns:a16="http://schemas.microsoft.com/office/drawing/2014/main" xmlns="" id="{00000000-0008-0000-0600-00002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4123350"/>
          <a:ext cx="82550" cy="177800"/>
        </a:xfrm>
        <a:prstGeom prst="rect">
          <a:avLst/>
        </a:prstGeom>
        <a:noFill/>
        <a:ln w="9525">
          <a:miter lim="800000"/>
          <a:headEnd/>
          <a:tailEnd/>
        </a:ln>
      </xdr:spPr>
    </xdr:pic>
    <xdr:clientData/>
  </xdr:twoCellAnchor>
  <xdr:twoCellAnchor editAs="oneCell">
    <xdr:from>
      <xdr:col>3</xdr:col>
      <xdr:colOff>0</xdr:colOff>
      <xdr:row>986</xdr:row>
      <xdr:rowOff>57150</xdr:rowOff>
    </xdr:from>
    <xdr:to>
      <xdr:col>3</xdr:col>
      <xdr:colOff>82550</xdr:colOff>
      <xdr:row>987</xdr:row>
      <xdr:rowOff>57150</xdr:rowOff>
    </xdr:to>
    <xdr:pic>
      <xdr:nvPicPr>
        <xdr:cNvPr id="296" name="Control 295">
          <a:extLst>
            <a:ext uri="{FF2B5EF4-FFF2-40B4-BE49-F238E27FC236}">
              <a16:creationId xmlns:a16="http://schemas.microsoft.com/office/drawing/2014/main" xmlns="" id="{00000000-0008-0000-0600-00002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5367950"/>
          <a:ext cx="82550" cy="177800"/>
        </a:xfrm>
        <a:prstGeom prst="rect">
          <a:avLst/>
        </a:prstGeom>
        <a:noFill/>
        <a:ln w="9525">
          <a:miter lim="800000"/>
          <a:headEnd/>
          <a:tailEnd/>
        </a:ln>
      </xdr:spPr>
    </xdr:pic>
    <xdr:clientData/>
  </xdr:twoCellAnchor>
  <xdr:twoCellAnchor editAs="oneCell">
    <xdr:from>
      <xdr:col>3</xdr:col>
      <xdr:colOff>0</xdr:colOff>
      <xdr:row>992</xdr:row>
      <xdr:rowOff>88900</xdr:rowOff>
    </xdr:from>
    <xdr:to>
      <xdr:col>3</xdr:col>
      <xdr:colOff>82550</xdr:colOff>
      <xdr:row>993</xdr:row>
      <xdr:rowOff>88900</xdr:rowOff>
    </xdr:to>
    <xdr:pic>
      <xdr:nvPicPr>
        <xdr:cNvPr id="298" name="Control 297">
          <a:extLst>
            <a:ext uri="{FF2B5EF4-FFF2-40B4-BE49-F238E27FC236}">
              <a16:creationId xmlns:a16="http://schemas.microsoft.com/office/drawing/2014/main" xmlns="" id="{00000000-0008-0000-0600-00002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6466500"/>
          <a:ext cx="82550" cy="177800"/>
        </a:xfrm>
        <a:prstGeom prst="rect">
          <a:avLst/>
        </a:prstGeom>
        <a:noFill/>
        <a:ln w="9525">
          <a:miter lim="800000"/>
          <a:headEnd/>
          <a:tailEnd/>
        </a:ln>
      </xdr:spPr>
    </xdr:pic>
    <xdr:clientData/>
  </xdr:twoCellAnchor>
  <xdr:twoCellAnchor editAs="oneCell">
    <xdr:from>
      <xdr:col>3</xdr:col>
      <xdr:colOff>0</xdr:colOff>
      <xdr:row>999</xdr:row>
      <xdr:rowOff>44450</xdr:rowOff>
    </xdr:from>
    <xdr:to>
      <xdr:col>3</xdr:col>
      <xdr:colOff>82550</xdr:colOff>
      <xdr:row>1000</xdr:row>
      <xdr:rowOff>44450</xdr:rowOff>
    </xdr:to>
    <xdr:pic>
      <xdr:nvPicPr>
        <xdr:cNvPr id="300" name="Control 299">
          <a:extLst>
            <a:ext uri="{FF2B5EF4-FFF2-40B4-BE49-F238E27FC236}">
              <a16:creationId xmlns:a16="http://schemas.microsoft.com/office/drawing/2014/main" xmlns="" id="{00000000-0008-0000-0600-00002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7666650"/>
          <a:ext cx="82550" cy="177800"/>
        </a:xfrm>
        <a:prstGeom prst="rect">
          <a:avLst/>
        </a:prstGeom>
        <a:noFill/>
        <a:ln w="9525">
          <a:miter lim="800000"/>
          <a:headEnd/>
          <a:tailEnd/>
        </a:ln>
      </xdr:spPr>
    </xdr:pic>
    <xdr:clientData/>
  </xdr:twoCellAnchor>
  <xdr:twoCellAnchor editAs="oneCell">
    <xdr:from>
      <xdr:col>3</xdr:col>
      <xdr:colOff>0</xdr:colOff>
      <xdr:row>1006</xdr:row>
      <xdr:rowOff>12700</xdr:rowOff>
    </xdr:from>
    <xdr:to>
      <xdr:col>3</xdr:col>
      <xdr:colOff>82550</xdr:colOff>
      <xdr:row>1007</xdr:row>
      <xdr:rowOff>12700</xdr:rowOff>
    </xdr:to>
    <xdr:pic>
      <xdr:nvPicPr>
        <xdr:cNvPr id="302" name="Control 301">
          <a:extLst>
            <a:ext uri="{FF2B5EF4-FFF2-40B4-BE49-F238E27FC236}">
              <a16:creationId xmlns:a16="http://schemas.microsoft.com/office/drawing/2014/main" xmlns="" id="{00000000-0008-0000-0600-00002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78879500"/>
          <a:ext cx="82550" cy="177800"/>
        </a:xfrm>
        <a:prstGeom prst="rect">
          <a:avLst/>
        </a:prstGeom>
        <a:noFill/>
        <a:ln w="9525">
          <a:miter lim="800000"/>
          <a:headEnd/>
          <a:tailEnd/>
        </a:ln>
      </xdr:spPr>
    </xdr:pic>
    <xdr:clientData/>
  </xdr:twoCellAnchor>
  <xdr:twoCellAnchor editAs="oneCell">
    <xdr:from>
      <xdr:col>3</xdr:col>
      <xdr:colOff>0</xdr:colOff>
      <xdr:row>1012</xdr:row>
      <xdr:rowOff>82550</xdr:rowOff>
    </xdr:from>
    <xdr:to>
      <xdr:col>3</xdr:col>
      <xdr:colOff>82550</xdr:colOff>
      <xdr:row>1013</xdr:row>
      <xdr:rowOff>82550</xdr:rowOff>
    </xdr:to>
    <xdr:pic>
      <xdr:nvPicPr>
        <xdr:cNvPr id="304" name="Control 303">
          <a:extLst>
            <a:ext uri="{FF2B5EF4-FFF2-40B4-BE49-F238E27FC236}">
              <a16:creationId xmlns:a16="http://schemas.microsoft.com/office/drawing/2014/main" xmlns="" id="{00000000-0008-0000-0600-00003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0016150"/>
          <a:ext cx="82550" cy="177800"/>
        </a:xfrm>
        <a:prstGeom prst="rect">
          <a:avLst/>
        </a:prstGeom>
        <a:noFill/>
        <a:ln w="9525">
          <a:miter lim="800000"/>
          <a:headEnd/>
          <a:tailEnd/>
        </a:ln>
      </xdr:spPr>
    </xdr:pic>
    <xdr:clientData/>
  </xdr:twoCellAnchor>
  <xdr:twoCellAnchor editAs="oneCell">
    <xdr:from>
      <xdr:col>3</xdr:col>
      <xdr:colOff>0</xdr:colOff>
      <xdr:row>1019</xdr:row>
      <xdr:rowOff>44450</xdr:rowOff>
    </xdr:from>
    <xdr:to>
      <xdr:col>3</xdr:col>
      <xdr:colOff>82550</xdr:colOff>
      <xdr:row>1020</xdr:row>
      <xdr:rowOff>44450</xdr:rowOff>
    </xdr:to>
    <xdr:pic>
      <xdr:nvPicPr>
        <xdr:cNvPr id="306" name="Control 305">
          <a:extLst>
            <a:ext uri="{FF2B5EF4-FFF2-40B4-BE49-F238E27FC236}">
              <a16:creationId xmlns:a16="http://schemas.microsoft.com/office/drawing/2014/main" xmlns="" id="{00000000-0008-0000-0600-00003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1222650"/>
          <a:ext cx="82550" cy="177800"/>
        </a:xfrm>
        <a:prstGeom prst="rect">
          <a:avLst/>
        </a:prstGeom>
        <a:noFill/>
        <a:ln w="9525">
          <a:miter lim="800000"/>
          <a:headEnd/>
          <a:tailEnd/>
        </a:ln>
      </xdr:spPr>
    </xdr:pic>
    <xdr:clientData/>
  </xdr:twoCellAnchor>
  <xdr:twoCellAnchor editAs="oneCell">
    <xdr:from>
      <xdr:col>3</xdr:col>
      <xdr:colOff>0</xdr:colOff>
      <xdr:row>1026</xdr:row>
      <xdr:rowOff>38100</xdr:rowOff>
    </xdr:from>
    <xdr:to>
      <xdr:col>3</xdr:col>
      <xdr:colOff>82550</xdr:colOff>
      <xdr:row>1027</xdr:row>
      <xdr:rowOff>38100</xdr:rowOff>
    </xdr:to>
    <xdr:pic>
      <xdr:nvPicPr>
        <xdr:cNvPr id="308" name="Control 307">
          <a:extLst>
            <a:ext uri="{FF2B5EF4-FFF2-40B4-BE49-F238E27FC236}">
              <a16:creationId xmlns:a16="http://schemas.microsoft.com/office/drawing/2014/main" xmlns="" id="{00000000-0008-0000-0600-00003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2460900"/>
          <a:ext cx="82550" cy="177800"/>
        </a:xfrm>
        <a:prstGeom prst="rect">
          <a:avLst/>
        </a:prstGeom>
        <a:noFill/>
        <a:ln w="9525">
          <a:miter lim="800000"/>
          <a:headEnd/>
          <a:tailEnd/>
        </a:ln>
      </xdr:spPr>
    </xdr:pic>
    <xdr:clientData/>
  </xdr:twoCellAnchor>
  <xdr:twoCellAnchor editAs="oneCell">
    <xdr:from>
      <xdr:col>3</xdr:col>
      <xdr:colOff>0</xdr:colOff>
      <xdr:row>1032</xdr:row>
      <xdr:rowOff>82550</xdr:rowOff>
    </xdr:from>
    <xdr:to>
      <xdr:col>3</xdr:col>
      <xdr:colOff>82550</xdr:colOff>
      <xdr:row>1033</xdr:row>
      <xdr:rowOff>82550</xdr:rowOff>
    </xdr:to>
    <xdr:pic>
      <xdr:nvPicPr>
        <xdr:cNvPr id="310" name="Control 309">
          <a:extLst>
            <a:ext uri="{FF2B5EF4-FFF2-40B4-BE49-F238E27FC236}">
              <a16:creationId xmlns:a16="http://schemas.microsoft.com/office/drawing/2014/main" xmlns="" id="{00000000-0008-0000-0600-00003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3572150"/>
          <a:ext cx="82550" cy="177800"/>
        </a:xfrm>
        <a:prstGeom prst="rect">
          <a:avLst/>
        </a:prstGeom>
        <a:noFill/>
        <a:ln w="9525">
          <a:miter lim="800000"/>
          <a:headEnd/>
          <a:tailEnd/>
        </a:ln>
      </xdr:spPr>
    </xdr:pic>
    <xdr:clientData/>
  </xdr:twoCellAnchor>
  <xdr:twoCellAnchor editAs="oneCell">
    <xdr:from>
      <xdr:col>3</xdr:col>
      <xdr:colOff>0</xdr:colOff>
      <xdr:row>1039</xdr:row>
      <xdr:rowOff>76200</xdr:rowOff>
    </xdr:from>
    <xdr:to>
      <xdr:col>3</xdr:col>
      <xdr:colOff>82550</xdr:colOff>
      <xdr:row>1040</xdr:row>
      <xdr:rowOff>76200</xdr:rowOff>
    </xdr:to>
    <xdr:pic>
      <xdr:nvPicPr>
        <xdr:cNvPr id="312" name="Control 311">
          <a:extLst>
            <a:ext uri="{FF2B5EF4-FFF2-40B4-BE49-F238E27FC236}">
              <a16:creationId xmlns:a16="http://schemas.microsoft.com/office/drawing/2014/main" xmlns="" id="{00000000-0008-0000-0600-00003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4810400"/>
          <a:ext cx="82550" cy="177800"/>
        </a:xfrm>
        <a:prstGeom prst="rect">
          <a:avLst/>
        </a:prstGeom>
        <a:noFill/>
        <a:ln w="9525">
          <a:miter lim="800000"/>
          <a:headEnd/>
          <a:tailEnd/>
        </a:ln>
      </xdr:spPr>
    </xdr:pic>
    <xdr:clientData/>
  </xdr:twoCellAnchor>
  <xdr:twoCellAnchor editAs="oneCell">
    <xdr:from>
      <xdr:col>3</xdr:col>
      <xdr:colOff>0</xdr:colOff>
      <xdr:row>1046</xdr:row>
      <xdr:rowOff>19050</xdr:rowOff>
    </xdr:from>
    <xdr:to>
      <xdr:col>3</xdr:col>
      <xdr:colOff>82550</xdr:colOff>
      <xdr:row>1047</xdr:row>
      <xdr:rowOff>19050</xdr:rowOff>
    </xdr:to>
    <xdr:pic>
      <xdr:nvPicPr>
        <xdr:cNvPr id="314" name="Control 313">
          <a:extLst>
            <a:ext uri="{FF2B5EF4-FFF2-40B4-BE49-F238E27FC236}">
              <a16:creationId xmlns:a16="http://schemas.microsoft.com/office/drawing/2014/main" xmlns="" id="{00000000-0008-0000-0600-00003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5997850"/>
          <a:ext cx="82550" cy="177800"/>
        </a:xfrm>
        <a:prstGeom prst="rect">
          <a:avLst/>
        </a:prstGeom>
        <a:noFill/>
        <a:ln w="9525">
          <a:miter lim="800000"/>
          <a:headEnd/>
          <a:tailEnd/>
        </a:ln>
      </xdr:spPr>
    </xdr:pic>
    <xdr:clientData/>
  </xdr:twoCellAnchor>
  <xdr:twoCellAnchor editAs="oneCell">
    <xdr:from>
      <xdr:col>3</xdr:col>
      <xdr:colOff>0</xdr:colOff>
      <xdr:row>1052</xdr:row>
      <xdr:rowOff>88900</xdr:rowOff>
    </xdr:from>
    <xdr:to>
      <xdr:col>3</xdr:col>
      <xdr:colOff>82550</xdr:colOff>
      <xdr:row>1053</xdr:row>
      <xdr:rowOff>88900</xdr:rowOff>
    </xdr:to>
    <xdr:pic>
      <xdr:nvPicPr>
        <xdr:cNvPr id="316" name="Control 315">
          <a:extLst>
            <a:ext uri="{FF2B5EF4-FFF2-40B4-BE49-F238E27FC236}">
              <a16:creationId xmlns:a16="http://schemas.microsoft.com/office/drawing/2014/main" xmlns="" id="{00000000-0008-0000-0600-00003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7134500"/>
          <a:ext cx="82550" cy="177800"/>
        </a:xfrm>
        <a:prstGeom prst="rect">
          <a:avLst/>
        </a:prstGeom>
        <a:noFill/>
        <a:ln w="9525">
          <a:miter lim="800000"/>
          <a:headEnd/>
          <a:tailEnd/>
        </a:ln>
      </xdr:spPr>
    </xdr:pic>
    <xdr:clientData/>
  </xdr:twoCellAnchor>
  <xdr:twoCellAnchor editAs="oneCell">
    <xdr:from>
      <xdr:col>3</xdr:col>
      <xdr:colOff>0</xdr:colOff>
      <xdr:row>1059</xdr:row>
      <xdr:rowOff>50800</xdr:rowOff>
    </xdr:from>
    <xdr:to>
      <xdr:col>3</xdr:col>
      <xdr:colOff>82550</xdr:colOff>
      <xdr:row>1060</xdr:row>
      <xdr:rowOff>50800</xdr:rowOff>
    </xdr:to>
    <xdr:pic>
      <xdr:nvPicPr>
        <xdr:cNvPr id="318" name="Control 317">
          <a:extLst>
            <a:ext uri="{FF2B5EF4-FFF2-40B4-BE49-F238E27FC236}">
              <a16:creationId xmlns:a16="http://schemas.microsoft.com/office/drawing/2014/main" xmlns="" id="{00000000-0008-0000-0600-00003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8341000"/>
          <a:ext cx="82550" cy="177800"/>
        </a:xfrm>
        <a:prstGeom prst="rect">
          <a:avLst/>
        </a:prstGeom>
        <a:noFill/>
        <a:ln w="9525">
          <a:miter lim="800000"/>
          <a:headEnd/>
          <a:tailEnd/>
        </a:ln>
      </xdr:spPr>
    </xdr:pic>
    <xdr:clientData/>
  </xdr:twoCellAnchor>
  <xdr:twoCellAnchor editAs="oneCell">
    <xdr:from>
      <xdr:col>3</xdr:col>
      <xdr:colOff>0</xdr:colOff>
      <xdr:row>1066</xdr:row>
      <xdr:rowOff>6350</xdr:rowOff>
    </xdr:from>
    <xdr:to>
      <xdr:col>3</xdr:col>
      <xdr:colOff>82550</xdr:colOff>
      <xdr:row>1067</xdr:row>
      <xdr:rowOff>6350</xdr:rowOff>
    </xdr:to>
    <xdr:pic>
      <xdr:nvPicPr>
        <xdr:cNvPr id="320" name="Control 319">
          <a:extLst>
            <a:ext uri="{FF2B5EF4-FFF2-40B4-BE49-F238E27FC236}">
              <a16:creationId xmlns:a16="http://schemas.microsoft.com/office/drawing/2014/main" xmlns="" id="{00000000-0008-0000-0600-00004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89541150"/>
          <a:ext cx="82550" cy="177800"/>
        </a:xfrm>
        <a:prstGeom prst="rect">
          <a:avLst/>
        </a:prstGeom>
        <a:noFill/>
        <a:ln w="9525">
          <a:miter lim="800000"/>
          <a:headEnd/>
          <a:tailEnd/>
        </a:ln>
      </xdr:spPr>
    </xdr:pic>
    <xdr:clientData/>
  </xdr:twoCellAnchor>
  <xdr:twoCellAnchor editAs="oneCell">
    <xdr:from>
      <xdr:col>3</xdr:col>
      <xdr:colOff>0</xdr:colOff>
      <xdr:row>1072</xdr:row>
      <xdr:rowOff>63500</xdr:rowOff>
    </xdr:from>
    <xdr:to>
      <xdr:col>3</xdr:col>
      <xdr:colOff>82550</xdr:colOff>
      <xdr:row>1073</xdr:row>
      <xdr:rowOff>63500</xdr:rowOff>
    </xdr:to>
    <xdr:pic>
      <xdr:nvPicPr>
        <xdr:cNvPr id="322" name="Control 321">
          <a:extLst>
            <a:ext uri="{FF2B5EF4-FFF2-40B4-BE49-F238E27FC236}">
              <a16:creationId xmlns:a16="http://schemas.microsoft.com/office/drawing/2014/main" xmlns="" id="{00000000-0008-0000-0600-00004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0665100"/>
          <a:ext cx="82550" cy="177800"/>
        </a:xfrm>
        <a:prstGeom prst="rect">
          <a:avLst/>
        </a:prstGeom>
        <a:noFill/>
        <a:ln w="9525">
          <a:miter lim="800000"/>
          <a:headEnd/>
          <a:tailEnd/>
        </a:ln>
      </xdr:spPr>
    </xdr:pic>
    <xdr:clientData/>
  </xdr:twoCellAnchor>
  <xdr:twoCellAnchor editAs="oneCell">
    <xdr:from>
      <xdr:col>3</xdr:col>
      <xdr:colOff>0</xdr:colOff>
      <xdr:row>1079</xdr:row>
      <xdr:rowOff>38100</xdr:rowOff>
    </xdr:from>
    <xdr:to>
      <xdr:col>3</xdr:col>
      <xdr:colOff>82550</xdr:colOff>
      <xdr:row>1080</xdr:row>
      <xdr:rowOff>38100</xdr:rowOff>
    </xdr:to>
    <xdr:pic>
      <xdr:nvPicPr>
        <xdr:cNvPr id="324" name="Control 323">
          <a:extLst>
            <a:ext uri="{FF2B5EF4-FFF2-40B4-BE49-F238E27FC236}">
              <a16:creationId xmlns:a16="http://schemas.microsoft.com/office/drawing/2014/main" xmlns="" id="{00000000-0008-0000-0600-00004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1884300"/>
          <a:ext cx="82550" cy="177800"/>
        </a:xfrm>
        <a:prstGeom prst="rect">
          <a:avLst/>
        </a:prstGeom>
        <a:noFill/>
        <a:ln w="9525">
          <a:miter lim="800000"/>
          <a:headEnd/>
          <a:tailEnd/>
        </a:ln>
      </xdr:spPr>
    </xdr:pic>
    <xdr:clientData/>
  </xdr:twoCellAnchor>
  <xdr:twoCellAnchor editAs="oneCell">
    <xdr:from>
      <xdr:col>3</xdr:col>
      <xdr:colOff>0</xdr:colOff>
      <xdr:row>1085</xdr:row>
      <xdr:rowOff>76200</xdr:rowOff>
    </xdr:from>
    <xdr:to>
      <xdr:col>3</xdr:col>
      <xdr:colOff>82550</xdr:colOff>
      <xdr:row>1086</xdr:row>
      <xdr:rowOff>76200</xdr:rowOff>
    </xdr:to>
    <xdr:pic>
      <xdr:nvPicPr>
        <xdr:cNvPr id="326" name="Control 325">
          <a:extLst>
            <a:ext uri="{FF2B5EF4-FFF2-40B4-BE49-F238E27FC236}">
              <a16:creationId xmlns:a16="http://schemas.microsoft.com/office/drawing/2014/main" xmlns="" id="{00000000-0008-0000-0600-00004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2989200"/>
          <a:ext cx="82550" cy="177800"/>
        </a:xfrm>
        <a:prstGeom prst="rect">
          <a:avLst/>
        </a:prstGeom>
        <a:noFill/>
        <a:ln w="9525">
          <a:miter lim="800000"/>
          <a:headEnd/>
          <a:tailEnd/>
        </a:ln>
      </xdr:spPr>
    </xdr:pic>
    <xdr:clientData/>
  </xdr:twoCellAnchor>
  <xdr:twoCellAnchor editAs="oneCell">
    <xdr:from>
      <xdr:col>3</xdr:col>
      <xdr:colOff>0</xdr:colOff>
      <xdr:row>1092</xdr:row>
      <xdr:rowOff>57150</xdr:rowOff>
    </xdr:from>
    <xdr:to>
      <xdr:col>3</xdr:col>
      <xdr:colOff>82550</xdr:colOff>
      <xdr:row>1093</xdr:row>
      <xdr:rowOff>57150</xdr:rowOff>
    </xdr:to>
    <xdr:pic>
      <xdr:nvPicPr>
        <xdr:cNvPr id="328" name="Control 327">
          <a:extLst>
            <a:ext uri="{FF2B5EF4-FFF2-40B4-BE49-F238E27FC236}">
              <a16:creationId xmlns:a16="http://schemas.microsoft.com/office/drawing/2014/main" xmlns="" id="{00000000-0008-0000-0600-00004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4214750"/>
          <a:ext cx="82550" cy="177800"/>
        </a:xfrm>
        <a:prstGeom prst="rect">
          <a:avLst/>
        </a:prstGeom>
        <a:noFill/>
        <a:ln w="9525">
          <a:miter lim="800000"/>
          <a:headEnd/>
          <a:tailEnd/>
        </a:ln>
      </xdr:spPr>
    </xdr:pic>
    <xdr:clientData/>
  </xdr:twoCellAnchor>
  <xdr:twoCellAnchor editAs="oneCell">
    <xdr:from>
      <xdr:col>3</xdr:col>
      <xdr:colOff>0</xdr:colOff>
      <xdr:row>1099</xdr:row>
      <xdr:rowOff>19050</xdr:rowOff>
    </xdr:from>
    <xdr:to>
      <xdr:col>3</xdr:col>
      <xdr:colOff>82550</xdr:colOff>
      <xdr:row>1100</xdr:row>
      <xdr:rowOff>19050</xdr:rowOff>
    </xdr:to>
    <xdr:pic>
      <xdr:nvPicPr>
        <xdr:cNvPr id="330" name="Control 329">
          <a:extLst>
            <a:ext uri="{FF2B5EF4-FFF2-40B4-BE49-F238E27FC236}">
              <a16:creationId xmlns:a16="http://schemas.microsoft.com/office/drawing/2014/main" xmlns="" id="{00000000-0008-0000-0600-00004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5421250"/>
          <a:ext cx="82550" cy="177800"/>
        </a:xfrm>
        <a:prstGeom prst="rect">
          <a:avLst/>
        </a:prstGeom>
        <a:noFill/>
        <a:ln w="9525">
          <a:miter lim="800000"/>
          <a:headEnd/>
          <a:tailEnd/>
        </a:ln>
      </xdr:spPr>
    </xdr:pic>
    <xdr:clientData/>
  </xdr:twoCellAnchor>
  <xdr:twoCellAnchor editAs="oneCell">
    <xdr:from>
      <xdr:col>3</xdr:col>
      <xdr:colOff>0</xdr:colOff>
      <xdr:row>1106</xdr:row>
      <xdr:rowOff>6350</xdr:rowOff>
    </xdr:from>
    <xdr:to>
      <xdr:col>3</xdr:col>
      <xdr:colOff>82550</xdr:colOff>
      <xdr:row>1107</xdr:row>
      <xdr:rowOff>6350</xdr:rowOff>
    </xdr:to>
    <xdr:pic>
      <xdr:nvPicPr>
        <xdr:cNvPr id="332" name="Control 331">
          <a:extLst>
            <a:ext uri="{FF2B5EF4-FFF2-40B4-BE49-F238E27FC236}">
              <a16:creationId xmlns:a16="http://schemas.microsoft.com/office/drawing/2014/main" xmlns="" id="{00000000-0008-0000-0600-00004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6653150"/>
          <a:ext cx="82550" cy="177800"/>
        </a:xfrm>
        <a:prstGeom prst="rect">
          <a:avLst/>
        </a:prstGeom>
        <a:noFill/>
        <a:ln w="9525">
          <a:miter lim="800000"/>
          <a:headEnd/>
          <a:tailEnd/>
        </a:ln>
      </xdr:spPr>
    </xdr:pic>
    <xdr:clientData/>
  </xdr:twoCellAnchor>
  <xdr:twoCellAnchor editAs="oneCell">
    <xdr:from>
      <xdr:col>3</xdr:col>
      <xdr:colOff>0</xdr:colOff>
      <xdr:row>1112</xdr:row>
      <xdr:rowOff>63500</xdr:rowOff>
    </xdr:from>
    <xdr:to>
      <xdr:col>3</xdr:col>
      <xdr:colOff>82550</xdr:colOff>
      <xdr:row>1113</xdr:row>
      <xdr:rowOff>63500</xdr:rowOff>
    </xdr:to>
    <xdr:pic>
      <xdr:nvPicPr>
        <xdr:cNvPr id="334" name="Control 333">
          <a:extLst>
            <a:ext uri="{FF2B5EF4-FFF2-40B4-BE49-F238E27FC236}">
              <a16:creationId xmlns:a16="http://schemas.microsoft.com/office/drawing/2014/main" xmlns="" id="{00000000-0008-0000-0600-00004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7777100"/>
          <a:ext cx="82550" cy="177800"/>
        </a:xfrm>
        <a:prstGeom prst="rect">
          <a:avLst/>
        </a:prstGeom>
        <a:noFill/>
        <a:ln w="9525">
          <a:miter lim="800000"/>
          <a:headEnd/>
          <a:tailEnd/>
        </a:ln>
      </xdr:spPr>
    </xdr:pic>
    <xdr:clientData/>
  </xdr:twoCellAnchor>
  <xdr:twoCellAnchor editAs="oneCell">
    <xdr:from>
      <xdr:col>3</xdr:col>
      <xdr:colOff>0</xdr:colOff>
      <xdr:row>1119</xdr:row>
      <xdr:rowOff>12700</xdr:rowOff>
    </xdr:from>
    <xdr:to>
      <xdr:col>3</xdr:col>
      <xdr:colOff>82550</xdr:colOff>
      <xdr:row>1120</xdr:row>
      <xdr:rowOff>12700</xdr:rowOff>
    </xdr:to>
    <xdr:pic>
      <xdr:nvPicPr>
        <xdr:cNvPr id="336" name="Control 335">
          <a:extLst>
            <a:ext uri="{FF2B5EF4-FFF2-40B4-BE49-F238E27FC236}">
              <a16:creationId xmlns:a16="http://schemas.microsoft.com/office/drawing/2014/main" xmlns="" id="{00000000-0008-0000-0600-00005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198970900"/>
          <a:ext cx="82550" cy="177800"/>
        </a:xfrm>
        <a:prstGeom prst="rect">
          <a:avLst/>
        </a:prstGeom>
        <a:noFill/>
        <a:ln w="9525">
          <a:miter lim="800000"/>
          <a:headEnd/>
          <a:tailEnd/>
        </a:ln>
      </xdr:spPr>
    </xdr:pic>
    <xdr:clientData/>
  </xdr:twoCellAnchor>
  <xdr:twoCellAnchor editAs="oneCell">
    <xdr:from>
      <xdr:col>3</xdr:col>
      <xdr:colOff>0</xdr:colOff>
      <xdr:row>1126</xdr:row>
      <xdr:rowOff>12700</xdr:rowOff>
    </xdr:from>
    <xdr:to>
      <xdr:col>3</xdr:col>
      <xdr:colOff>82550</xdr:colOff>
      <xdr:row>1127</xdr:row>
      <xdr:rowOff>12700</xdr:rowOff>
    </xdr:to>
    <xdr:pic>
      <xdr:nvPicPr>
        <xdr:cNvPr id="338" name="Control 337">
          <a:extLst>
            <a:ext uri="{FF2B5EF4-FFF2-40B4-BE49-F238E27FC236}">
              <a16:creationId xmlns:a16="http://schemas.microsoft.com/office/drawing/2014/main" xmlns="" id="{00000000-0008-0000-0600-00005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0215500"/>
          <a:ext cx="82550" cy="177800"/>
        </a:xfrm>
        <a:prstGeom prst="rect">
          <a:avLst/>
        </a:prstGeom>
        <a:noFill/>
        <a:ln w="9525">
          <a:miter lim="800000"/>
          <a:headEnd/>
          <a:tailEnd/>
        </a:ln>
      </xdr:spPr>
    </xdr:pic>
    <xdr:clientData/>
  </xdr:twoCellAnchor>
  <xdr:twoCellAnchor editAs="oneCell">
    <xdr:from>
      <xdr:col>3</xdr:col>
      <xdr:colOff>0</xdr:colOff>
      <xdr:row>1132</xdr:row>
      <xdr:rowOff>57150</xdr:rowOff>
    </xdr:from>
    <xdr:to>
      <xdr:col>3</xdr:col>
      <xdr:colOff>82550</xdr:colOff>
      <xdr:row>1133</xdr:row>
      <xdr:rowOff>57150</xdr:rowOff>
    </xdr:to>
    <xdr:pic>
      <xdr:nvPicPr>
        <xdr:cNvPr id="340" name="Control 339">
          <a:extLst>
            <a:ext uri="{FF2B5EF4-FFF2-40B4-BE49-F238E27FC236}">
              <a16:creationId xmlns:a16="http://schemas.microsoft.com/office/drawing/2014/main" xmlns="" id="{00000000-0008-0000-0600-00005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1326750"/>
          <a:ext cx="82550" cy="177800"/>
        </a:xfrm>
        <a:prstGeom prst="rect">
          <a:avLst/>
        </a:prstGeom>
        <a:noFill/>
        <a:ln w="9525">
          <a:miter lim="800000"/>
          <a:headEnd/>
          <a:tailEnd/>
        </a:ln>
      </xdr:spPr>
    </xdr:pic>
    <xdr:clientData/>
  </xdr:twoCellAnchor>
  <xdr:twoCellAnchor editAs="oneCell">
    <xdr:from>
      <xdr:col>3</xdr:col>
      <xdr:colOff>0</xdr:colOff>
      <xdr:row>1139</xdr:row>
      <xdr:rowOff>12700</xdr:rowOff>
    </xdr:from>
    <xdr:to>
      <xdr:col>3</xdr:col>
      <xdr:colOff>82550</xdr:colOff>
      <xdr:row>1140</xdr:row>
      <xdr:rowOff>12700</xdr:rowOff>
    </xdr:to>
    <xdr:pic>
      <xdr:nvPicPr>
        <xdr:cNvPr id="342" name="Control 341">
          <a:extLst>
            <a:ext uri="{FF2B5EF4-FFF2-40B4-BE49-F238E27FC236}">
              <a16:creationId xmlns:a16="http://schemas.microsoft.com/office/drawing/2014/main" xmlns="" id="{00000000-0008-0000-0600-00005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2526900"/>
          <a:ext cx="82550" cy="177800"/>
        </a:xfrm>
        <a:prstGeom prst="rect">
          <a:avLst/>
        </a:prstGeom>
        <a:noFill/>
        <a:ln w="9525">
          <a:miter lim="800000"/>
          <a:headEnd/>
          <a:tailEnd/>
        </a:ln>
      </xdr:spPr>
    </xdr:pic>
    <xdr:clientData/>
  </xdr:twoCellAnchor>
  <xdr:twoCellAnchor editAs="oneCell">
    <xdr:from>
      <xdr:col>3</xdr:col>
      <xdr:colOff>0</xdr:colOff>
      <xdr:row>1146</xdr:row>
      <xdr:rowOff>12700</xdr:rowOff>
    </xdr:from>
    <xdr:to>
      <xdr:col>3</xdr:col>
      <xdr:colOff>82550</xdr:colOff>
      <xdr:row>1147</xdr:row>
      <xdr:rowOff>12700</xdr:rowOff>
    </xdr:to>
    <xdr:pic>
      <xdr:nvPicPr>
        <xdr:cNvPr id="344" name="Control 343">
          <a:extLst>
            <a:ext uri="{FF2B5EF4-FFF2-40B4-BE49-F238E27FC236}">
              <a16:creationId xmlns:a16="http://schemas.microsoft.com/office/drawing/2014/main" xmlns="" id="{00000000-0008-0000-0600-00005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3771500"/>
          <a:ext cx="82550" cy="177800"/>
        </a:xfrm>
        <a:prstGeom prst="rect">
          <a:avLst/>
        </a:prstGeom>
        <a:noFill/>
        <a:ln w="9525">
          <a:miter lim="800000"/>
          <a:headEnd/>
          <a:tailEnd/>
        </a:ln>
      </xdr:spPr>
    </xdr:pic>
    <xdr:clientData/>
  </xdr:twoCellAnchor>
  <xdr:twoCellAnchor editAs="oneCell">
    <xdr:from>
      <xdr:col>3</xdr:col>
      <xdr:colOff>0</xdr:colOff>
      <xdr:row>1152</xdr:row>
      <xdr:rowOff>50800</xdr:rowOff>
    </xdr:from>
    <xdr:to>
      <xdr:col>3</xdr:col>
      <xdr:colOff>82550</xdr:colOff>
      <xdr:row>1153</xdr:row>
      <xdr:rowOff>50800</xdr:rowOff>
    </xdr:to>
    <xdr:pic>
      <xdr:nvPicPr>
        <xdr:cNvPr id="346" name="Control 345">
          <a:extLst>
            <a:ext uri="{FF2B5EF4-FFF2-40B4-BE49-F238E27FC236}">
              <a16:creationId xmlns:a16="http://schemas.microsoft.com/office/drawing/2014/main" xmlns="" id="{00000000-0008-0000-0600-00005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4876400"/>
          <a:ext cx="82550" cy="177800"/>
        </a:xfrm>
        <a:prstGeom prst="rect">
          <a:avLst/>
        </a:prstGeom>
        <a:noFill/>
        <a:ln w="9525">
          <a:miter lim="800000"/>
          <a:headEnd/>
          <a:tailEnd/>
        </a:ln>
      </xdr:spPr>
    </xdr:pic>
    <xdr:clientData/>
  </xdr:twoCellAnchor>
  <xdr:twoCellAnchor editAs="oneCell">
    <xdr:from>
      <xdr:col>3</xdr:col>
      <xdr:colOff>0</xdr:colOff>
      <xdr:row>1159</xdr:row>
      <xdr:rowOff>6350</xdr:rowOff>
    </xdr:from>
    <xdr:to>
      <xdr:col>3</xdr:col>
      <xdr:colOff>82550</xdr:colOff>
      <xdr:row>1160</xdr:row>
      <xdr:rowOff>6350</xdr:rowOff>
    </xdr:to>
    <xdr:pic>
      <xdr:nvPicPr>
        <xdr:cNvPr id="348" name="Control 347">
          <a:extLst>
            <a:ext uri="{FF2B5EF4-FFF2-40B4-BE49-F238E27FC236}">
              <a16:creationId xmlns:a16="http://schemas.microsoft.com/office/drawing/2014/main" xmlns="" id="{00000000-0008-0000-0600-00005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6076550"/>
          <a:ext cx="82550" cy="177800"/>
        </a:xfrm>
        <a:prstGeom prst="rect">
          <a:avLst/>
        </a:prstGeom>
        <a:noFill/>
        <a:ln w="9525">
          <a:miter lim="800000"/>
          <a:headEnd/>
          <a:tailEnd/>
        </a:ln>
      </xdr:spPr>
    </xdr:pic>
    <xdr:clientData/>
  </xdr:twoCellAnchor>
  <xdr:twoCellAnchor editAs="oneCell">
    <xdr:from>
      <xdr:col>3</xdr:col>
      <xdr:colOff>0</xdr:colOff>
      <xdr:row>1165</xdr:row>
      <xdr:rowOff>76200</xdr:rowOff>
    </xdr:from>
    <xdr:to>
      <xdr:col>3</xdr:col>
      <xdr:colOff>82550</xdr:colOff>
      <xdr:row>1166</xdr:row>
      <xdr:rowOff>76200</xdr:rowOff>
    </xdr:to>
    <xdr:pic>
      <xdr:nvPicPr>
        <xdr:cNvPr id="350" name="Control 349">
          <a:extLst>
            <a:ext uri="{FF2B5EF4-FFF2-40B4-BE49-F238E27FC236}">
              <a16:creationId xmlns:a16="http://schemas.microsoft.com/office/drawing/2014/main" xmlns="" id="{00000000-0008-0000-0600-00005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7213200"/>
          <a:ext cx="82550" cy="177800"/>
        </a:xfrm>
        <a:prstGeom prst="rect">
          <a:avLst/>
        </a:prstGeom>
        <a:noFill/>
        <a:ln w="9525">
          <a:miter lim="800000"/>
          <a:headEnd/>
          <a:tailEnd/>
        </a:ln>
      </xdr:spPr>
    </xdr:pic>
    <xdr:clientData/>
  </xdr:twoCellAnchor>
  <xdr:twoCellAnchor editAs="oneCell">
    <xdr:from>
      <xdr:col>3</xdr:col>
      <xdr:colOff>0</xdr:colOff>
      <xdr:row>1172</xdr:row>
      <xdr:rowOff>50800</xdr:rowOff>
    </xdr:from>
    <xdr:to>
      <xdr:col>3</xdr:col>
      <xdr:colOff>82550</xdr:colOff>
      <xdr:row>1173</xdr:row>
      <xdr:rowOff>50800</xdr:rowOff>
    </xdr:to>
    <xdr:pic>
      <xdr:nvPicPr>
        <xdr:cNvPr id="7168" name="Control 351">
          <a:extLst>
            <a:ext uri="{FF2B5EF4-FFF2-40B4-BE49-F238E27FC236}">
              <a16:creationId xmlns:a16="http://schemas.microsoft.com/office/drawing/2014/main" xmlns="" id="{00000000-0008-0000-0600-00000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8432400"/>
          <a:ext cx="82550" cy="177800"/>
        </a:xfrm>
        <a:prstGeom prst="rect">
          <a:avLst/>
        </a:prstGeom>
        <a:noFill/>
        <a:ln w="9525">
          <a:miter lim="800000"/>
          <a:headEnd/>
          <a:tailEnd/>
        </a:ln>
      </xdr:spPr>
    </xdr:pic>
    <xdr:clientData/>
  </xdr:twoCellAnchor>
  <xdr:twoCellAnchor editAs="oneCell">
    <xdr:from>
      <xdr:col>3</xdr:col>
      <xdr:colOff>0</xdr:colOff>
      <xdr:row>1179</xdr:row>
      <xdr:rowOff>25400</xdr:rowOff>
    </xdr:from>
    <xdr:to>
      <xdr:col>3</xdr:col>
      <xdr:colOff>82550</xdr:colOff>
      <xdr:row>1180</xdr:row>
      <xdr:rowOff>25400</xdr:rowOff>
    </xdr:to>
    <xdr:pic>
      <xdr:nvPicPr>
        <xdr:cNvPr id="7170" name="Control 353">
          <a:extLst>
            <a:ext uri="{FF2B5EF4-FFF2-40B4-BE49-F238E27FC236}">
              <a16:creationId xmlns:a16="http://schemas.microsoft.com/office/drawing/2014/main" xmlns="" id="{00000000-0008-0000-0600-00000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09651600"/>
          <a:ext cx="82550" cy="177800"/>
        </a:xfrm>
        <a:prstGeom prst="rect">
          <a:avLst/>
        </a:prstGeom>
        <a:noFill/>
        <a:ln w="9525">
          <a:miter lim="800000"/>
          <a:headEnd/>
          <a:tailEnd/>
        </a:ln>
      </xdr:spPr>
    </xdr:pic>
    <xdr:clientData/>
  </xdr:twoCellAnchor>
  <xdr:twoCellAnchor editAs="oneCell">
    <xdr:from>
      <xdr:col>3</xdr:col>
      <xdr:colOff>0</xdr:colOff>
      <xdr:row>1185</xdr:row>
      <xdr:rowOff>57150</xdr:rowOff>
    </xdr:from>
    <xdr:to>
      <xdr:col>3</xdr:col>
      <xdr:colOff>82550</xdr:colOff>
      <xdr:row>1186</xdr:row>
      <xdr:rowOff>57150</xdr:rowOff>
    </xdr:to>
    <xdr:pic>
      <xdr:nvPicPr>
        <xdr:cNvPr id="7172" name="Control 355">
          <a:extLst>
            <a:ext uri="{FF2B5EF4-FFF2-40B4-BE49-F238E27FC236}">
              <a16:creationId xmlns:a16="http://schemas.microsoft.com/office/drawing/2014/main" xmlns="" id="{00000000-0008-0000-0600-00000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0750150"/>
          <a:ext cx="82550" cy="177800"/>
        </a:xfrm>
        <a:prstGeom prst="rect">
          <a:avLst/>
        </a:prstGeom>
        <a:noFill/>
        <a:ln w="9525">
          <a:miter lim="800000"/>
          <a:headEnd/>
          <a:tailEnd/>
        </a:ln>
      </xdr:spPr>
    </xdr:pic>
    <xdr:clientData/>
  </xdr:twoCellAnchor>
  <xdr:twoCellAnchor editAs="oneCell">
    <xdr:from>
      <xdr:col>3</xdr:col>
      <xdr:colOff>0</xdr:colOff>
      <xdr:row>1192</xdr:row>
      <xdr:rowOff>57150</xdr:rowOff>
    </xdr:from>
    <xdr:to>
      <xdr:col>3</xdr:col>
      <xdr:colOff>82550</xdr:colOff>
      <xdr:row>1193</xdr:row>
      <xdr:rowOff>57150</xdr:rowOff>
    </xdr:to>
    <xdr:pic>
      <xdr:nvPicPr>
        <xdr:cNvPr id="7174" name="Control 357">
          <a:extLst>
            <a:ext uri="{FF2B5EF4-FFF2-40B4-BE49-F238E27FC236}">
              <a16:creationId xmlns:a16="http://schemas.microsoft.com/office/drawing/2014/main" xmlns="" id="{00000000-0008-0000-0600-00000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1994750"/>
          <a:ext cx="82550" cy="177800"/>
        </a:xfrm>
        <a:prstGeom prst="rect">
          <a:avLst/>
        </a:prstGeom>
        <a:noFill/>
        <a:ln w="9525">
          <a:miter lim="800000"/>
          <a:headEnd/>
          <a:tailEnd/>
        </a:ln>
      </xdr:spPr>
    </xdr:pic>
    <xdr:clientData/>
  </xdr:twoCellAnchor>
  <xdr:twoCellAnchor editAs="oneCell">
    <xdr:from>
      <xdr:col>3</xdr:col>
      <xdr:colOff>0</xdr:colOff>
      <xdr:row>1199</xdr:row>
      <xdr:rowOff>25400</xdr:rowOff>
    </xdr:from>
    <xdr:to>
      <xdr:col>3</xdr:col>
      <xdr:colOff>82550</xdr:colOff>
      <xdr:row>1200</xdr:row>
      <xdr:rowOff>25400</xdr:rowOff>
    </xdr:to>
    <xdr:pic>
      <xdr:nvPicPr>
        <xdr:cNvPr id="7176" name="Control 359">
          <a:extLst>
            <a:ext uri="{FF2B5EF4-FFF2-40B4-BE49-F238E27FC236}">
              <a16:creationId xmlns:a16="http://schemas.microsoft.com/office/drawing/2014/main" xmlns="" id="{00000000-0008-0000-0600-00000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3207600"/>
          <a:ext cx="82550" cy="177800"/>
        </a:xfrm>
        <a:prstGeom prst="rect">
          <a:avLst/>
        </a:prstGeom>
        <a:noFill/>
        <a:ln w="9525">
          <a:miter lim="800000"/>
          <a:headEnd/>
          <a:tailEnd/>
        </a:ln>
      </xdr:spPr>
    </xdr:pic>
    <xdr:clientData/>
  </xdr:twoCellAnchor>
  <xdr:twoCellAnchor editAs="oneCell">
    <xdr:from>
      <xdr:col>3</xdr:col>
      <xdr:colOff>0</xdr:colOff>
      <xdr:row>1205</xdr:row>
      <xdr:rowOff>76200</xdr:rowOff>
    </xdr:from>
    <xdr:to>
      <xdr:col>3</xdr:col>
      <xdr:colOff>82550</xdr:colOff>
      <xdr:row>1206</xdr:row>
      <xdr:rowOff>76200</xdr:rowOff>
    </xdr:to>
    <xdr:pic>
      <xdr:nvPicPr>
        <xdr:cNvPr id="7178" name="Control 361">
          <a:extLst>
            <a:ext uri="{FF2B5EF4-FFF2-40B4-BE49-F238E27FC236}">
              <a16:creationId xmlns:a16="http://schemas.microsoft.com/office/drawing/2014/main" xmlns="" id="{00000000-0008-0000-0600-00000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4325200"/>
          <a:ext cx="82550" cy="177800"/>
        </a:xfrm>
        <a:prstGeom prst="rect">
          <a:avLst/>
        </a:prstGeom>
        <a:noFill/>
        <a:ln w="9525">
          <a:miter lim="800000"/>
          <a:headEnd/>
          <a:tailEnd/>
        </a:ln>
      </xdr:spPr>
    </xdr:pic>
    <xdr:clientData/>
  </xdr:twoCellAnchor>
  <xdr:twoCellAnchor editAs="oneCell">
    <xdr:from>
      <xdr:col>3</xdr:col>
      <xdr:colOff>0</xdr:colOff>
      <xdr:row>1212</xdr:row>
      <xdr:rowOff>63500</xdr:rowOff>
    </xdr:from>
    <xdr:to>
      <xdr:col>3</xdr:col>
      <xdr:colOff>82550</xdr:colOff>
      <xdr:row>1213</xdr:row>
      <xdr:rowOff>63500</xdr:rowOff>
    </xdr:to>
    <xdr:pic>
      <xdr:nvPicPr>
        <xdr:cNvPr id="7180" name="Control 363">
          <a:extLst>
            <a:ext uri="{FF2B5EF4-FFF2-40B4-BE49-F238E27FC236}">
              <a16:creationId xmlns:a16="http://schemas.microsoft.com/office/drawing/2014/main" xmlns="" id="{00000000-0008-0000-0600-00000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5557100"/>
          <a:ext cx="82550" cy="177800"/>
        </a:xfrm>
        <a:prstGeom prst="rect">
          <a:avLst/>
        </a:prstGeom>
        <a:noFill/>
        <a:ln w="9525">
          <a:miter lim="800000"/>
          <a:headEnd/>
          <a:tailEnd/>
        </a:ln>
      </xdr:spPr>
    </xdr:pic>
    <xdr:clientData/>
  </xdr:twoCellAnchor>
  <xdr:twoCellAnchor editAs="oneCell">
    <xdr:from>
      <xdr:col>3</xdr:col>
      <xdr:colOff>0</xdr:colOff>
      <xdr:row>1219</xdr:row>
      <xdr:rowOff>19050</xdr:rowOff>
    </xdr:from>
    <xdr:to>
      <xdr:col>3</xdr:col>
      <xdr:colOff>82550</xdr:colOff>
      <xdr:row>1220</xdr:row>
      <xdr:rowOff>19050</xdr:rowOff>
    </xdr:to>
    <xdr:pic>
      <xdr:nvPicPr>
        <xdr:cNvPr id="7182" name="Control 365">
          <a:extLst>
            <a:ext uri="{FF2B5EF4-FFF2-40B4-BE49-F238E27FC236}">
              <a16:creationId xmlns:a16="http://schemas.microsoft.com/office/drawing/2014/main" xmlns="" id="{00000000-0008-0000-0600-00000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6757250"/>
          <a:ext cx="82550" cy="177800"/>
        </a:xfrm>
        <a:prstGeom prst="rect">
          <a:avLst/>
        </a:prstGeom>
        <a:noFill/>
        <a:ln w="9525">
          <a:miter lim="800000"/>
          <a:headEnd/>
          <a:tailEnd/>
        </a:ln>
      </xdr:spPr>
    </xdr:pic>
    <xdr:clientData/>
  </xdr:twoCellAnchor>
  <xdr:twoCellAnchor editAs="oneCell">
    <xdr:from>
      <xdr:col>3</xdr:col>
      <xdr:colOff>0</xdr:colOff>
      <xdr:row>1225</xdr:row>
      <xdr:rowOff>57150</xdr:rowOff>
    </xdr:from>
    <xdr:to>
      <xdr:col>3</xdr:col>
      <xdr:colOff>82550</xdr:colOff>
      <xdr:row>1226</xdr:row>
      <xdr:rowOff>57150</xdr:rowOff>
    </xdr:to>
    <xdr:pic>
      <xdr:nvPicPr>
        <xdr:cNvPr id="7184" name="Control 367">
          <a:extLst>
            <a:ext uri="{FF2B5EF4-FFF2-40B4-BE49-F238E27FC236}">
              <a16:creationId xmlns:a16="http://schemas.microsoft.com/office/drawing/2014/main" xmlns="" id="{00000000-0008-0000-0600-00001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7862150"/>
          <a:ext cx="82550" cy="177800"/>
        </a:xfrm>
        <a:prstGeom prst="rect">
          <a:avLst/>
        </a:prstGeom>
        <a:noFill/>
        <a:ln w="9525">
          <a:miter lim="800000"/>
          <a:headEnd/>
          <a:tailEnd/>
        </a:ln>
      </xdr:spPr>
    </xdr:pic>
    <xdr:clientData/>
  </xdr:twoCellAnchor>
  <xdr:twoCellAnchor editAs="oneCell">
    <xdr:from>
      <xdr:col>3</xdr:col>
      <xdr:colOff>0</xdr:colOff>
      <xdr:row>1232</xdr:row>
      <xdr:rowOff>25400</xdr:rowOff>
    </xdr:from>
    <xdr:to>
      <xdr:col>3</xdr:col>
      <xdr:colOff>82550</xdr:colOff>
      <xdr:row>1233</xdr:row>
      <xdr:rowOff>25400</xdr:rowOff>
    </xdr:to>
    <xdr:pic>
      <xdr:nvPicPr>
        <xdr:cNvPr id="7186" name="Control 369">
          <a:extLst>
            <a:ext uri="{FF2B5EF4-FFF2-40B4-BE49-F238E27FC236}">
              <a16:creationId xmlns:a16="http://schemas.microsoft.com/office/drawing/2014/main" xmlns="" id="{00000000-0008-0000-0600-00001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19075000"/>
          <a:ext cx="82550" cy="177800"/>
        </a:xfrm>
        <a:prstGeom prst="rect">
          <a:avLst/>
        </a:prstGeom>
        <a:noFill/>
        <a:ln w="9525">
          <a:miter lim="800000"/>
          <a:headEnd/>
          <a:tailEnd/>
        </a:ln>
      </xdr:spPr>
    </xdr:pic>
    <xdr:clientData/>
  </xdr:twoCellAnchor>
  <xdr:twoCellAnchor editAs="oneCell">
    <xdr:from>
      <xdr:col>3</xdr:col>
      <xdr:colOff>0</xdr:colOff>
      <xdr:row>1239</xdr:row>
      <xdr:rowOff>0</xdr:rowOff>
    </xdr:from>
    <xdr:to>
      <xdr:col>3</xdr:col>
      <xdr:colOff>82550</xdr:colOff>
      <xdr:row>1240</xdr:row>
      <xdr:rowOff>0</xdr:rowOff>
    </xdr:to>
    <xdr:pic>
      <xdr:nvPicPr>
        <xdr:cNvPr id="7188" name="Control 371">
          <a:extLst>
            <a:ext uri="{FF2B5EF4-FFF2-40B4-BE49-F238E27FC236}">
              <a16:creationId xmlns:a16="http://schemas.microsoft.com/office/drawing/2014/main" xmlns="" id="{00000000-0008-0000-0600-00001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0294200"/>
          <a:ext cx="82550" cy="177800"/>
        </a:xfrm>
        <a:prstGeom prst="rect">
          <a:avLst/>
        </a:prstGeom>
        <a:noFill/>
        <a:ln w="9525">
          <a:miter lim="800000"/>
          <a:headEnd/>
          <a:tailEnd/>
        </a:ln>
      </xdr:spPr>
    </xdr:pic>
    <xdr:clientData/>
  </xdr:twoCellAnchor>
  <xdr:twoCellAnchor editAs="oneCell">
    <xdr:from>
      <xdr:col>3</xdr:col>
      <xdr:colOff>0</xdr:colOff>
      <xdr:row>1245</xdr:row>
      <xdr:rowOff>63500</xdr:rowOff>
    </xdr:from>
    <xdr:to>
      <xdr:col>3</xdr:col>
      <xdr:colOff>82550</xdr:colOff>
      <xdr:row>1246</xdr:row>
      <xdr:rowOff>63500</xdr:rowOff>
    </xdr:to>
    <xdr:pic>
      <xdr:nvPicPr>
        <xdr:cNvPr id="7190" name="Control 373">
          <a:extLst>
            <a:ext uri="{FF2B5EF4-FFF2-40B4-BE49-F238E27FC236}">
              <a16:creationId xmlns:a16="http://schemas.microsoft.com/office/drawing/2014/main" xmlns="" id="{00000000-0008-0000-0600-00001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1424500"/>
          <a:ext cx="82550" cy="177800"/>
        </a:xfrm>
        <a:prstGeom prst="rect">
          <a:avLst/>
        </a:prstGeom>
        <a:noFill/>
        <a:ln w="9525">
          <a:miter lim="800000"/>
          <a:headEnd/>
          <a:tailEnd/>
        </a:ln>
      </xdr:spPr>
    </xdr:pic>
    <xdr:clientData/>
  </xdr:twoCellAnchor>
  <xdr:twoCellAnchor editAs="oneCell">
    <xdr:from>
      <xdr:col>3</xdr:col>
      <xdr:colOff>0</xdr:colOff>
      <xdr:row>1252</xdr:row>
      <xdr:rowOff>57150</xdr:rowOff>
    </xdr:from>
    <xdr:to>
      <xdr:col>3</xdr:col>
      <xdr:colOff>82550</xdr:colOff>
      <xdr:row>1253</xdr:row>
      <xdr:rowOff>57150</xdr:rowOff>
    </xdr:to>
    <xdr:pic>
      <xdr:nvPicPr>
        <xdr:cNvPr id="7192" name="Control 375">
          <a:extLst>
            <a:ext uri="{FF2B5EF4-FFF2-40B4-BE49-F238E27FC236}">
              <a16:creationId xmlns:a16="http://schemas.microsoft.com/office/drawing/2014/main" xmlns="" id="{00000000-0008-0000-0600-00001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2662750"/>
          <a:ext cx="82550" cy="177800"/>
        </a:xfrm>
        <a:prstGeom prst="rect">
          <a:avLst/>
        </a:prstGeom>
        <a:noFill/>
        <a:ln w="9525">
          <a:miter lim="800000"/>
          <a:headEnd/>
          <a:tailEnd/>
        </a:ln>
      </xdr:spPr>
    </xdr:pic>
    <xdr:clientData/>
  </xdr:twoCellAnchor>
  <xdr:twoCellAnchor editAs="oneCell">
    <xdr:from>
      <xdr:col>3</xdr:col>
      <xdr:colOff>0</xdr:colOff>
      <xdr:row>1259</xdr:row>
      <xdr:rowOff>6350</xdr:rowOff>
    </xdr:from>
    <xdr:to>
      <xdr:col>3</xdr:col>
      <xdr:colOff>82550</xdr:colOff>
      <xdr:row>1260</xdr:row>
      <xdr:rowOff>6350</xdr:rowOff>
    </xdr:to>
    <xdr:pic>
      <xdr:nvPicPr>
        <xdr:cNvPr id="7194" name="Control 377">
          <a:extLst>
            <a:ext uri="{FF2B5EF4-FFF2-40B4-BE49-F238E27FC236}">
              <a16:creationId xmlns:a16="http://schemas.microsoft.com/office/drawing/2014/main" xmlns="" id="{00000000-0008-0000-0600-00001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3856550"/>
          <a:ext cx="82550" cy="177800"/>
        </a:xfrm>
        <a:prstGeom prst="rect">
          <a:avLst/>
        </a:prstGeom>
        <a:noFill/>
        <a:ln w="9525">
          <a:miter lim="800000"/>
          <a:headEnd/>
          <a:tailEnd/>
        </a:ln>
      </xdr:spPr>
    </xdr:pic>
    <xdr:clientData/>
  </xdr:twoCellAnchor>
  <xdr:twoCellAnchor editAs="oneCell">
    <xdr:from>
      <xdr:col>3</xdr:col>
      <xdr:colOff>0</xdr:colOff>
      <xdr:row>1265</xdr:row>
      <xdr:rowOff>69850</xdr:rowOff>
    </xdr:from>
    <xdr:to>
      <xdr:col>3</xdr:col>
      <xdr:colOff>82550</xdr:colOff>
      <xdr:row>1266</xdr:row>
      <xdr:rowOff>69850</xdr:rowOff>
    </xdr:to>
    <xdr:pic>
      <xdr:nvPicPr>
        <xdr:cNvPr id="7196" name="Control 379">
          <a:extLst>
            <a:ext uri="{FF2B5EF4-FFF2-40B4-BE49-F238E27FC236}">
              <a16:creationId xmlns:a16="http://schemas.microsoft.com/office/drawing/2014/main" xmlns="" id="{00000000-0008-0000-0600-00001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4986850"/>
          <a:ext cx="82550" cy="177800"/>
        </a:xfrm>
        <a:prstGeom prst="rect">
          <a:avLst/>
        </a:prstGeom>
        <a:noFill/>
        <a:ln w="9525">
          <a:miter lim="800000"/>
          <a:headEnd/>
          <a:tailEnd/>
        </a:ln>
      </xdr:spPr>
    </xdr:pic>
    <xdr:clientData/>
  </xdr:twoCellAnchor>
  <xdr:twoCellAnchor editAs="oneCell">
    <xdr:from>
      <xdr:col>3</xdr:col>
      <xdr:colOff>0</xdr:colOff>
      <xdr:row>1272</xdr:row>
      <xdr:rowOff>38100</xdr:rowOff>
    </xdr:from>
    <xdr:to>
      <xdr:col>3</xdr:col>
      <xdr:colOff>82550</xdr:colOff>
      <xdr:row>1273</xdr:row>
      <xdr:rowOff>38100</xdr:rowOff>
    </xdr:to>
    <xdr:pic>
      <xdr:nvPicPr>
        <xdr:cNvPr id="7198" name="Control 381">
          <a:extLst>
            <a:ext uri="{FF2B5EF4-FFF2-40B4-BE49-F238E27FC236}">
              <a16:creationId xmlns:a16="http://schemas.microsoft.com/office/drawing/2014/main" xmlns="" id="{00000000-0008-0000-0600-00001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6199700"/>
          <a:ext cx="82550" cy="177800"/>
        </a:xfrm>
        <a:prstGeom prst="rect">
          <a:avLst/>
        </a:prstGeom>
        <a:noFill/>
        <a:ln w="9525">
          <a:miter lim="800000"/>
          <a:headEnd/>
          <a:tailEnd/>
        </a:ln>
      </xdr:spPr>
    </xdr:pic>
    <xdr:clientData/>
  </xdr:twoCellAnchor>
  <xdr:twoCellAnchor editAs="oneCell">
    <xdr:from>
      <xdr:col>3</xdr:col>
      <xdr:colOff>0</xdr:colOff>
      <xdr:row>1279</xdr:row>
      <xdr:rowOff>12700</xdr:rowOff>
    </xdr:from>
    <xdr:to>
      <xdr:col>3</xdr:col>
      <xdr:colOff>82550</xdr:colOff>
      <xdr:row>1280</xdr:row>
      <xdr:rowOff>12700</xdr:rowOff>
    </xdr:to>
    <xdr:pic>
      <xdr:nvPicPr>
        <xdr:cNvPr id="352" name="Control 383">
          <a:extLst>
            <a:ext uri="{FF2B5EF4-FFF2-40B4-BE49-F238E27FC236}">
              <a16:creationId xmlns:a16="http://schemas.microsoft.com/office/drawing/2014/main" xmlns="" id="{00000000-0008-0000-0600-00006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7418900"/>
          <a:ext cx="82550" cy="177800"/>
        </a:xfrm>
        <a:prstGeom prst="rect">
          <a:avLst/>
        </a:prstGeom>
        <a:noFill/>
        <a:ln w="9525">
          <a:miter lim="800000"/>
          <a:headEnd/>
          <a:tailEnd/>
        </a:ln>
      </xdr:spPr>
    </xdr:pic>
    <xdr:clientData/>
  </xdr:twoCellAnchor>
  <xdr:twoCellAnchor editAs="oneCell">
    <xdr:from>
      <xdr:col>3</xdr:col>
      <xdr:colOff>0</xdr:colOff>
      <xdr:row>1285</xdr:row>
      <xdr:rowOff>76200</xdr:rowOff>
    </xdr:from>
    <xdr:to>
      <xdr:col>3</xdr:col>
      <xdr:colOff>82550</xdr:colOff>
      <xdr:row>1286</xdr:row>
      <xdr:rowOff>76200</xdr:rowOff>
    </xdr:to>
    <xdr:pic>
      <xdr:nvPicPr>
        <xdr:cNvPr id="354" name="Control 385">
          <a:extLst>
            <a:ext uri="{FF2B5EF4-FFF2-40B4-BE49-F238E27FC236}">
              <a16:creationId xmlns:a16="http://schemas.microsoft.com/office/drawing/2014/main" xmlns="" id="{00000000-0008-0000-0600-00006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8549200"/>
          <a:ext cx="82550" cy="177800"/>
        </a:xfrm>
        <a:prstGeom prst="rect">
          <a:avLst/>
        </a:prstGeom>
        <a:noFill/>
        <a:ln w="9525">
          <a:miter lim="800000"/>
          <a:headEnd/>
          <a:tailEnd/>
        </a:ln>
      </xdr:spPr>
    </xdr:pic>
    <xdr:clientData/>
  </xdr:twoCellAnchor>
  <xdr:twoCellAnchor editAs="oneCell">
    <xdr:from>
      <xdr:col>3</xdr:col>
      <xdr:colOff>0</xdr:colOff>
      <xdr:row>1292</xdr:row>
      <xdr:rowOff>38100</xdr:rowOff>
    </xdr:from>
    <xdr:to>
      <xdr:col>3</xdr:col>
      <xdr:colOff>82550</xdr:colOff>
      <xdr:row>1293</xdr:row>
      <xdr:rowOff>38100</xdr:rowOff>
    </xdr:to>
    <xdr:pic>
      <xdr:nvPicPr>
        <xdr:cNvPr id="356" name="Control 387">
          <a:extLst>
            <a:ext uri="{FF2B5EF4-FFF2-40B4-BE49-F238E27FC236}">
              <a16:creationId xmlns:a16="http://schemas.microsoft.com/office/drawing/2014/main" xmlns="" id="{00000000-0008-0000-0600-00006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29755700"/>
          <a:ext cx="82550" cy="177800"/>
        </a:xfrm>
        <a:prstGeom prst="rect">
          <a:avLst/>
        </a:prstGeom>
        <a:noFill/>
        <a:ln w="9525">
          <a:miter lim="800000"/>
          <a:headEnd/>
          <a:tailEnd/>
        </a:ln>
      </xdr:spPr>
    </xdr:pic>
    <xdr:clientData/>
  </xdr:twoCellAnchor>
  <xdr:twoCellAnchor editAs="oneCell">
    <xdr:from>
      <xdr:col>3</xdr:col>
      <xdr:colOff>0</xdr:colOff>
      <xdr:row>1298</xdr:row>
      <xdr:rowOff>82550</xdr:rowOff>
    </xdr:from>
    <xdr:to>
      <xdr:col>3</xdr:col>
      <xdr:colOff>82550</xdr:colOff>
      <xdr:row>1299</xdr:row>
      <xdr:rowOff>82550</xdr:rowOff>
    </xdr:to>
    <xdr:pic>
      <xdr:nvPicPr>
        <xdr:cNvPr id="358" name="Control 389">
          <a:extLst>
            <a:ext uri="{FF2B5EF4-FFF2-40B4-BE49-F238E27FC236}">
              <a16:creationId xmlns:a16="http://schemas.microsoft.com/office/drawing/2014/main" xmlns="" id="{00000000-0008-0000-0600-00006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0866950"/>
          <a:ext cx="82550" cy="177800"/>
        </a:xfrm>
        <a:prstGeom prst="rect">
          <a:avLst/>
        </a:prstGeom>
        <a:noFill/>
        <a:ln w="9525">
          <a:miter lim="800000"/>
          <a:headEnd/>
          <a:tailEnd/>
        </a:ln>
      </xdr:spPr>
    </xdr:pic>
    <xdr:clientData/>
  </xdr:twoCellAnchor>
  <xdr:twoCellAnchor editAs="oneCell">
    <xdr:from>
      <xdr:col>3</xdr:col>
      <xdr:colOff>0</xdr:colOff>
      <xdr:row>1305</xdr:row>
      <xdr:rowOff>57150</xdr:rowOff>
    </xdr:from>
    <xdr:to>
      <xdr:col>3</xdr:col>
      <xdr:colOff>82550</xdr:colOff>
      <xdr:row>1306</xdr:row>
      <xdr:rowOff>57150</xdr:rowOff>
    </xdr:to>
    <xdr:pic>
      <xdr:nvPicPr>
        <xdr:cNvPr id="360" name="Control 391">
          <a:extLst>
            <a:ext uri="{FF2B5EF4-FFF2-40B4-BE49-F238E27FC236}">
              <a16:creationId xmlns:a16="http://schemas.microsoft.com/office/drawing/2014/main" xmlns="" id="{00000000-0008-0000-0600-00006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2086150"/>
          <a:ext cx="82550" cy="177800"/>
        </a:xfrm>
        <a:prstGeom prst="rect">
          <a:avLst/>
        </a:prstGeom>
        <a:noFill/>
        <a:ln w="9525">
          <a:miter lim="800000"/>
          <a:headEnd/>
          <a:tailEnd/>
        </a:ln>
      </xdr:spPr>
    </xdr:pic>
    <xdr:clientData/>
  </xdr:twoCellAnchor>
  <xdr:twoCellAnchor editAs="oneCell">
    <xdr:from>
      <xdr:col>3</xdr:col>
      <xdr:colOff>0</xdr:colOff>
      <xdr:row>1312</xdr:row>
      <xdr:rowOff>19050</xdr:rowOff>
    </xdr:from>
    <xdr:to>
      <xdr:col>3</xdr:col>
      <xdr:colOff>82550</xdr:colOff>
      <xdr:row>1313</xdr:row>
      <xdr:rowOff>19050</xdr:rowOff>
    </xdr:to>
    <xdr:pic>
      <xdr:nvPicPr>
        <xdr:cNvPr id="362" name="Control 393">
          <a:extLst>
            <a:ext uri="{FF2B5EF4-FFF2-40B4-BE49-F238E27FC236}">
              <a16:creationId xmlns:a16="http://schemas.microsoft.com/office/drawing/2014/main" xmlns="" id="{00000000-0008-0000-0600-00006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3292650"/>
          <a:ext cx="82550" cy="177800"/>
        </a:xfrm>
        <a:prstGeom prst="rect">
          <a:avLst/>
        </a:prstGeom>
        <a:noFill/>
        <a:ln w="9525">
          <a:miter lim="800000"/>
          <a:headEnd/>
          <a:tailEnd/>
        </a:ln>
      </xdr:spPr>
    </xdr:pic>
    <xdr:clientData/>
  </xdr:twoCellAnchor>
  <xdr:twoCellAnchor editAs="oneCell">
    <xdr:from>
      <xdr:col>3</xdr:col>
      <xdr:colOff>0</xdr:colOff>
      <xdr:row>1318</xdr:row>
      <xdr:rowOff>69850</xdr:rowOff>
    </xdr:from>
    <xdr:to>
      <xdr:col>3</xdr:col>
      <xdr:colOff>82550</xdr:colOff>
      <xdr:row>1319</xdr:row>
      <xdr:rowOff>69850</xdr:rowOff>
    </xdr:to>
    <xdr:pic>
      <xdr:nvPicPr>
        <xdr:cNvPr id="364" name="Control 395">
          <a:extLst>
            <a:ext uri="{FF2B5EF4-FFF2-40B4-BE49-F238E27FC236}">
              <a16:creationId xmlns:a16="http://schemas.microsoft.com/office/drawing/2014/main" xmlns="" id="{00000000-0008-0000-0600-00006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4410250"/>
          <a:ext cx="82550" cy="177800"/>
        </a:xfrm>
        <a:prstGeom prst="rect">
          <a:avLst/>
        </a:prstGeom>
        <a:noFill/>
        <a:ln w="9525">
          <a:miter lim="800000"/>
          <a:headEnd/>
          <a:tailEnd/>
        </a:ln>
      </xdr:spPr>
    </xdr:pic>
    <xdr:clientData/>
  </xdr:twoCellAnchor>
  <xdr:twoCellAnchor editAs="oneCell">
    <xdr:from>
      <xdr:col>3</xdr:col>
      <xdr:colOff>0</xdr:colOff>
      <xdr:row>1325</xdr:row>
      <xdr:rowOff>63500</xdr:rowOff>
    </xdr:from>
    <xdr:to>
      <xdr:col>3</xdr:col>
      <xdr:colOff>82550</xdr:colOff>
      <xdr:row>1326</xdr:row>
      <xdr:rowOff>63500</xdr:rowOff>
    </xdr:to>
    <xdr:pic>
      <xdr:nvPicPr>
        <xdr:cNvPr id="366" name="Control 397">
          <a:extLst>
            <a:ext uri="{FF2B5EF4-FFF2-40B4-BE49-F238E27FC236}">
              <a16:creationId xmlns:a16="http://schemas.microsoft.com/office/drawing/2014/main" xmlns="" id="{00000000-0008-0000-0600-00006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5648500"/>
          <a:ext cx="82550" cy="177800"/>
        </a:xfrm>
        <a:prstGeom prst="rect">
          <a:avLst/>
        </a:prstGeom>
        <a:noFill/>
        <a:ln w="9525">
          <a:miter lim="800000"/>
          <a:headEnd/>
          <a:tailEnd/>
        </a:ln>
      </xdr:spPr>
    </xdr:pic>
    <xdr:clientData/>
  </xdr:twoCellAnchor>
  <xdr:twoCellAnchor editAs="oneCell">
    <xdr:from>
      <xdr:col>3</xdr:col>
      <xdr:colOff>0</xdr:colOff>
      <xdr:row>1332</xdr:row>
      <xdr:rowOff>19050</xdr:rowOff>
    </xdr:from>
    <xdr:to>
      <xdr:col>3</xdr:col>
      <xdr:colOff>82550</xdr:colOff>
      <xdr:row>1333</xdr:row>
      <xdr:rowOff>19050</xdr:rowOff>
    </xdr:to>
    <xdr:pic>
      <xdr:nvPicPr>
        <xdr:cNvPr id="368" name="Control 399">
          <a:extLst>
            <a:ext uri="{FF2B5EF4-FFF2-40B4-BE49-F238E27FC236}">
              <a16:creationId xmlns:a16="http://schemas.microsoft.com/office/drawing/2014/main" xmlns="" id="{00000000-0008-0000-0600-00007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6848650"/>
          <a:ext cx="82550" cy="177800"/>
        </a:xfrm>
        <a:prstGeom prst="rect">
          <a:avLst/>
        </a:prstGeom>
        <a:noFill/>
        <a:ln w="9525">
          <a:miter lim="800000"/>
          <a:headEnd/>
          <a:tailEnd/>
        </a:ln>
      </xdr:spPr>
    </xdr:pic>
    <xdr:clientData/>
  </xdr:twoCellAnchor>
  <xdr:twoCellAnchor editAs="oneCell">
    <xdr:from>
      <xdr:col>3</xdr:col>
      <xdr:colOff>0</xdr:colOff>
      <xdr:row>1338</xdr:row>
      <xdr:rowOff>82550</xdr:rowOff>
    </xdr:from>
    <xdr:to>
      <xdr:col>3</xdr:col>
      <xdr:colOff>82550</xdr:colOff>
      <xdr:row>1339</xdr:row>
      <xdr:rowOff>82550</xdr:rowOff>
    </xdr:to>
    <xdr:pic>
      <xdr:nvPicPr>
        <xdr:cNvPr id="370" name="Control 401">
          <a:extLst>
            <a:ext uri="{FF2B5EF4-FFF2-40B4-BE49-F238E27FC236}">
              <a16:creationId xmlns:a16="http://schemas.microsoft.com/office/drawing/2014/main" xmlns="" id="{00000000-0008-0000-0600-00007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7978950"/>
          <a:ext cx="82550" cy="177800"/>
        </a:xfrm>
        <a:prstGeom prst="rect">
          <a:avLst/>
        </a:prstGeom>
        <a:noFill/>
        <a:ln w="9525">
          <a:miter lim="800000"/>
          <a:headEnd/>
          <a:tailEnd/>
        </a:ln>
      </xdr:spPr>
    </xdr:pic>
    <xdr:clientData/>
  </xdr:twoCellAnchor>
  <xdr:twoCellAnchor editAs="oneCell">
    <xdr:from>
      <xdr:col>3</xdr:col>
      <xdr:colOff>0</xdr:colOff>
      <xdr:row>1345</xdr:row>
      <xdr:rowOff>44450</xdr:rowOff>
    </xdr:from>
    <xdr:to>
      <xdr:col>3</xdr:col>
      <xdr:colOff>82550</xdr:colOff>
      <xdr:row>1346</xdr:row>
      <xdr:rowOff>44450</xdr:rowOff>
    </xdr:to>
    <xdr:pic>
      <xdr:nvPicPr>
        <xdr:cNvPr id="372" name="Control 403">
          <a:extLst>
            <a:ext uri="{FF2B5EF4-FFF2-40B4-BE49-F238E27FC236}">
              <a16:creationId xmlns:a16="http://schemas.microsoft.com/office/drawing/2014/main" xmlns="" id="{00000000-0008-0000-0600-00007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39185450"/>
          <a:ext cx="82550" cy="177800"/>
        </a:xfrm>
        <a:prstGeom prst="rect">
          <a:avLst/>
        </a:prstGeom>
        <a:noFill/>
        <a:ln w="9525">
          <a:miter lim="800000"/>
          <a:headEnd/>
          <a:tailEnd/>
        </a:ln>
      </xdr:spPr>
    </xdr:pic>
    <xdr:clientData/>
  </xdr:twoCellAnchor>
  <xdr:twoCellAnchor editAs="oneCell">
    <xdr:from>
      <xdr:col>3</xdr:col>
      <xdr:colOff>0</xdr:colOff>
      <xdr:row>1351</xdr:row>
      <xdr:rowOff>88900</xdr:rowOff>
    </xdr:from>
    <xdr:to>
      <xdr:col>3</xdr:col>
      <xdr:colOff>82550</xdr:colOff>
      <xdr:row>1352</xdr:row>
      <xdr:rowOff>88900</xdr:rowOff>
    </xdr:to>
    <xdr:pic>
      <xdr:nvPicPr>
        <xdr:cNvPr id="374" name="Control 405">
          <a:extLst>
            <a:ext uri="{FF2B5EF4-FFF2-40B4-BE49-F238E27FC236}">
              <a16:creationId xmlns:a16="http://schemas.microsoft.com/office/drawing/2014/main" xmlns="" id="{00000000-0008-0000-0600-00007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0296700"/>
          <a:ext cx="82550" cy="177800"/>
        </a:xfrm>
        <a:prstGeom prst="rect">
          <a:avLst/>
        </a:prstGeom>
        <a:noFill/>
        <a:ln w="9525">
          <a:miter lim="800000"/>
          <a:headEnd/>
          <a:tailEnd/>
        </a:ln>
      </xdr:spPr>
    </xdr:pic>
    <xdr:clientData/>
  </xdr:twoCellAnchor>
  <xdr:twoCellAnchor editAs="oneCell">
    <xdr:from>
      <xdr:col>3</xdr:col>
      <xdr:colOff>0</xdr:colOff>
      <xdr:row>1358</xdr:row>
      <xdr:rowOff>69850</xdr:rowOff>
    </xdr:from>
    <xdr:to>
      <xdr:col>3</xdr:col>
      <xdr:colOff>82550</xdr:colOff>
      <xdr:row>1359</xdr:row>
      <xdr:rowOff>69850</xdr:rowOff>
    </xdr:to>
    <xdr:pic>
      <xdr:nvPicPr>
        <xdr:cNvPr id="376" name="Control 407">
          <a:extLst>
            <a:ext uri="{FF2B5EF4-FFF2-40B4-BE49-F238E27FC236}">
              <a16:creationId xmlns:a16="http://schemas.microsoft.com/office/drawing/2014/main" xmlns="" id="{00000000-0008-0000-0600-00007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1522250"/>
          <a:ext cx="82550" cy="177800"/>
        </a:xfrm>
        <a:prstGeom prst="rect">
          <a:avLst/>
        </a:prstGeom>
        <a:noFill/>
        <a:ln w="9525">
          <a:miter lim="800000"/>
          <a:headEnd/>
          <a:tailEnd/>
        </a:ln>
      </xdr:spPr>
    </xdr:pic>
    <xdr:clientData/>
  </xdr:twoCellAnchor>
  <xdr:twoCellAnchor editAs="oneCell">
    <xdr:from>
      <xdr:col>3</xdr:col>
      <xdr:colOff>0</xdr:colOff>
      <xdr:row>1365</xdr:row>
      <xdr:rowOff>38100</xdr:rowOff>
    </xdr:from>
    <xdr:to>
      <xdr:col>3</xdr:col>
      <xdr:colOff>82550</xdr:colOff>
      <xdr:row>1366</xdr:row>
      <xdr:rowOff>38100</xdr:rowOff>
    </xdr:to>
    <xdr:pic>
      <xdr:nvPicPr>
        <xdr:cNvPr id="378" name="Control 409">
          <a:extLst>
            <a:ext uri="{FF2B5EF4-FFF2-40B4-BE49-F238E27FC236}">
              <a16:creationId xmlns:a16="http://schemas.microsoft.com/office/drawing/2014/main" xmlns="" id="{00000000-0008-0000-0600-00007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2735100"/>
          <a:ext cx="82550" cy="177800"/>
        </a:xfrm>
        <a:prstGeom prst="rect">
          <a:avLst/>
        </a:prstGeom>
        <a:noFill/>
        <a:ln w="9525">
          <a:miter lim="800000"/>
          <a:headEnd/>
          <a:tailEnd/>
        </a:ln>
      </xdr:spPr>
    </xdr:pic>
    <xdr:clientData/>
  </xdr:twoCellAnchor>
  <xdr:twoCellAnchor editAs="oneCell">
    <xdr:from>
      <xdr:col>3</xdr:col>
      <xdr:colOff>0</xdr:colOff>
      <xdr:row>1372</xdr:row>
      <xdr:rowOff>12700</xdr:rowOff>
    </xdr:from>
    <xdr:to>
      <xdr:col>3</xdr:col>
      <xdr:colOff>82550</xdr:colOff>
      <xdr:row>1373</xdr:row>
      <xdr:rowOff>12700</xdr:rowOff>
    </xdr:to>
    <xdr:pic>
      <xdr:nvPicPr>
        <xdr:cNvPr id="380" name="Control 411">
          <a:extLst>
            <a:ext uri="{FF2B5EF4-FFF2-40B4-BE49-F238E27FC236}">
              <a16:creationId xmlns:a16="http://schemas.microsoft.com/office/drawing/2014/main" xmlns="" id="{00000000-0008-0000-0600-00007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3954300"/>
          <a:ext cx="82550" cy="177800"/>
        </a:xfrm>
        <a:prstGeom prst="rect">
          <a:avLst/>
        </a:prstGeom>
        <a:noFill/>
        <a:ln w="9525">
          <a:miter lim="800000"/>
          <a:headEnd/>
          <a:tailEnd/>
        </a:ln>
      </xdr:spPr>
    </xdr:pic>
    <xdr:clientData/>
  </xdr:twoCellAnchor>
  <xdr:twoCellAnchor editAs="oneCell">
    <xdr:from>
      <xdr:col>3</xdr:col>
      <xdr:colOff>0</xdr:colOff>
      <xdr:row>1378</xdr:row>
      <xdr:rowOff>57150</xdr:rowOff>
    </xdr:from>
    <xdr:to>
      <xdr:col>3</xdr:col>
      <xdr:colOff>82550</xdr:colOff>
      <xdr:row>1379</xdr:row>
      <xdr:rowOff>57150</xdr:rowOff>
    </xdr:to>
    <xdr:pic>
      <xdr:nvPicPr>
        <xdr:cNvPr id="382" name="Control 413">
          <a:extLst>
            <a:ext uri="{FF2B5EF4-FFF2-40B4-BE49-F238E27FC236}">
              <a16:creationId xmlns:a16="http://schemas.microsoft.com/office/drawing/2014/main" xmlns="" id="{00000000-0008-0000-0600-00007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5065550"/>
          <a:ext cx="82550" cy="177800"/>
        </a:xfrm>
        <a:prstGeom prst="rect">
          <a:avLst/>
        </a:prstGeom>
        <a:noFill/>
        <a:ln w="9525">
          <a:miter lim="800000"/>
          <a:headEnd/>
          <a:tailEnd/>
        </a:ln>
      </xdr:spPr>
    </xdr:pic>
    <xdr:clientData/>
  </xdr:twoCellAnchor>
  <xdr:twoCellAnchor editAs="oneCell">
    <xdr:from>
      <xdr:col>3</xdr:col>
      <xdr:colOff>0</xdr:colOff>
      <xdr:row>1385</xdr:row>
      <xdr:rowOff>50800</xdr:rowOff>
    </xdr:from>
    <xdr:to>
      <xdr:col>3</xdr:col>
      <xdr:colOff>82550</xdr:colOff>
      <xdr:row>1386</xdr:row>
      <xdr:rowOff>50800</xdr:rowOff>
    </xdr:to>
    <xdr:pic>
      <xdr:nvPicPr>
        <xdr:cNvPr id="7200" name="Control 415">
          <a:extLst>
            <a:ext uri="{FF2B5EF4-FFF2-40B4-BE49-F238E27FC236}">
              <a16:creationId xmlns:a16="http://schemas.microsoft.com/office/drawing/2014/main" xmlns="" id="{00000000-0008-0000-0600-00002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6303800"/>
          <a:ext cx="82550" cy="177800"/>
        </a:xfrm>
        <a:prstGeom prst="rect">
          <a:avLst/>
        </a:prstGeom>
        <a:noFill/>
        <a:ln w="9525">
          <a:miter lim="800000"/>
          <a:headEnd/>
          <a:tailEnd/>
        </a:ln>
      </xdr:spPr>
    </xdr:pic>
    <xdr:clientData/>
  </xdr:twoCellAnchor>
  <xdr:twoCellAnchor editAs="oneCell">
    <xdr:from>
      <xdr:col>3</xdr:col>
      <xdr:colOff>0</xdr:colOff>
      <xdr:row>1392</xdr:row>
      <xdr:rowOff>44450</xdr:rowOff>
    </xdr:from>
    <xdr:to>
      <xdr:col>3</xdr:col>
      <xdr:colOff>82550</xdr:colOff>
      <xdr:row>1393</xdr:row>
      <xdr:rowOff>44450</xdr:rowOff>
    </xdr:to>
    <xdr:pic>
      <xdr:nvPicPr>
        <xdr:cNvPr id="7202" name="Control 417">
          <a:extLst>
            <a:ext uri="{FF2B5EF4-FFF2-40B4-BE49-F238E27FC236}">
              <a16:creationId xmlns:a16="http://schemas.microsoft.com/office/drawing/2014/main" xmlns="" id="{00000000-0008-0000-0600-00002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7542050"/>
          <a:ext cx="82550" cy="177800"/>
        </a:xfrm>
        <a:prstGeom prst="rect">
          <a:avLst/>
        </a:prstGeom>
        <a:noFill/>
        <a:ln w="9525">
          <a:miter lim="800000"/>
          <a:headEnd/>
          <a:tailEnd/>
        </a:ln>
      </xdr:spPr>
    </xdr:pic>
    <xdr:clientData/>
  </xdr:twoCellAnchor>
  <xdr:twoCellAnchor editAs="oneCell">
    <xdr:from>
      <xdr:col>3</xdr:col>
      <xdr:colOff>0</xdr:colOff>
      <xdr:row>1398</xdr:row>
      <xdr:rowOff>76200</xdr:rowOff>
    </xdr:from>
    <xdr:to>
      <xdr:col>3</xdr:col>
      <xdr:colOff>82550</xdr:colOff>
      <xdr:row>1399</xdr:row>
      <xdr:rowOff>76200</xdr:rowOff>
    </xdr:to>
    <xdr:pic>
      <xdr:nvPicPr>
        <xdr:cNvPr id="7204" name="Control 419">
          <a:extLst>
            <a:ext uri="{FF2B5EF4-FFF2-40B4-BE49-F238E27FC236}">
              <a16:creationId xmlns:a16="http://schemas.microsoft.com/office/drawing/2014/main" xmlns="" id="{00000000-0008-0000-0600-00002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8640600"/>
          <a:ext cx="82550" cy="177800"/>
        </a:xfrm>
        <a:prstGeom prst="rect">
          <a:avLst/>
        </a:prstGeom>
        <a:noFill/>
        <a:ln w="9525">
          <a:miter lim="800000"/>
          <a:headEnd/>
          <a:tailEnd/>
        </a:ln>
      </xdr:spPr>
    </xdr:pic>
    <xdr:clientData/>
  </xdr:twoCellAnchor>
  <xdr:twoCellAnchor editAs="oneCell">
    <xdr:from>
      <xdr:col>3</xdr:col>
      <xdr:colOff>0</xdr:colOff>
      <xdr:row>1405</xdr:row>
      <xdr:rowOff>57150</xdr:rowOff>
    </xdr:from>
    <xdr:to>
      <xdr:col>3</xdr:col>
      <xdr:colOff>82550</xdr:colOff>
      <xdr:row>1406</xdr:row>
      <xdr:rowOff>57150</xdr:rowOff>
    </xdr:to>
    <xdr:pic>
      <xdr:nvPicPr>
        <xdr:cNvPr id="7206" name="Control 421">
          <a:extLst>
            <a:ext uri="{FF2B5EF4-FFF2-40B4-BE49-F238E27FC236}">
              <a16:creationId xmlns:a16="http://schemas.microsoft.com/office/drawing/2014/main" xmlns="" id="{00000000-0008-0000-0600-00002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49866150"/>
          <a:ext cx="82550" cy="177800"/>
        </a:xfrm>
        <a:prstGeom prst="rect">
          <a:avLst/>
        </a:prstGeom>
        <a:noFill/>
        <a:ln w="9525">
          <a:miter lim="800000"/>
          <a:headEnd/>
          <a:tailEnd/>
        </a:ln>
      </xdr:spPr>
    </xdr:pic>
    <xdr:clientData/>
  </xdr:twoCellAnchor>
  <xdr:twoCellAnchor editAs="oneCell">
    <xdr:from>
      <xdr:col>3</xdr:col>
      <xdr:colOff>0</xdr:colOff>
      <xdr:row>1411</xdr:row>
      <xdr:rowOff>88900</xdr:rowOff>
    </xdr:from>
    <xdr:to>
      <xdr:col>3</xdr:col>
      <xdr:colOff>82550</xdr:colOff>
      <xdr:row>1412</xdr:row>
      <xdr:rowOff>88900</xdr:rowOff>
    </xdr:to>
    <xdr:pic>
      <xdr:nvPicPr>
        <xdr:cNvPr id="7208" name="Control 423">
          <a:extLst>
            <a:ext uri="{FF2B5EF4-FFF2-40B4-BE49-F238E27FC236}">
              <a16:creationId xmlns:a16="http://schemas.microsoft.com/office/drawing/2014/main" xmlns="" id="{00000000-0008-0000-0600-00002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0964700"/>
          <a:ext cx="82550" cy="177800"/>
        </a:xfrm>
        <a:prstGeom prst="rect">
          <a:avLst/>
        </a:prstGeom>
        <a:noFill/>
        <a:ln w="9525">
          <a:miter lim="800000"/>
          <a:headEnd/>
          <a:tailEnd/>
        </a:ln>
      </xdr:spPr>
    </xdr:pic>
    <xdr:clientData/>
  </xdr:twoCellAnchor>
  <xdr:twoCellAnchor editAs="oneCell">
    <xdr:from>
      <xdr:col>3</xdr:col>
      <xdr:colOff>0</xdr:colOff>
      <xdr:row>1418</xdr:row>
      <xdr:rowOff>69850</xdr:rowOff>
    </xdr:from>
    <xdr:to>
      <xdr:col>3</xdr:col>
      <xdr:colOff>82550</xdr:colOff>
      <xdr:row>1419</xdr:row>
      <xdr:rowOff>69850</xdr:rowOff>
    </xdr:to>
    <xdr:pic>
      <xdr:nvPicPr>
        <xdr:cNvPr id="7210" name="Control 425">
          <a:extLst>
            <a:ext uri="{FF2B5EF4-FFF2-40B4-BE49-F238E27FC236}">
              <a16:creationId xmlns:a16="http://schemas.microsoft.com/office/drawing/2014/main" xmlns="" id="{00000000-0008-0000-0600-00002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2190250"/>
          <a:ext cx="82550" cy="177800"/>
        </a:xfrm>
        <a:prstGeom prst="rect">
          <a:avLst/>
        </a:prstGeom>
        <a:noFill/>
        <a:ln w="9525">
          <a:miter lim="800000"/>
          <a:headEnd/>
          <a:tailEnd/>
        </a:ln>
      </xdr:spPr>
    </xdr:pic>
    <xdr:clientData/>
  </xdr:twoCellAnchor>
  <xdr:twoCellAnchor editAs="oneCell">
    <xdr:from>
      <xdr:col>3</xdr:col>
      <xdr:colOff>0</xdr:colOff>
      <xdr:row>1425</xdr:row>
      <xdr:rowOff>38100</xdr:rowOff>
    </xdr:from>
    <xdr:to>
      <xdr:col>3</xdr:col>
      <xdr:colOff>82550</xdr:colOff>
      <xdr:row>1426</xdr:row>
      <xdr:rowOff>38100</xdr:rowOff>
    </xdr:to>
    <xdr:pic>
      <xdr:nvPicPr>
        <xdr:cNvPr id="7212" name="Control 427">
          <a:extLst>
            <a:ext uri="{FF2B5EF4-FFF2-40B4-BE49-F238E27FC236}">
              <a16:creationId xmlns:a16="http://schemas.microsoft.com/office/drawing/2014/main" xmlns="" id="{00000000-0008-0000-0600-00002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3403100"/>
          <a:ext cx="82550" cy="177800"/>
        </a:xfrm>
        <a:prstGeom prst="rect">
          <a:avLst/>
        </a:prstGeom>
        <a:noFill/>
        <a:ln w="9525">
          <a:miter lim="800000"/>
          <a:headEnd/>
          <a:tailEnd/>
        </a:ln>
      </xdr:spPr>
    </xdr:pic>
    <xdr:clientData/>
  </xdr:twoCellAnchor>
  <xdr:twoCellAnchor editAs="oneCell">
    <xdr:from>
      <xdr:col>3</xdr:col>
      <xdr:colOff>0</xdr:colOff>
      <xdr:row>1432</xdr:row>
      <xdr:rowOff>25400</xdr:rowOff>
    </xdr:from>
    <xdr:to>
      <xdr:col>3</xdr:col>
      <xdr:colOff>82550</xdr:colOff>
      <xdr:row>1433</xdr:row>
      <xdr:rowOff>25400</xdr:rowOff>
    </xdr:to>
    <xdr:pic>
      <xdr:nvPicPr>
        <xdr:cNvPr id="7214" name="Control 429">
          <a:extLst>
            <a:ext uri="{FF2B5EF4-FFF2-40B4-BE49-F238E27FC236}">
              <a16:creationId xmlns:a16="http://schemas.microsoft.com/office/drawing/2014/main" xmlns="" id="{00000000-0008-0000-0600-00002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4635000"/>
          <a:ext cx="82550" cy="177800"/>
        </a:xfrm>
        <a:prstGeom prst="rect">
          <a:avLst/>
        </a:prstGeom>
        <a:noFill/>
        <a:ln w="9525">
          <a:miter lim="800000"/>
          <a:headEnd/>
          <a:tailEnd/>
        </a:ln>
      </xdr:spPr>
    </xdr:pic>
    <xdr:clientData/>
  </xdr:twoCellAnchor>
  <xdr:twoCellAnchor editAs="oneCell">
    <xdr:from>
      <xdr:col>3</xdr:col>
      <xdr:colOff>0</xdr:colOff>
      <xdr:row>1438</xdr:row>
      <xdr:rowOff>76200</xdr:rowOff>
    </xdr:from>
    <xdr:to>
      <xdr:col>3</xdr:col>
      <xdr:colOff>82550</xdr:colOff>
      <xdr:row>1439</xdr:row>
      <xdr:rowOff>76200</xdr:rowOff>
    </xdr:to>
    <xdr:pic>
      <xdr:nvPicPr>
        <xdr:cNvPr id="7216" name="Control 431">
          <a:extLst>
            <a:ext uri="{FF2B5EF4-FFF2-40B4-BE49-F238E27FC236}">
              <a16:creationId xmlns:a16="http://schemas.microsoft.com/office/drawing/2014/main" xmlns="" id="{00000000-0008-0000-0600-00003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5752600"/>
          <a:ext cx="82550" cy="177800"/>
        </a:xfrm>
        <a:prstGeom prst="rect">
          <a:avLst/>
        </a:prstGeom>
        <a:noFill/>
        <a:ln w="9525">
          <a:miter lim="800000"/>
          <a:headEnd/>
          <a:tailEnd/>
        </a:ln>
      </xdr:spPr>
    </xdr:pic>
    <xdr:clientData/>
  </xdr:twoCellAnchor>
  <xdr:twoCellAnchor editAs="oneCell">
    <xdr:from>
      <xdr:col>3</xdr:col>
      <xdr:colOff>0</xdr:colOff>
      <xdr:row>1445</xdr:row>
      <xdr:rowOff>19050</xdr:rowOff>
    </xdr:from>
    <xdr:to>
      <xdr:col>3</xdr:col>
      <xdr:colOff>82550</xdr:colOff>
      <xdr:row>1446</xdr:row>
      <xdr:rowOff>19050</xdr:rowOff>
    </xdr:to>
    <xdr:pic>
      <xdr:nvPicPr>
        <xdr:cNvPr id="7218" name="Control 433">
          <a:extLst>
            <a:ext uri="{FF2B5EF4-FFF2-40B4-BE49-F238E27FC236}">
              <a16:creationId xmlns:a16="http://schemas.microsoft.com/office/drawing/2014/main" xmlns="" id="{00000000-0008-0000-0600-00003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6940050"/>
          <a:ext cx="82550" cy="177800"/>
        </a:xfrm>
        <a:prstGeom prst="rect">
          <a:avLst/>
        </a:prstGeom>
        <a:noFill/>
        <a:ln w="9525">
          <a:miter lim="800000"/>
          <a:headEnd/>
          <a:tailEnd/>
        </a:ln>
      </xdr:spPr>
    </xdr:pic>
    <xdr:clientData/>
  </xdr:twoCellAnchor>
  <xdr:twoCellAnchor editAs="oneCell">
    <xdr:from>
      <xdr:col>3</xdr:col>
      <xdr:colOff>0</xdr:colOff>
      <xdr:row>1452</xdr:row>
      <xdr:rowOff>12700</xdr:rowOff>
    </xdr:from>
    <xdr:to>
      <xdr:col>3</xdr:col>
      <xdr:colOff>82550</xdr:colOff>
      <xdr:row>1453</xdr:row>
      <xdr:rowOff>12700</xdr:rowOff>
    </xdr:to>
    <xdr:pic>
      <xdr:nvPicPr>
        <xdr:cNvPr id="7220" name="Control 435">
          <a:extLst>
            <a:ext uri="{FF2B5EF4-FFF2-40B4-BE49-F238E27FC236}">
              <a16:creationId xmlns:a16="http://schemas.microsoft.com/office/drawing/2014/main" xmlns="" id="{00000000-0008-0000-0600-00003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8178300"/>
          <a:ext cx="82550" cy="177800"/>
        </a:xfrm>
        <a:prstGeom prst="rect">
          <a:avLst/>
        </a:prstGeom>
        <a:noFill/>
        <a:ln w="9525">
          <a:miter lim="800000"/>
          <a:headEnd/>
          <a:tailEnd/>
        </a:ln>
      </xdr:spPr>
    </xdr:pic>
    <xdr:clientData/>
  </xdr:twoCellAnchor>
  <xdr:twoCellAnchor editAs="oneCell">
    <xdr:from>
      <xdr:col>3</xdr:col>
      <xdr:colOff>0</xdr:colOff>
      <xdr:row>1458</xdr:row>
      <xdr:rowOff>38100</xdr:rowOff>
    </xdr:from>
    <xdr:to>
      <xdr:col>3</xdr:col>
      <xdr:colOff>82550</xdr:colOff>
      <xdr:row>1459</xdr:row>
      <xdr:rowOff>38100</xdr:rowOff>
    </xdr:to>
    <xdr:pic>
      <xdr:nvPicPr>
        <xdr:cNvPr id="7222" name="Control 437">
          <a:extLst>
            <a:ext uri="{FF2B5EF4-FFF2-40B4-BE49-F238E27FC236}">
              <a16:creationId xmlns:a16="http://schemas.microsoft.com/office/drawing/2014/main" xmlns="" id="{00000000-0008-0000-0600-00003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59270500"/>
          <a:ext cx="82550" cy="177800"/>
        </a:xfrm>
        <a:prstGeom prst="rect">
          <a:avLst/>
        </a:prstGeom>
        <a:noFill/>
        <a:ln w="9525">
          <a:miter lim="800000"/>
          <a:headEnd/>
          <a:tailEnd/>
        </a:ln>
      </xdr:spPr>
    </xdr:pic>
    <xdr:clientData/>
  </xdr:twoCellAnchor>
  <xdr:twoCellAnchor editAs="oneCell">
    <xdr:from>
      <xdr:col>3</xdr:col>
      <xdr:colOff>0</xdr:colOff>
      <xdr:row>1465</xdr:row>
      <xdr:rowOff>19050</xdr:rowOff>
    </xdr:from>
    <xdr:to>
      <xdr:col>3</xdr:col>
      <xdr:colOff>82550</xdr:colOff>
      <xdr:row>1466</xdr:row>
      <xdr:rowOff>19050</xdr:rowOff>
    </xdr:to>
    <xdr:pic>
      <xdr:nvPicPr>
        <xdr:cNvPr id="7224" name="Control 439">
          <a:extLst>
            <a:ext uri="{FF2B5EF4-FFF2-40B4-BE49-F238E27FC236}">
              <a16:creationId xmlns:a16="http://schemas.microsoft.com/office/drawing/2014/main" xmlns="" id="{00000000-0008-0000-0600-00003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0496050"/>
          <a:ext cx="82550" cy="177800"/>
        </a:xfrm>
        <a:prstGeom prst="rect">
          <a:avLst/>
        </a:prstGeom>
        <a:noFill/>
        <a:ln w="9525">
          <a:miter lim="800000"/>
          <a:headEnd/>
          <a:tailEnd/>
        </a:ln>
      </xdr:spPr>
    </xdr:pic>
    <xdr:clientData/>
  </xdr:twoCellAnchor>
  <xdr:twoCellAnchor editAs="oneCell">
    <xdr:from>
      <xdr:col>3</xdr:col>
      <xdr:colOff>0</xdr:colOff>
      <xdr:row>1471</xdr:row>
      <xdr:rowOff>76200</xdr:rowOff>
    </xdr:from>
    <xdr:to>
      <xdr:col>3</xdr:col>
      <xdr:colOff>82550</xdr:colOff>
      <xdr:row>1472</xdr:row>
      <xdr:rowOff>76200</xdr:rowOff>
    </xdr:to>
    <xdr:pic>
      <xdr:nvPicPr>
        <xdr:cNvPr id="7226" name="Control 441">
          <a:extLst>
            <a:ext uri="{FF2B5EF4-FFF2-40B4-BE49-F238E27FC236}">
              <a16:creationId xmlns:a16="http://schemas.microsoft.com/office/drawing/2014/main" xmlns="" id="{00000000-0008-0000-0600-00003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1620000"/>
          <a:ext cx="82550" cy="177800"/>
        </a:xfrm>
        <a:prstGeom prst="rect">
          <a:avLst/>
        </a:prstGeom>
        <a:noFill/>
        <a:ln w="9525">
          <a:miter lim="800000"/>
          <a:headEnd/>
          <a:tailEnd/>
        </a:ln>
      </xdr:spPr>
    </xdr:pic>
    <xdr:clientData/>
  </xdr:twoCellAnchor>
  <xdr:twoCellAnchor editAs="oneCell">
    <xdr:from>
      <xdr:col>3</xdr:col>
      <xdr:colOff>0</xdr:colOff>
      <xdr:row>1478</xdr:row>
      <xdr:rowOff>69850</xdr:rowOff>
    </xdr:from>
    <xdr:to>
      <xdr:col>3</xdr:col>
      <xdr:colOff>82550</xdr:colOff>
      <xdr:row>1479</xdr:row>
      <xdr:rowOff>69850</xdr:rowOff>
    </xdr:to>
    <xdr:pic>
      <xdr:nvPicPr>
        <xdr:cNvPr id="7228" name="Control 443">
          <a:extLst>
            <a:ext uri="{FF2B5EF4-FFF2-40B4-BE49-F238E27FC236}">
              <a16:creationId xmlns:a16="http://schemas.microsoft.com/office/drawing/2014/main" xmlns="" id="{00000000-0008-0000-0600-00003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2858250"/>
          <a:ext cx="82550" cy="177800"/>
        </a:xfrm>
        <a:prstGeom prst="rect">
          <a:avLst/>
        </a:prstGeom>
        <a:noFill/>
        <a:ln w="9525">
          <a:miter lim="800000"/>
          <a:headEnd/>
          <a:tailEnd/>
        </a:ln>
      </xdr:spPr>
    </xdr:pic>
    <xdr:clientData/>
  </xdr:twoCellAnchor>
  <xdr:twoCellAnchor editAs="oneCell">
    <xdr:from>
      <xdr:col>3</xdr:col>
      <xdr:colOff>0</xdr:colOff>
      <xdr:row>1485</xdr:row>
      <xdr:rowOff>19050</xdr:rowOff>
    </xdr:from>
    <xdr:to>
      <xdr:col>3</xdr:col>
      <xdr:colOff>82550</xdr:colOff>
      <xdr:row>1486</xdr:row>
      <xdr:rowOff>19050</xdr:rowOff>
    </xdr:to>
    <xdr:pic>
      <xdr:nvPicPr>
        <xdr:cNvPr id="7230" name="Control 445">
          <a:extLst>
            <a:ext uri="{FF2B5EF4-FFF2-40B4-BE49-F238E27FC236}">
              <a16:creationId xmlns:a16="http://schemas.microsoft.com/office/drawing/2014/main" xmlns="" id="{00000000-0008-0000-0600-00003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4052050"/>
          <a:ext cx="82550" cy="177800"/>
        </a:xfrm>
        <a:prstGeom prst="rect">
          <a:avLst/>
        </a:prstGeom>
        <a:noFill/>
        <a:ln w="9525">
          <a:miter lim="800000"/>
          <a:headEnd/>
          <a:tailEnd/>
        </a:ln>
      </xdr:spPr>
    </xdr:pic>
    <xdr:clientData/>
  </xdr:twoCellAnchor>
  <xdr:twoCellAnchor editAs="oneCell">
    <xdr:from>
      <xdr:col>3</xdr:col>
      <xdr:colOff>0</xdr:colOff>
      <xdr:row>1491</xdr:row>
      <xdr:rowOff>69850</xdr:rowOff>
    </xdr:from>
    <xdr:to>
      <xdr:col>3</xdr:col>
      <xdr:colOff>82550</xdr:colOff>
      <xdr:row>1492</xdr:row>
      <xdr:rowOff>69850</xdr:rowOff>
    </xdr:to>
    <xdr:pic>
      <xdr:nvPicPr>
        <xdr:cNvPr id="384" name="Control 447">
          <a:extLst>
            <a:ext uri="{FF2B5EF4-FFF2-40B4-BE49-F238E27FC236}">
              <a16:creationId xmlns:a16="http://schemas.microsoft.com/office/drawing/2014/main" xmlns="" id="{00000000-0008-0000-0600-00008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5169650"/>
          <a:ext cx="82550" cy="177800"/>
        </a:xfrm>
        <a:prstGeom prst="rect">
          <a:avLst/>
        </a:prstGeom>
        <a:noFill/>
        <a:ln w="9525">
          <a:miter lim="800000"/>
          <a:headEnd/>
          <a:tailEnd/>
        </a:ln>
      </xdr:spPr>
    </xdr:pic>
    <xdr:clientData/>
  </xdr:twoCellAnchor>
  <xdr:twoCellAnchor editAs="oneCell">
    <xdr:from>
      <xdr:col>3</xdr:col>
      <xdr:colOff>0</xdr:colOff>
      <xdr:row>1498</xdr:row>
      <xdr:rowOff>38100</xdr:rowOff>
    </xdr:from>
    <xdr:to>
      <xdr:col>3</xdr:col>
      <xdr:colOff>82550</xdr:colOff>
      <xdr:row>1499</xdr:row>
      <xdr:rowOff>38100</xdr:rowOff>
    </xdr:to>
    <xdr:pic>
      <xdr:nvPicPr>
        <xdr:cNvPr id="386" name="Control 449">
          <a:extLst>
            <a:ext uri="{FF2B5EF4-FFF2-40B4-BE49-F238E27FC236}">
              <a16:creationId xmlns:a16="http://schemas.microsoft.com/office/drawing/2014/main" xmlns="" id="{00000000-0008-0000-0600-00008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6382500"/>
          <a:ext cx="82550" cy="177800"/>
        </a:xfrm>
        <a:prstGeom prst="rect">
          <a:avLst/>
        </a:prstGeom>
        <a:noFill/>
        <a:ln w="9525">
          <a:miter lim="800000"/>
          <a:headEnd/>
          <a:tailEnd/>
        </a:ln>
      </xdr:spPr>
    </xdr:pic>
    <xdr:clientData/>
  </xdr:twoCellAnchor>
  <xdr:twoCellAnchor editAs="oneCell">
    <xdr:from>
      <xdr:col>3</xdr:col>
      <xdr:colOff>0</xdr:colOff>
      <xdr:row>1505</xdr:row>
      <xdr:rowOff>38100</xdr:rowOff>
    </xdr:from>
    <xdr:to>
      <xdr:col>3</xdr:col>
      <xdr:colOff>82550</xdr:colOff>
      <xdr:row>1506</xdr:row>
      <xdr:rowOff>38100</xdr:rowOff>
    </xdr:to>
    <xdr:pic>
      <xdr:nvPicPr>
        <xdr:cNvPr id="388" name="Control 451">
          <a:extLst>
            <a:ext uri="{FF2B5EF4-FFF2-40B4-BE49-F238E27FC236}">
              <a16:creationId xmlns:a16="http://schemas.microsoft.com/office/drawing/2014/main" xmlns="" id="{00000000-0008-0000-0600-00008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7627100"/>
          <a:ext cx="82550" cy="177800"/>
        </a:xfrm>
        <a:prstGeom prst="rect">
          <a:avLst/>
        </a:prstGeom>
        <a:noFill/>
        <a:ln w="9525">
          <a:miter lim="800000"/>
          <a:headEnd/>
          <a:tailEnd/>
        </a:ln>
      </xdr:spPr>
    </xdr:pic>
    <xdr:clientData/>
  </xdr:twoCellAnchor>
  <xdr:twoCellAnchor editAs="oneCell">
    <xdr:from>
      <xdr:col>3</xdr:col>
      <xdr:colOff>0</xdr:colOff>
      <xdr:row>1511</xdr:row>
      <xdr:rowOff>76200</xdr:rowOff>
    </xdr:from>
    <xdr:to>
      <xdr:col>3</xdr:col>
      <xdr:colOff>82550</xdr:colOff>
      <xdr:row>1512</xdr:row>
      <xdr:rowOff>76200</xdr:rowOff>
    </xdr:to>
    <xdr:pic>
      <xdr:nvPicPr>
        <xdr:cNvPr id="390" name="Control 453">
          <a:extLst>
            <a:ext uri="{FF2B5EF4-FFF2-40B4-BE49-F238E27FC236}">
              <a16:creationId xmlns:a16="http://schemas.microsoft.com/office/drawing/2014/main" xmlns="" id="{00000000-0008-0000-0600-00008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8732000"/>
          <a:ext cx="82550" cy="177800"/>
        </a:xfrm>
        <a:prstGeom prst="rect">
          <a:avLst/>
        </a:prstGeom>
        <a:noFill/>
        <a:ln w="9525">
          <a:miter lim="800000"/>
          <a:headEnd/>
          <a:tailEnd/>
        </a:ln>
      </xdr:spPr>
    </xdr:pic>
    <xdr:clientData/>
  </xdr:twoCellAnchor>
  <xdr:twoCellAnchor editAs="oneCell">
    <xdr:from>
      <xdr:col>3</xdr:col>
      <xdr:colOff>0</xdr:colOff>
      <xdr:row>1518</xdr:row>
      <xdr:rowOff>38100</xdr:rowOff>
    </xdr:from>
    <xdr:to>
      <xdr:col>3</xdr:col>
      <xdr:colOff>82550</xdr:colOff>
      <xdr:row>1519</xdr:row>
      <xdr:rowOff>38100</xdr:rowOff>
    </xdr:to>
    <xdr:pic>
      <xdr:nvPicPr>
        <xdr:cNvPr id="392" name="Control 455">
          <a:extLst>
            <a:ext uri="{FF2B5EF4-FFF2-40B4-BE49-F238E27FC236}">
              <a16:creationId xmlns:a16="http://schemas.microsoft.com/office/drawing/2014/main" xmlns="" id="{00000000-0008-0000-0600-00008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69938500"/>
          <a:ext cx="82550" cy="177800"/>
        </a:xfrm>
        <a:prstGeom prst="rect">
          <a:avLst/>
        </a:prstGeom>
        <a:noFill/>
        <a:ln w="9525">
          <a:miter lim="800000"/>
          <a:headEnd/>
          <a:tailEnd/>
        </a:ln>
      </xdr:spPr>
    </xdr:pic>
    <xdr:clientData/>
  </xdr:twoCellAnchor>
  <xdr:twoCellAnchor editAs="oneCell">
    <xdr:from>
      <xdr:col>3</xdr:col>
      <xdr:colOff>0</xdr:colOff>
      <xdr:row>1525</xdr:row>
      <xdr:rowOff>6350</xdr:rowOff>
    </xdr:from>
    <xdr:to>
      <xdr:col>3</xdr:col>
      <xdr:colOff>82550</xdr:colOff>
      <xdr:row>1526</xdr:row>
      <xdr:rowOff>6350</xdr:rowOff>
    </xdr:to>
    <xdr:pic>
      <xdr:nvPicPr>
        <xdr:cNvPr id="394" name="Control 457">
          <a:extLst>
            <a:ext uri="{FF2B5EF4-FFF2-40B4-BE49-F238E27FC236}">
              <a16:creationId xmlns:a16="http://schemas.microsoft.com/office/drawing/2014/main" xmlns="" id="{00000000-0008-0000-0600-00008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1151350"/>
          <a:ext cx="82550" cy="177800"/>
        </a:xfrm>
        <a:prstGeom prst="rect">
          <a:avLst/>
        </a:prstGeom>
        <a:noFill/>
        <a:ln w="9525">
          <a:miter lim="800000"/>
          <a:headEnd/>
          <a:tailEnd/>
        </a:ln>
      </xdr:spPr>
    </xdr:pic>
    <xdr:clientData/>
  </xdr:twoCellAnchor>
  <xdr:twoCellAnchor editAs="oneCell">
    <xdr:from>
      <xdr:col>3</xdr:col>
      <xdr:colOff>0</xdr:colOff>
      <xdr:row>1532</xdr:row>
      <xdr:rowOff>6350</xdr:rowOff>
    </xdr:from>
    <xdr:to>
      <xdr:col>3</xdr:col>
      <xdr:colOff>82550</xdr:colOff>
      <xdr:row>1533</xdr:row>
      <xdr:rowOff>6350</xdr:rowOff>
    </xdr:to>
    <xdr:pic>
      <xdr:nvPicPr>
        <xdr:cNvPr id="396" name="Control 459">
          <a:extLst>
            <a:ext uri="{FF2B5EF4-FFF2-40B4-BE49-F238E27FC236}">
              <a16:creationId xmlns:a16="http://schemas.microsoft.com/office/drawing/2014/main" xmlns="" id="{00000000-0008-0000-0600-00008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2395950"/>
          <a:ext cx="82550" cy="177800"/>
        </a:xfrm>
        <a:prstGeom prst="rect">
          <a:avLst/>
        </a:prstGeom>
        <a:noFill/>
        <a:ln w="9525">
          <a:miter lim="800000"/>
          <a:headEnd/>
          <a:tailEnd/>
        </a:ln>
      </xdr:spPr>
    </xdr:pic>
    <xdr:clientData/>
  </xdr:twoCellAnchor>
  <xdr:twoCellAnchor editAs="oneCell">
    <xdr:from>
      <xdr:col>3</xdr:col>
      <xdr:colOff>0</xdr:colOff>
      <xdr:row>1538</xdr:row>
      <xdr:rowOff>38100</xdr:rowOff>
    </xdr:from>
    <xdr:to>
      <xdr:col>3</xdr:col>
      <xdr:colOff>82550</xdr:colOff>
      <xdr:row>1539</xdr:row>
      <xdr:rowOff>38100</xdr:rowOff>
    </xdr:to>
    <xdr:pic>
      <xdr:nvPicPr>
        <xdr:cNvPr id="398" name="Control 461">
          <a:extLst>
            <a:ext uri="{FF2B5EF4-FFF2-40B4-BE49-F238E27FC236}">
              <a16:creationId xmlns:a16="http://schemas.microsoft.com/office/drawing/2014/main" xmlns="" id="{00000000-0008-0000-0600-00008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3494500"/>
          <a:ext cx="82550" cy="177800"/>
        </a:xfrm>
        <a:prstGeom prst="rect">
          <a:avLst/>
        </a:prstGeom>
        <a:noFill/>
        <a:ln w="9525">
          <a:miter lim="800000"/>
          <a:headEnd/>
          <a:tailEnd/>
        </a:ln>
      </xdr:spPr>
    </xdr:pic>
    <xdr:clientData/>
  </xdr:twoCellAnchor>
  <xdr:twoCellAnchor editAs="oneCell">
    <xdr:from>
      <xdr:col>3</xdr:col>
      <xdr:colOff>0</xdr:colOff>
      <xdr:row>1545</xdr:row>
      <xdr:rowOff>12700</xdr:rowOff>
    </xdr:from>
    <xdr:to>
      <xdr:col>3</xdr:col>
      <xdr:colOff>82550</xdr:colOff>
      <xdr:row>1546</xdr:row>
      <xdr:rowOff>12700</xdr:rowOff>
    </xdr:to>
    <xdr:pic>
      <xdr:nvPicPr>
        <xdr:cNvPr id="400" name="Control 463">
          <a:extLst>
            <a:ext uri="{FF2B5EF4-FFF2-40B4-BE49-F238E27FC236}">
              <a16:creationId xmlns:a16="http://schemas.microsoft.com/office/drawing/2014/main" xmlns="" id="{00000000-0008-0000-0600-00009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4713700"/>
          <a:ext cx="82550" cy="177800"/>
        </a:xfrm>
        <a:prstGeom prst="rect">
          <a:avLst/>
        </a:prstGeom>
        <a:noFill/>
        <a:ln w="9525">
          <a:miter lim="800000"/>
          <a:headEnd/>
          <a:tailEnd/>
        </a:ln>
      </xdr:spPr>
    </xdr:pic>
    <xdr:clientData/>
  </xdr:twoCellAnchor>
  <xdr:twoCellAnchor editAs="oneCell">
    <xdr:from>
      <xdr:col>3</xdr:col>
      <xdr:colOff>0</xdr:colOff>
      <xdr:row>1551</xdr:row>
      <xdr:rowOff>63500</xdr:rowOff>
    </xdr:from>
    <xdr:to>
      <xdr:col>3</xdr:col>
      <xdr:colOff>82550</xdr:colOff>
      <xdr:row>1552</xdr:row>
      <xdr:rowOff>63500</xdr:rowOff>
    </xdr:to>
    <xdr:pic>
      <xdr:nvPicPr>
        <xdr:cNvPr id="402" name="Control 465">
          <a:extLst>
            <a:ext uri="{FF2B5EF4-FFF2-40B4-BE49-F238E27FC236}">
              <a16:creationId xmlns:a16="http://schemas.microsoft.com/office/drawing/2014/main" xmlns="" id="{00000000-0008-0000-0600-00009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5831300"/>
          <a:ext cx="82550" cy="177800"/>
        </a:xfrm>
        <a:prstGeom prst="rect">
          <a:avLst/>
        </a:prstGeom>
        <a:noFill/>
        <a:ln w="9525">
          <a:miter lim="800000"/>
          <a:headEnd/>
          <a:tailEnd/>
        </a:ln>
      </xdr:spPr>
    </xdr:pic>
    <xdr:clientData/>
  </xdr:twoCellAnchor>
  <xdr:twoCellAnchor editAs="oneCell">
    <xdr:from>
      <xdr:col>3</xdr:col>
      <xdr:colOff>0</xdr:colOff>
      <xdr:row>1558</xdr:row>
      <xdr:rowOff>57150</xdr:rowOff>
    </xdr:from>
    <xdr:to>
      <xdr:col>3</xdr:col>
      <xdr:colOff>82550</xdr:colOff>
      <xdr:row>1559</xdr:row>
      <xdr:rowOff>57150</xdr:rowOff>
    </xdr:to>
    <xdr:pic>
      <xdr:nvPicPr>
        <xdr:cNvPr id="404" name="Control 467">
          <a:extLst>
            <a:ext uri="{FF2B5EF4-FFF2-40B4-BE49-F238E27FC236}">
              <a16:creationId xmlns:a16="http://schemas.microsoft.com/office/drawing/2014/main" xmlns="" id="{00000000-0008-0000-0600-00009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7069550"/>
          <a:ext cx="82550" cy="177800"/>
        </a:xfrm>
        <a:prstGeom prst="rect">
          <a:avLst/>
        </a:prstGeom>
        <a:noFill/>
        <a:ln w="9525">
          <a:miter lim="800000"/>
          <a:headEnd/>
          <a:tailEnd/>
        </a:ln>
      </xdr:spPr>
    </xdr:pic>
    <xdr:clientData/>
  </xdr:twoCellAnchor>
  <xdr:twoCellAnchor editAs="oneCell">
    <xdr:from>
      <xdr:col>3</xdr:col>
      <xdr:colOff>0</xdr:colOff>
      <xdr:row>1565</xdr:row>
      <xdr:rowOff>19050</xdr:rowOff>
    </xdr:from>
    <xdr:to>
      <xdr:col>3</xdr:col>
      <xdr:colOff>82550</xdr:colOff>
      <xdr:row>1566</xdr:row>
      <xdr:rowOff>19050</xdr:rowOff>
    </xdr:to>
    <xdr:pic>
      <xdr:nvPicPr>
        <xdr:cNvPr id="406" name="Control 469">
          <a:extLst>
            <a:ext uri="{FF2B5EF4-FFF2-40B4-BE49-F238E27FC236}">
              <a16:creationId xmlns:a16="http://schemas.microsoft.com/office/drawing/2014/main" xmlns="" id="{00000000-0008-0000-0600-00009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8276050"/>
          <a:ext cx="82550" cy="177800"/>
        </a:xfrm>
        <a:prstGeom prst="rect">
          <a:avLst/>
        </a:prstGeom>
        <a:noFill/>
        <a:ln w="9525">
          <a:miter lim="800000"/>
          <a:headEnd/>
          <a:tailEnd/>
        </a:ln>
      </xdr:spPr>
    </xdr:pic>
    <xdr:clientData/>
  </xdr:twoCellAnchor>
  <xdr:twoCellAnchor editAs="oneCell">
    <xdr:from>
      <xdr:col>3</xdr:col>
      <xdr:colOff>0</xdr:colOff>
      <xdr:row>1571</xdr:row>
      <xdr:rowOff>88900</xdr:rowOff>
    </xdr:from>
    <xdr:to>
      <xdr:col>3</xdr:col>
      <xdr:colOff>82550</xdr:colOff>
      <xdr:row>1572</xdr:row>
      <xdr:rowOff>88900</xdr:rowOff>
    </xdr:to>
    <xdr:pic>
      <xdr:nvPicPr>
        <xdr:cNvPr id="408" name="Control 471">
          <a:extLst>
            <a:ext uri="{FF2B5EF4-FFF2-40B4-BE49-F238E27FC236}">
              <a16:creationId xmlns:a16="http://schemas.microsoft.com/office/drawing/2014/main" xmlns="" id="{00000000-0008-0000-0600-00009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79412700"/>
          <a:ext cx="82550" cy="177800"/>
        </a:xfrm>
        <a:prstGeom prst="rect">
          <a:avLst/>
        </a:prstGeom>
        <a:noFill/>
        <a:ln w="9525">
          <a:miter lim="800000"/>
          <a:headEnd/>
          <a:tailEnd/>
        </a:ln>
      </xdr:spPr>
    </xdr:pic>
    <xdr:clientData/>
  </xdr:twoCellAnchor>
  <xdr:twoCellAnchor editAs="oneCell">
    <xdr:from>
      <xdr:col>3</xdr:col>
      <xdr:colOff>0</xdr:colOff>
      <xdr:row>1578</xdr:row>
      <xdr:rowOff>25400</xdr:rowOff>
    </xdr:from>
    <xdr:to>
      <xdr:col>3</xdr:col>
      <xdr:colOff>82550</xdr:colOff>
      <xdr:row>1579</xdr:row>
      <xdr:rowOff>25400</xdr:rowOff>
    </xdr:to>
    <xdr:pic>
      <xdr:nvPicPr>
        <xdr:cNvPr id="410" name="Control 473">
          <a:extLst>
            <a:ext uri="{FF2B5EF4-FFF2-40B4-BE49-F238E27FC236}">
              <a16:creationId xmlns:a16="http://schemas.microsoft.com/office/drawing/2014/main" xmlns="" id="{00000000-0008-0000-0600-00009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0593800"/>
          <a:ext cx="82550" cy="177800"/>
        </a:xfrm>
        <a:prstGeom prst="rect">
          <a:avLst/>
        </a:prstGeom>
        <a:noFill/>
        <a:ln w="9525">
          <a:miter lim="800000"/>
          <a:headEnd/>
          <a:tailEnd/>
        </a:ln>
      </xdr:spPr>
    </xdr:pic>
    <xdr:clientData/>
  </xdr:twoCellAnchor>
  <xdr:twoCellAnchor editAs="oneCell">
    <xdr:from>
      <xdr:col>3</xdr:col>
      <xdr:colOff>0</xdr:colOff>
      <xdr:row>1585</xdr:row>
      <xdr:rowOff>6350</xdr:rowOff>
    </xdr:from>
    <xdr:to>
      <xdr:col>3</xdr:col>
      <xdr:colOff>82550</xdr:colOff>
      <xdr:row>1586</xdr:row>
      <xdr:rowOff>6350</xdr:rowOff>
    </xdr:to>
    <xdr:pic>
      <xdr:nvPicPr>
        <xdr:cNvPr id="412" name="Control 475">
          <a:extLst>
            <a:ext uri="{FF2B5EF4-FFF2-40B4-BE49-F238E27FC236}">
              <a16:creationId xmlns:a16="http://schemas.microsoft.com/office/drawing/2014/main" xmlns="" id="{00000000-0008-0000-0600-00009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1819350"/>
          <a:ext cx="82550" cy="177800"/>
        </a:xfrm>
        <a:prstGeom prst="rect">
          <a:avLst/>
        </a:prstGeom>
        <a:noFill/>
        <a:ln w="9525">
          <a:miter lim="800000"/>
          <a:headEnd/>
          <a:tailEnd/>
        </a:ln>
      </xdr:spPr>
    </xdr:pic>
    <xdr:clientData/>
  </xdr:twoCellAnchor>
  <xdr:twoCellAnchor editAs="oneCell">
    <xdr:from>
      <xdr:col>3</xdr:col>
      <xdr:colOff>0</xdr:colOff>
      <xdr:row>1591</xdr:row>
      <xdr:rowOff>63500</xdr:rowOff>
    </xdr:from>
    <xdr:to>
      <xdr:col>3</xdr:col>
      <xdr:colOff>82550</xdr:colOff>
      <xdr:row>1592</xdr:row>
      <xdr:rowOff>63500</xdr:rowOff>
    </xdr:to>
    <xdr:pic>
      <xdr:nvPicPr>
        <xdr:cNvPr id="414" name="Control 477">
          <a:extLst>
            <a:ext uri="{FF2B5EF4-FFF2-40B4-BE49-F238E27FC236}">
              <a16:creationId xmlns:a16="http://schemas.microsoft.com/office/drawing/2014/main" xmlns="" id="{00000000-0008-0000-0600-00009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2943300"/>
          <a:ext cx="82550" cy="177800"/>
        </a:xfrm>
        <a:prstGeom prst="rect">
          <a:avLst/>
        </a:prstGeom>
        <a:noFill/>
        <a:ln w="9525">
          <a:miter lim="800000"/>
          <a:headEnd/>
          <a:tailEnd/>
        </a:ln>
      </xdr:spPr>
    </xdr:pic>
    <xdr:clientData/>
  </xdr:twoCellAnchor>
  <xdr:twoCellAnchor editAs="oneCell">
    <xdr:from>
      <xdr:col>3</xdr:col>
      <xdr:colOff>0</xdr:colOff>
      <xdr:row>1598</xdr:row>
      <xdr:rowOff>12700</xdr:rowOff>
    </xdr:from>
    <xdr:to>
      <xdr:col>3</xdr:col>
      <xdr:colOff>82550</xdr:colOff>
      <xdr:row>1599</xdr:row>
      <xdr:rowOff>12700</xdr:rowOff>
    </xdr:to>
    <xdr:pic>
      <xdr:nvPicPr>
        <xdr:cNvPr id="7232" name="Control 479">
          <a:extLst>
            <a:ext uri="{FF2B5EF4-FFF2-40B4-BE49-F238E27FC236}">
              <a16:creationId xmlns:a16="http://schemas.microsoft.com/office/drawing/2014/main" xmlns="" id="{00000000-0008-0000-0600-00004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4137100"/>
          <a:ext cx="82550" cy="177800"/>
        </a:xfrm>
        <a:prstGeom prst="rect">
          <a:avLst/>
        </a:prstGeom>
        <a:noFill/>
        <a:ln w="9525">
          <a:miter lim="800000"/>
          <a:headEnd/>
          <a:tailEnd/>
        </a:ln>
      </xdr:spPr>
    </xdr:pic>
    <xdr:clientData/>
  </xdr:twoCellAnchor>
  <xdr:twoCellAnchor editAs="oneCell">
    <xdr:from>
      <xdr:col>3</xdr:col>
      <xdr:colOff>0</xdr:colOff>
      <xdr:row>1604</xdr:row>
      <xdr:rowOff>82550</xdr:rowOff>
    </xdr:from>
    <xdr:to>
      <xdr:col>3</xdr:col>
      <xdr:colOff>82550</xdr:colOff>
      <xdr:row>1605</xdr:row>
      <xdr:rowOff>82550</xdr:rowOff>
    </xdr:to>
    <xdr:pic>
      <xdr:nvPicPr>
        <xdr:cNvPr id="7234" name="Control 481">
          <a:extLst>
            <a:ext uri="{FF2B5EF4-FFF2-40B4-BE49-F238E27FC236}">
              <a16:creationId xmlns:a16="http://schemas.microsoft.com/office/drawing/2014/main" xmlns="" id="{00000000-0008-0000-0600-00004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5273750"/>
          <a:ext cx="82550" cy="177800"/>
        </a:xfrm>
        <a:prstGeom prst="rect">
          <a:avLst/>
        </a:prstGeom>
        <a:noFill/>
        <a:ln w="9525">
          <a:miter lim="800000"/>
          <a:headEnd/>
          <a:tailEnd/>
        </a:ln>
      </xdr:spPr>
    </xdr:pic>
    <xdr:clientData/>
  </xdr:twoCellAnchor>
  <xdr:twoCellAnchor editAs="oneCell">
    <xdr:from>
      <xdr:col>3</xdr:col>
      <xdr:colOff>0</xdr:colOff>
      <xdr:row>1611</xdr:row>
      <xdr:rowOff>44450</xdr:rowOff>
    </xdr:from>
    <xdr:to>
      <xdr:col>3</xdr:col>
      <xdr:colOff>82550</xdr:colOff>
      <xdr:row>1612</xdr:row>
      <xdr:rowOff>44450</xdr:rowOff>
    </xdr:to>
    <xdr:pic>
      <xdr:nvPicPr>
        <xdr:cNvPr id="7236" name="Control 483">
          <a:extLst>
            <a:ext uri="{FF2B5EF4-FFF2-40B4-BE49-F238E27FC236}">
              <a16:creationId xmlns:a16="http://schemas.microsoft.com/office/drawing/2014/main" xmlns="" id="{00000000-0008-0000-0600-00004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6480250"/>
          <a:ext cx="82550" cy="177800"/>
        </a:xfrm>
        <a:prstGeom prst="rect">
          <a:avLst/>
        </a:prstGeom>
        <a:noFill/>
        <a:ln w="9525">
          <a:miter lim="800000"/>
          <a:headEnd/>
          <a:tailEnd/>
        </a:ln>
      </xdr:spPr>
    </xdr:pic>
    <xdr:clientData/>
  </xdr:twoCellAnchor>
  <xdr:twoCellAnchor editAs="oneCell">
    <xdr:from>
      <xdr:col>3</xdr:col>
      <xdr:colOff>0</xdr:colOff>
      <xdr:row>1618</xdr:row>
      <xdr:rowOff>12700</xdr:rowOff>
    </xdr:from>
    <xdr:to>
      <xdr:col>3</xdr:col>
      <xdr:colOff>82550</xdr:colOff>
      <xdr:row>1619</xdr:row>
      <xdr:rowOff>12700</xdr:rowOff>
    </xdr:to>
    <xdr:pic>
      <xdr:nvPicPr>
        <xdr:cNvPr id="7238" name="Control 485">
          <a:extLst>
            <a:ext uri="{FF2B5EF4-FFF2-40B4-BE49-F238E27FC236}">
              <a16:creationId xmlns:a16="http://schemas.microsoft.com/office/drawing/2014/main" xmlns="" id="{00000000-0008-0000-0600-00004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7693100"/>
          <a:ext cx="82550" cy="177800"/>
        </a:xfrm>
        <a:prstGeom prst="rect">
          <a:avLst/>
        </a:prstGeom>
        <a:noFill/>
        <a:ln w="9525">
          <a:miter lim="800000"/>
          <a:headEnd/>
          <a:tailEnd/>
        </a:ln>
      </xdr:spPr>
    </xdr:pic>
    <xdr:clientData/>
  </xdr:twoCellAnchor>
  <xdr:twoCellAnchor editAs="oneCell">
    <xdr:from>
      <xdr:col>3</xdr:col>
      <xdr:colOff>0</xdr:colOff>
      <xdr:row>1624</xdr:row>
      <xdr:rowOff>88900</xdr:rowOff>
    </xdr:from>
    <xdr:to>
      <xdr:col>3</xdr:col>
      <xdr:colOff>82550</xdr:colOff>
      <xdr:row>1625</xdr:row>
      <xdr:rowOff>88900</xdr:rowOff>
    </xdr:to>
    <xdr:pic>
      <xdr:nvPicPr>
        <xdr:cNvPr id="7240" name="Control 487">
          <a:extLst>
            <a:ext uri="{FF2B5EF4-FFF2-40B4-BE49-F238E27FC236}">
              <a16:creationId xmlns:a16="http://schemas.microsoft.com/office/drawing/2014/main" xmlns="" id="{00000000-0008-0000-0600-00004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88836100"/>
          <a:ext cx="82550" cy="177800"/>
        </a:xfrm>
        <a:prstGeom prst="rect">
          <a:avLst/>
        </a:prstGeom>
        <a:noFill/>
        <a:ln w="9525">
          <a:miter lim="800000"/>
          <a:headEnd/>
          <a:tailEnd/>
        </a:ln>
      </xdr:spPr>
    </xdr:pic>
    <xdr:clientData/>
  </xdr:twoCellAnchor>
  <xdr:twoCellAnchor editAs="oneCell">
    <xdr:from>
      <xdr:col>3</xdr:col>
      <xdr:colOff>0</xdr:colOff>
      <xdr:row>1631</xdr:row>
      <xdr:rowOff>76200</xdr:rowOff>
    </xdr:from>
    <xdr:to>
      <xdr:col>3</xdr:col>
      <xdr:colOff>82550</xdr:colOff>
      <xdr:row>1632</xdr:row>
      <xdr:rowOff>76200</xdr:rowOff>
    </xdr:to>
    <xdr:pic>
      <xdr:nvPicPr>
        <xdr:cNvPr id="7242" name="Control 489">
          <a:extLst>
            <a:ext uri="{FF2B5EF4-FFF2-40B4-BE49-F238E27FC236}">
              <a16:creationId xmlns:a16="http://schemas.microsoft.com/office/drawing/2014/main" xmlns="" id="{00000000-0008-0000-0600-00004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0068000"/>
          <a:ext cx="82550" cy="177800"/>
        </a:xfrm>
        <a:prstGeom prst="rect">
          <a:avLst/>
        </a:prstGeom>
        <a:noFill/>
        <a:ln w="9525">
          <a:miter lim="800000"/>
          <a:headEnd/>
          <a:tailEnd/>
        </a:ln>
      </xdr:spPr>
    </xdr:pic>
    <xdr:clientData/>
  </xdr:twoCellAnchor>
  <xdr:twoCellAnchor editAs="oneCell">
    <xdr:from>
      <xdr:col>3</xdr:col>
      <xdr:colOff>0</xdr:colOff>
      <xdr:row>1638</xdr:row>
      <xdr:rowOff>50800</xdr:rowOff>
    </xdr:from>
    <xdr:to>
      <xdr:col>3</xdr:col>
      <xdr:colOff>82550</xdr:colOff>
      <xdr:row>1639</xdr:row>
      <xdr:rowOff>50800</xdr:rowOff>
    </xdr:to>
    <xdr:pic>
      <xdr:nvPicPr>
        <xdr:cNvPr id="7244" name="Control 491">
          <a:extLst>
            <a:ext uri="{FF2B5EF4-FFF2-40B4-BE49-F238E27FC236}">
              <a16:creationId xmlns:a16="http://schemas.microsoft.com/office/drawing/2014/main" xmlns="" id="{00000000-0008-0000-0600-00004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1287200"/>
          <a:ext cx="82550" cy="177800"/>
        </a:xfrm>
        <a:prstGeom prst="rect">
          <a:avLst/>
        </a:prstGeom>
        <a:noFill/>
        <a:ln w="9525">
          <a:miter lim="800000"/>
          <a:headEnd/>
          <a:tailEnd/>
        </a:ln>
      </xdr:spPr>
    </xdr:pic>
    <xdr:clientData/>
  </xdr:twoCellAnchor>
  <xdr:twoCellAnchor editAs="oneCell">
    <xdr:from>
      <xdr:col>3</xdr:col>
      <xdr:colOff>0</xdr:colOff>
      <xdr:row>1645</xdr:row>
      <xdr:rowOff>6350</xdr:rowOff>
    </xdr:from>
    <xdr:to>
      <xdr:col>3</xdr:col>
      <xdr:colOff>82550</xdr:colOff>
      <xdr:row>1646</xdr:row>
      <xdr:rowOff>6350</xdr:rowOff>
    </xdr:to>
    <xdr:pic>
      <xdr:nvPicPr>
        <xdr:cNvPr id="7246" name="Control 493">
          <a:extLst>
            <a:ext uri="{FF2B5EF4-FFF2-40B4-BE49-F238E27FC236}">
              <a16:creationId xmlns:a16="http://schemas.microsoft.com/office/drawing/2014/main" xmlns="" id="{00000000-0008-0000-0600-00004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2487350"/>
          <a:ext cx="82550" cy="177800"/>
        </a:xfrm>
        <a:prstGeom prst="rect">
          <a:avLst/>
        </a:prstGeom>
        <a:noFill/>
        <a:ln w="9525">
          <a:miter lim="800000"/>
          <a:headEnd/>
          <a:tailEnd/>
        </a:ln>
      </xdr:spPr>
    </xdr:pic>
    <xdr:clientData/>
  </xdr:twoCellAnchor>
  <xdr:twoCellAnchor editAs="oneCell">
    <xdr:from>
      <xdr:col>3</xdr:col>
      <xdr:colOff>0</xdr:colOff>
      <xdr:row>1651</xdr:row>
      <xdr:rowOff>57150</xdr:rowOff>
    </xdr:from>
    <xdr:to>
      <xdr:col>3</xdr:col>
      <xdr:colOff>82550</xdr:colOff>
      <xdr:row>1652</xdr:row>
      <xdr:rowOff>57150</xdr:rowOff>
    </xdr:to>
    <xdr:pic>
      <xdr:nvPicPr>
        <xdr:cNvPr id="7248" name="Control 495">
          <a:extLst>
            <a:ext uri="{FF2B5EF4-FFF2-40B4-BE49-F238E27FC236}">
              <a16:creationId xmlns:a16="http://schemas.microsoft.com/office/drawing/2014/main" xmlns="" id="{00000000-0008-0000-0600-00005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3604950"/>
          <a:ext cx="82550" cy="177800"/>
        </a:xfrm>
        <a:prstGeom prst="rect">
          <a:avLst/>
        </a:prstGeom>
        <a:noFill/>
        <a:ln w="9525">
          <a:miter lim="800000"/>
          <a:headEnd/>
          <a:tailEnd/>
        </a:ln>
      </xdr:spPr>
    </xdr:pic>
    <xdr:clientData/>
  </xdr:twoCellAnchor>
  <xdr:twoCellAnchor editAs="oneCell">
    <xdr:from>
      <xdr:col>3</xdr:col>
      <xdr:colOff>0</xdr:colOff>
      <xdr:row>1658</xdr:row>
      <xdr:rowOff>31750</xdr:rowOff>
    </xdr:from>
    <xdr:to>
      <xdr:col>3</xdr:col>
      <xdr:colOff>82550</xdr:colOff>
      <xdr:row>1659</xdr:row>
      <xdr:rowOff>31750</xdr:rowOff>
    </xdr:to>
    <xdr:pic>
      <xdr:nvPicPr>
        <xdr:cNvPr id="7250" name="Control 497">
          <a:extLst>
            <a:ext uri="{FF2B5EF4-FFF2-40B4-BE49-F238E27FC236}">
              <a16:creationId xmlns:a16="http://schemas.microsoft.com/office/drawing/2014/main" xmlns="" id="{00000000-0008-0000-0600-00005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4824150"/>
          <a:ext cx="82550" cy="177800"/>
        </a:xfrm>
        <a:prstGeom prst="rect">
          <a:avLst/>
        </a:prstGeom>
        <a:noFill/>
        <a:ln w="9525">
          <a:miter lim="800000"/>
          <a:headEnd/>
          <a:tailEnd/>
        </a:ln>
      </xdr:spPr>
    </xdr:pic>
    <xdr:clientData/>
  </xdr:twoCellAnchor>
  <xdr:twoCellAnchor editAs="oneCell">
    <xdr:from>
      <xdr:col>3</xdr:col>
      <xdr:colOff>0</xdr:colOff>
      <xdr:row>1664</xdr:row>
      <xdr:rowOff>88900</xdr:rowOff>
    </xdr:from>
    <xdr:to>
      <xdr:col>3</xdr:col>
      <xdr:colOff>82550</xdr:colOff>
      <xdr:row>1665</xdr:row>
      <xdr:rowOff>88900</xdr:rowOff>
    </xdr:to>
    <xdr:pic>
      <xdr:nvPicPr>
        <xdr:cNvPr id="7252" name="Control 499">
          <a:extLst>
            <a:ext uri="{FF2B5EF4-FFF2-40B4-BE49-F238E27FC236}">
              <a16:creationId xmlns:a16="http://schemas.microsoft.com/office/drawing/2014/main" xmlns="" id="{00000000-0008-0000-0600-00005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5948100"/>
          <a:ext cx="82550" cy="177800"/>
        </a:xfrm>
        <a:prstGeom prst="rect">
          <a:avLst/>
        </a:prstGeom>
        <a:noFill/>
        <a:ln w="9525">
          <a:miter lim="800000"/>
          <a:headEnd/>
          <a:tailEnd/>
        </a:ln>
      </xdr:spPr>
    </xdr:pic>
    <xdr:clientData/>
  </xdr:twoCellAnchor>
  <xdr:twoCellAnchor editAs="oneCell">
    <xdr:from>
      <xdr:col>3</xdr:col>
      <xdr:colOff>0</xdr:colOff>
      <xdr:row>1671</xdr:row>
      <xdr:rowOff>50800</xdr:rowOff>
    </xdr:from>
    <xdr:to>
      <xdr:col>3</xdr:col>
      <xdr:colOff>82550</xdr:colOff>
      <xdr:row>1672</xdr:row>
      <xdr:rowOff>50800</xdr:rowOff>
    </xdr:to>
    <xdr:pic>
      <xdr:nvPicPr>
        <xdr:cNvPr id="7254" name="Control 501">
          <a:extLst>
            <a:ext uri="{FF2B5EF4-FFF2-40B4-BE49-F238E27FC236}">
              <a16:creationId xmlns:a16="http://schemas.microsoft.com/office/drawing/2014/main" xmlns="" id="{00000000-0008-0000-0600-00005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7154600"/>
          <a:ext cx="82550" cy="177800"/>
        </a:xfrm>
        <a:prstGeom prst="rect">
          <a:avLst/>
        </a:prstGeom>
        <a:noFill/>
        <a:ln w="9525">
          <a:miter lim="800000"/>
          <a:headEnd/>
          <a:tailEnd/>
        </a:ln>
      </xdr:spPr>
    </xdr:pic>
    <xdr:clientData/>
  </xdr:twoCellAnchor>
  <xdr:twoCellAnchor editAs="oneCell">
    <xdr:from>
      <xdr:col>3</xdr:col>
      <xdr:colOff>0</xdr:colOff>
      <xdr:row>1678</xdr:row>
      <xdr:rowOff>31750</xdr:rowOff>
    </xdr:from>
    <xdr:to>
      <xdr:col>3</xdr:col>
      <xdr:colOff>82550</xdr:colOff>
      <xdr:row>1679</xdr:row>
      <xdr:rowOff>31750</xdr:rowOff>
    </xdr:to>
    <xdr:pic>
      <xdr:nvPicPr>
        <xdr:cNvPr id="7256" name="Control 503">
          <a:extLst>
            <a:ext uri="{FF2B5EF4-FFF2-40B4-BE49-F238E27FC236}">
              <a16:creationId xmlns:a16="http://schemas.microsoft.com/office/drawing/2014/main" xmlns="" id="{00000000-0008-0000-0600-00005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8380150"/>
          <a:ext cx="82550" cy="177800"/>
        </a:xfrm>
        <a:prstGeom prst="rect">
          <a:avLst/>
        </a:prstGeom>
        <a:noFill/>
        <a:ln w="9525">
          <a:miter lim="800000"/>
          <a:headEnd/>
          <a:tailEnd/>
        </a:ln>
      </xdr:spPr>
    </xdr:pic>
    <xdr:clientData/>
  </xdr:twoCellAnchor>
  <xdr:twoCellAnchor editAs="oneCell">
    <xdr:from>
      <xdr:col>3</xdr:col>
      <xdr:colOff>0</xdr:colOff>
      <xdr:row>1684</xdr:row>
      <xdr:rowOff>82550</xdr:rowOff>
    </xdr:from>
    <xdr:to>
      <xdr:col>3</xdr:col>
      <xdr:colOff>82550</xdr:colOff>
      <xdr:row>1685</xdr:row>
      <xdr:rowOff>82550</xdr:rowOff>
    </xdr:to>
    <xdr:pic>
      <xdr:nvPicPr>
        <xdr:cNvPr id="7258" name="Control 505">
          <a:extLst>
            <a:ext uri="{FF2B5EF4-FFF2-40B4-BE49-F238E27FC236}">
              <a16:creationId xmlns:a16="http://schemas.microsoft.com/office/drawing/2014/main" xmlns="" id="{00000000-0008-0000-0600-00005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299497750"/>
          <a:ext cx="82550" cy="177800"/>
        </a:xfrm>
        <a:prstGeom prst="rect">
          <a:avLst/>
        </a:prstGeom>
        <a:noFill/>
        <a:ln w="9525">
          <a:miter lim="800000"/>
          <a:headEnd/>
          <a:tailEnd/>
        </a:ln>
      </xdr:spPr>
    </xdr:pic>
    <xdr:clientData/>
  </xdr:twoCellAnchor>
  <xdr:twoCellAnchor editAs="oneCell">
    <xdr:from>
      <xdr:col>3</xdr:col>
      <xdr:colOff>0</xdr:colOff>
      <xdr:row>1691</xdr:row>
      <xdr:rowOff>63500</xdr:rowOff>
    </xdr:from>
    <xdr:to>
      <xdr:col>3</xdr:col>
      <xdr:colOff>82550</xdr:colOff>
      <xdr:row>1692</xdr:row>
      <xdr:rowOff>63500</xdr:rowOff>
    </xdr:to>
    <xdr:pic>
      <xdr:nvPicPr>
        <xdr:cNvPr id="7260" name="Control 507">
          <a:extLst>
            <a:ext uri="{FF2B5EF4-FFF2-40B4-BE49-F238E27FC236}">
              <a16:creationId xmlns:a16="http://schemas.microsoft.com/office/drawing/2014/main" xmlns="" id="{00000000-0008-0000-0600-00005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0723300"/>
          <a:ext cx="82550" cy="177800"/>
        </a:xfrm>
        <a:prstGeom prst="rect">
          <a:avLst/>
        </a:prstGeom>
        <a:noFill/>
        <a:ln w="9525">
          <a:miter lim="800000"/>
          <a:headEnd/>
          <a:tailEnd/>
        </a:ln>
      </xdr:spPr>
    </xdr:pic>
    <xdr:clientData/>
  </xdr:twoCellAnchor>
  <xdr:twoCellAnchor editAs="oneCell">
    <xdr:from>
      <xdr:col>3</xdr:col>
      <xdr:colOff>0</xdr:colOff>
      <xdr:row>1698</xdr:row>
      <xdr:rowOff>38100</xdr:rowOff>
    </xdr:from>
    <xdr:to>
      <xdr:col>3</xdr:col>
      <xdr:colOff>82550</xdr:colOff>
      <xdr:row>1699</xdr:row>
      <xdr:rowOff>38100</xdr:rowOff>
    </xdr:to>
    <xdr:pic>
      <xdr:nvPicPr>
        <xdr:cNvPr id="7262" name="Control 509">
          <a:extLst>
            <a:ext uri="{FF2B5EF4-FFF2-40B4-BE49-F238E27FC236}">
              <a16:creationId xmlns:a16="http://schemas.microsoft.com/office/drawing/2014/main" xmlns="" id="{00000000-0008-0000-0600-00005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1942500"/>
          <a:ext cx="82550" cy="177800"/>
        </a:xfrm>
        <a:prstGeom prst="rect">
          <a:avLst/>
        </a:prstGeom>
        <a:noFill/>
        <a:ln w="9525">
          <a:miter lim="800000"/>
          <a:headEnd/>
          <a:tailEnd/>
        </a:ln>
      </xdr:spPr>
    </xdr:pic>
    <xdr:clientData/>
  </xdr:twoCellAnchor>
  <xdr:twoCellAnchor editAs="oneCell">
    <xdr:from>
      <xdr:col>3</xdr:col>
      <xdr:colOff>0</xdr:colOff>
      <xdr:row>1704</xdr:row>
      <xdr:rowOff>63500</xdr:rowOff>
    </xdr:from>
    <xdr:to>
      <xdr:col>3</xdr:col>
      <xdr:colOff>82550</xdr:colOff>
      <xdr:row>1705</xdr:row>
      <xdr:rowOff>63500</xdr:rowOff>
    </xdr:to>
    <xdr:pic>
      <xdr:nvPicPr>
        <xdr:cNvPr id="416" name="Control 511">
          <a:extLst>
            <a:ext uri="{FF2B5EF4-FFF2-40B4-BE49-F238E27FC236}">
              <a16:creationId xmlns:a16="http://schemas.microsoft.com/office/drawing/2014/main" xmlns="" id="{00000000-0008-0000-0600-0000A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3034700"/>
          <a:ext cx="82550" cy="177800"/>
        </a:xfrm>
        <a:prstGeom prst="rect">
          <a:avLst/>
        </a:prstGeom>
        <a:noFill/>
        <a:ln w="9525">
          <a:miter lim="800000"/>
          <a:headEnd/>
          <a:tailEnd/>
        </a:ln>
      </xdr:spPr>
    </xdr:pic>
    <xdr:clientData/>
  </xdr:twoCellAnchor>
  <xdr:twoCellAnchor editAs="oneCell">
    <xdr:from>
      <xdr:col>3</xdr:col>
      <xdr:colOff>0</xdr:colOff>
      <xdr:row>1711</xdr:row>
      <xdr:rowOff>19050</xdr:rowOff>
    </xdr:from>
    <xdr:to>
      <xdr:col>3</xdr:col>
      <xdr:colOff>82550</xdr:colOff>
      <xdr:row>1712</xdr:row>
      <xdr:rowOff>19050</xdr:rowOff>
    </xdr:to>
    <xdr:pic>
      <xdr:nvPicPr>
        <xdr:cNvPr id="418" name="Control 513">
          <a:extLst>
            <a:ext uri="{FF2B5EF4-FFF2-40B4-BE49-F238E27FC236}">
              <a16:creationId xmlns:a16="http://schemas.microsoft.com/office/drawing/2014/main" xmlns="" id="{00000000-0008-0000-0600-0000A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4234850"/>
          <a:ext cx="82550" cy="177800"/>
        </a:xfrm>
        <a:prstGeom prst="rect">
          <a:avLst/>
        </a:prstGeom>
        <a:noFill/>
        <a:ln w="9525">
          <a:miter lim="800000"/>
          <a:headEnd/>
          <a:tailEnd/>
        </a:ln>
      </xdr:spPr>
    </xdr:pic>
    <xdr:clientData/>
  </xdr:twoCellAnchor>
  <xdr:twoCellAnchor editAs="oneCell">
    <xdr:from>
      <xdr:col>3</xdr:col>
      <xdr:colOff>0</xdr:colOff>
      <xdr:row>1718</xdr:row>
      <xdr:rowOff>12700</xdr:rowOff>
    </xdr:from>
    <xdr:to>
      <xdr:col>3</xdr:col>
      <xdr:colOff>82550</xdr:colOff>
      <xdr:row>1719</xdr:row>
      <xdr:rowOff>12700</xdr:rowOff>
    </xdr:to>
    <xdr:pic>
      <xdr:nvPicPr>
        <xdr:cNvPr id="420" name="Control 515">
          <a:extLst>
            <a:ext uri="{FF2B5EF4-FFF2-40B4-BE49-F238E27FC236}">
              <a16:creationId xmlns:a16="http://schemas.microsoft.com/office/drawing/2014/main" xmlns="" id="{00000000-0008-0000-0600-0000A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5473100"/>
          <a:ext cx="82550" cy="177800"/>
        </a:xfrm>
        <a:prstGeom prst="rect">
          <a:avLst/>
        </a:prstGeom>
        <a:noFill/>
        <a:ln w="9525">
          <a:miter lim="800000"/>
          <a:headEnd/>
          <a:tailEnd/>
        </a:ln>
      </xdr:spPr>
    </xdr:pic>
    <xdr:clientData/>
  </xdr:twoCellAnchor>
  <xdr:twoCellAnchor editAs="oneCell">
    <xdr:from>
      <xdr:col>3</xdr:col>
      <xdr:colOff>0</xdr:colOff>
      <xdr:row>1724</xdr:row>
      <xdr:rowOff>76200</xdr:rowOff>
    </xdr:from>
    <xdr:to>
      <xdr:col>3</xdr:col>
      <xdr:colOff>82550</xdr:colOff>
      <xdr:row>1725</xdr:row>
      <xdr:rowOff>76200</xdr:rowOff>
    </xdr:to>
    <xdr:pic>
      <xdr:nvPicPr>
        <xdr:cNvPr id="422" name="Control 517">
          <a:extLst>
            <a:ext uri="{FF2B5EF4-FFF2-40B4-BE49-F238E27FC236}">
              <a16:creationId xmlns:a16="http://schemas.microsoft.com/office/drawing/2014/main" xmlns="" id="{00000000-0008-0000-0600-0000A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6603400"/>
          <a:ext cx="82550" cy="177800"/>
        </a:xfrm>
        <a:prstGeom prst="rect">
          <a:avLst/>
        </a:prstGeom>
        <a:noFill/>
        <a:ln w="9525">
          <a:miter lim="800000"/>
          <a:headEnd/>
          <a:tailEnd/>
        </a:ln>
      </xdr:spPr>
    </xdr:pic>
    <xdr:clientData/>
  </xdr:twoCellAnchor>
  <xdr:twoCellAnchor editAs="oneCell">
    <xdr:from>
      <xdr:col>3</xdr:col>
      <xdr:colOff>0</xdr:colOff>
      <xdr:row>1731</xdr:row>
      <xdr:rowOff>38100</xdr:rowOff>
    </xdr:from>
    <xdr:to>
      <xdr:col>3</xdr:col>
      <xdr:colOff>82550</xdr:colOff>
      <xdr:row>1732</xdr:row>
      <xdr:rowOff>38100</xdr:rowOff>
    </xdr:to>
    <xdr:pic>
      <xdr:nvPicPr>
        <xdr:cNvPr id="424" name="Control 519">
          <a:extLst>
            <a:ext uri="{FF2B5EF4-FFF2-40B4-BE49-F238E27FC236}">
              <a16:creationId xmlns:a16="http://schemas.microsoft.com/office/drawing/2014/main" xmlns="" id="{00000000-0008-0000-0600-0000A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7809900"/>
          <a:ext cx="82550" cy="177800"/>
        </a:xfrm>
        <a:prstGeom prst="rect">
          <a:avLst/>
        </a:prstGeom>
        <a:noFill/>
        <a:ln w="9525">
          <a:miter lim="800000"/>
          <a:headEnd/>
          <a:tailEnd/>
        </a:ln>
      </xdr:spPr>
    </xdr:pic>
    <xdr:clientData/>
  </xdr:twoCellAnchor>
  <xdr:twoCellAnchor editAs="oneCell">
    <xdr:from>
      <xdr:col>3</xdr:col>
      <xdr:colOff>0</xdr:colOff>
      <xdr:row>1738</xdr:row>
      <xdr:rowOff>19050</xdr:rowOff>
    </xdr:from>
    <xdr:to>
      <xdr:col>3</xdr:col>
      <xdr:colOff>82550</xdr:colOff>
      <xdr:row>1739</xdr:row>
      <xdr:rowOff>19050</xdr:rowOff>
    </xdr:to>
    <xdr:pic>
      <xdr:nvPicPr>
        <xdr:cNvPr id="426" name="Control 521">
          <a:extLst>
            <a:ext uri="{FF2B5EF4-FFF2-40B4-BE49-F238E27FC236}">
              <a16:creationId xmlns:a16="http://schemas.microsoft.com/office/drawing/2014/main" xmlns="" id="{00000000-0008-0000-0600-0000A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09035450"/>
          <a:ext cx="82550" cy="177800"/>
        </a:xfrm>
        <a:prstGeom prst="rect">
          <a:avLst/>
        </a:prstGeom>
        <a:noFill/>
        <a:ln w="9525">
          <a:miter lim="800000"/>
          <a:headEnd/>
          <a:tailEnd/>
        </a:ln>
      </xdr:spPr>
    </xdr:pic>
    <xdr:clientData/>
  </xdr:twoCellAnchor>
  <xdr:twoCellAnchor editAs="oneCell">
    <xdr:from>
      <xdr:col>3</xdr:col>
      <xdr:colOff>0</xdr:colOff>
      <xdr:row>1744</xdr:row>
      <xdr:rowOff>76200</xdr:rowOff>
    </xdr:from>
    <xdr:to>
      <xdr:col>3</xdr:col>
      <xdr:colOff>82550</xdr:colOff>
      <xdr:row>1745</xdr:row>
      <xdr:rowOff>76200</xdr:rowOff>
    </xdr:to>
    <xdr:pic>
      <xdr:nvPicPr>
        <xdr:cNvPr id="428" name="Control 523">
          <a:extLst>
            <a:ext uri="{FF2B5EF4-FFF2-40B4-BE49-F238E27FC236}">
              <a16:creationId xmlns:a16="http://schemas.microsoft.com/office/drawing/2014/main" xmlns="" id="{00000000-0008-0000-0600-0000A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0159400"/>
          <a:ext cx="82550" cy="177800"/>
        </a:xfrm>
        <a:prstGeom prst="rect">
          <a:avLst/>
        </a:prstGeom>
        <a:noFill/>
        <a:ln w="9525">
          <a:miter lim="800000"/>
          <a:headEnd/>
          <a:tailEnd/>
        </a:ln>
      </xdr:spPr>
    </xdr:pic>
    <xdr:clientData/>
  </xdr:twoCellAnchor>
  <xdr:twoCellAnchor editAs="oneCell">
    <xdr:from>
      <xdr:col>3</xdr:col>
      <xdr:colOff>0</xdr:colOff>
      <xdr:row>1751</xdr:row>
      <xdr:rowOff>44450</xdr:rowOff>
    </xdr:from>
    <xdr:to>
      <xdr:col>3</xdr:col>
      <xdr:colOff>82550</xdr:colOff>
      <xdr:row>1752</xdr:row>
      <xdr:rowOff>44450</xdr:rowOff>
    </xdr:to>
    <xdr:pic>
      <xdr:nvPicPr>
        <xdr:cNvPr id="430" name="Control 525">
          <a:extLst>
            <a:ext uri="{FF2B5EF4-FFF2-40B4-BE49-F238E27FC236}">
              <a16:creationId xmlns:a16="http://schemas.microsoft.com/office/drawing/2014/main" xmlns="" id="{00000000-0008-0000-0600-0000A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1372250"/>
          <a:ext cx="82550" cy="177800"/>
        </a:xfrm>
        <a:prstGeom prst="rect">
          <a:avLst/>
        </a:prstGeom>
        <a:noFill/>
        <a:ln w="9525">
          <a:miter lim="800000"/>
          <a:headEnd/>
          <a:tailEnd/>
        </a:ln>
      </xdr:spPr>
    </xdr:pic>
    <xdr:clientData/>
  </xdr:twoCellAnchor>
  <xdr:twoCellAnchor editAs="oneCell">
    <xdr:from>
      <xdr:col>3</xdr:col>
      <xdr:colOff>0</xdr:colOff>
      <xdr:row>1758</xdr:row>
      <xdr:rowOff>31750</xdr:rowOff>
    </xdr:from>
    <xdr:to>
      <xdr:col>3</xdr:col>
      <xdr:colOff>82550</xdr:colOff>
      <xdr:row>1759</xdr:row>
      <xdr:rowOff>31750</xdr:rowOff>
    </xdr:to>
    <xdr:pic>
      <xdr:nvPicPr>
        <xdr:cNvPr id="432" name="Control 527">
          <a:extLst>
            <a:ext uri="{FF2B5EF4-FFF2-40B4-BE49-F238E27FC236}">
              <a16:creationId xmlns:a16="http://schemas.microsoft.com/office/drawing/2014/main" xmlns="" id="{00000000-0008-0000-0600-0000B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2604150"/>
          <a:ext cx="82550" cy="177800"/>
        </a:xfrm>
        <a:prstGeom prst="rect">
          <a:avLst/>
        </a:prstGeom>
        <a:noFill/>
        <a:ln w="9525">
          <a:miter lim="800000"/>
          <a:headEnd/>
          <a:tailEnd/>
        </a:ln>
      </xdr:spPr>
    </xdr:pic>
    <xdr:clientData/>
  </xdr:twoCellAnchor>
  <xdr:twoCellAnchor editAs="oneCell">
    <xdr:from>
      <xdr:col>3</xdr:col>
      <xdr:colOff>0</xdr:colOff>
      <xdr:row>1765</xdr:row>
      <xdr:rowOff>6350</xdr:rowOff>
    </xdr:from>
    <xdr:to>
      <xdr:col>3</xdr:col>
      <xdr:colOff>82550</xdr:colOff>
      <xdr:row>1766</xdr:row>
      <xdr:rowOff>6350</xdr:rowOff>
    </xdr:to>
    <xdr:pic>
      <xdr:nvPicPr>
        <xdr:cNvPr id="434" name="Control 529">
          <a:extLst>
            <a:ext uri="{FF2B5EF4-FFF2-40B4-BE49-F238E27FC236}">
              <a16:creationId xmlns:a16="http://schemas.microsoft.com/office/drawing/2014/main" xmlns="" id="{00000000-0008-0000-0600-0000B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3823350"/>
          <a:ext cx="82550" cy="177800"/>
        </a:xfrm>
        <a:prstGeom prst="rect">
          <a:avLst/>
        </a:prstGeom>
        <a:noFill/>
        <a:ln w="9525">
          <a:miter lim="800000"/>
          <a:headEnd/>
          <a:tailEnd/>
        </a:ln>
      </xdr:spPr>
    </xdr:pic>
    <xdr:clientData/>
  </xdr:twoCellAnchor>
  <xdr:twoCellAnchor editAs="oneCell">
    <xdr:from>
      <xdr:col>3</xdr:col>
      <xdr:colOff>0</xdr:colOff>
      <xdr:row>1771</xdr:row>
      <xdr:rowOff>44450</xdr:rowOff>
    </xdr:from>
    <xdr:to>
      <xdr:col>3</xdr:col>
      <xdr:colOff>82550</xdr:colOff>
      <xdr:row>1772</xdr:row>
      <xdr:rowOff>44450</xdr:rowOff>
    </xdr:to>
    <xdr:pic>
      <xdr:nvPicPr>
        <xdr:cNvPr id="436" name="Control 531">
          <a:extLst>
            <a:ext uri="{FF2B5EF4-FFF2-40B4-BE49-F238E27FC236}">
              <a16:creationId xmlns:a16="http://schemas.microsoft.com/office/drawing/2014/main" xmlns="" id="{00000000-0008-0000-0600-0000B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4928250"/>
          <a:ext cx="82550" cy="177800"/>
        </a:xfrm>
        <a:prstGeom prst="rect">
          <a:avLst/>
        </a:prstGeom>
        <a:noFill/>
        <a:ln w="9525">
          <a:miter lim="800000"/>
          <a:headEnd/>
          <a:tailEnd/>
        </a:ln>
      </xdr:spPr>
    </xdr:pic>
    <xdr:clientData/>
  </xdr:twoCellAnchor>
  <xdr:twoCellAnchor editAs="oneCell">
    <xdr:from>
      <xdr:col>3</xdr:col>
      <xdr:colOff>0</xdr:colOff>
      <xdr:row>1777</xdr:row>
      <xdr:rowOff>76200</xdr:rowOff>
    </xdr:from>
    <xdr:to>
      <xdr:col>3</xdr:col>
      <xdr:colOff>82550</xdr:colOff>
      <xdr:row>1778</xdr:row>
      <xdr:rowOff>76200</xdr:rowOff>
    </xdr:to>
    <xdr:pic>
      <xdr:nvPicPr>
        <xdr:cNvPr id="438" name="Control 533">
          <a:extLst>
            <a:ext uri="{FF2B5EF4-FFF2-40B4-BE49-F238E27FC236}">
              <a16:creationId xmlns:a16="http://schemas.microsoft.com/office/drawing/2014/main" xmlns="" id="{00000000-0008-0000-0600-0000B6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6026800"/>
          <a:ext cx="82550" cy="177800"/>
        </a:xfrm>
        <a:prstGeom prst="rect">
          <a:avLst/>
        </a:prstGeom>
        <a:noFill/>
        <a:ln w="9525">
          <a:miter lim="800000"/>
          <a:headEnd/>
          <a:tailEnd/>
        </a:ln>
      </xdr:spPr>
    </xdr:pic>
    <xdr:clientData/>
  </xdr:twoCellAnchor>
  <xdr:twoCellAnchor editAs="oneCell">
    <xdr:from>
      <xdr:col>3</xdr:col>
      <xdr:colOff>0</xdr:colOff>
      <xdr:row>1784</xdr:row>
      <xdr:rowOff>57150</xdr:rowOff>
    </xdr:from>
    <xdr:to>
      <xdr:col>3</xdr:col>
      <xdr:colOff>82550</xdr:colOff>
      <xdr:row>1785</xdr:row>
      <xdr:rowOff>57150</xdr:rowOff>
    </xdr:to>
    <xdr:pic>
      <xdr:nvPicPr>
        <xdr:cNvPr id="440" name="Control 535">
          <a:extLst>
            <a:ext uri="{FF2B5EF4-FFF2-40B4-BE49-F238E27FC236}">
              <a16:creationId xmlns:a16="http://schemas.microsoft.com/office/drawing/2014/main" xmlns="" id="{00000000-0008-0000-0600-0000B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7252350"/>
          <a:ext cx="82550" cy="177800"/>
        </a:xfrm>
        <a:prstGeom prst="rect">
          <a:avLst/>
        </a:prstGeom>
        <a:noFill/>
        <a:ln w="9525">
          <a:miter lim="800000"/>
          <a:headEnd/>
          <a:tailEnd/>
        </a:ln>
      </xdr:spPr>
    </xdr:pic>
    <xdr:clientData/>
  </xdr:twoCellAnchor>
  <xdr:twoCellAnchor editAs="oneCell">
    <xdr:from>
      <xdr:col>3</xdr:col>
      <xdr:colOff>0</xdr:colOff>
      <xdr:row>1791</xdr:row>
      <xdr:rowOff>25400</xdr:rowOff>
    </xdr:from>
    <xdr:to>
      <xdr:col>3</xdr:col>
      <xdr:colOff>82550</xdr:colOff>
      <xdr:row>1792</xdr:row>
      <xdr:rowOff>25400</xdr:rowOff>
    </xdr:to>
    <xdr:pic>
      <xdr:nvPicPr>
        <xdr:cNvPr id="442" name="Control 537">
          <a:extLst>
            <a:ext uri="{FF2B5EF4-FFF2-40B4-BE49-F238E27FC236}">
              <a16:creationId xmlns:a16="http://schemas.microsoft.com/office/drawing/2014/main" xmlns="" id="{00000000-0008-0000-0600-0000BA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8465200"/>
          <a:ext cx="82550" cy="177800"/>
        </a:xfrm>
        <a:prstGeom prst="rect">
          <a:avLst/>
        </a:prstGeom>
        <a:noFill/>
        <a:ln w="9525">
          <a:miter lim="800000"/>
          <a:headEnd/>
          <a:tailEnd/>
        </a:ln>
      </xdr:spPr>
    </xdr:pic>
    <xdr:clientData/>
  </xdr:twoCellAnchor>
  <xdr:twoCellAnchor editAs="oneCell">
    <xdr:from>
      <xdr:col>3</xdr:col>
      <xdr:colOff>0</xdr:colOff>
      <xdr:row>1797</xdr:row>
      <xdr:rowOff>76200</xdr:rowOff>
    </xdr:from>
    <xdr:to>
      <xdr:col>3</xdr:col>
      <xdr:colOff>82550</xdr:colOff>
      <xdr:row>1798</xdr:row>
      <xdr:rowOff>76200</xdr:rowOff>
    </xdr:to>
    <xdr:pic>
      <xdr:nvPicPr>
        <xdr:cNvPr id="444" name="Control 539">
          <a:extLst>
            <a:ext uri="{FF2B5EF4-FFF2-40B4-BE49-F238E27FC236}">
              <a16:creationId xmlns:a16="http://schemas.microsoft.com/office/drawing/2014/main" xmlns="" id="{00000000-0008-0000-0600-0000B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19582800"/>
          <a:ext cx="82550" cy="177800"/>
        </a:xfrm>
        <a:prstGeom prst="rect">
          <a:avLst/>
        </a:prstGeom>
        <a:noFill/>
        <a:ln w="9525">
          <a:miter lim="800000"/>
          <a:headEnd/>
          <a:tailEnd/>
        </a:ln>
      </xdr:spPr>
    </xdr:pic>
    <xdr:clientData/>
  </xdr:twoCellAnchor>
  <xdr:twoCellAnchor editAs="oneCell">
    <xdr:from>
      <xdr:col>3</xdr:col>
      <xdr:colOff>0</xdr:colOff>
      <xdr:row>1804</xdr:row>
      <xdr:rowOff>38100</xdr:rowOff>
    </xdr:from>
    <xdr:to>
      <xdr:col>3</xdr:col>
      <xdr:colOff>82550</xdr:colOff>
      <xdr:row>1805</xdr:row>
      <xdr:rowOff>38100</xdr:rowOff>
    </xdr:to>
    <xdr:pic>
      <xdr:nvPicPr>
        <xdr:cNvPr id="446" name="Control 541">
          <a:extLst>
            <a:ext uri="{FF2B5EF4-FFF2-40B4-BE49-F238E27FC236}">
              <a16:creationId xmlns:a16="http://schemas.microsoft.com/office/drawing/2014/main" xmlns="" id="{00000000-0008-0000-0600-0000BE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0789300"/>
          <a:ext cx="82550" cy="177800"/>
        </a:xfrm>
        <a:prstGeom prst="rect">
          <a:avLst/>
        </a:prstGeom>
        <a:noFill/>
        <a:ln w="9525">
          <a:miter lim="800000"/>
          <a:headEnd/>
          <a:tailEnd/>
        </a:ln>
      </xdr:spPr>
    </xdr:pic>
    <xdr:clientData/>
  </xdr:twoCellAnchor>
  <xdr:twoCellAnchor editAs="oneCell">
    <xdr:from>
      <xdr:col>3</xdr:col>
      <xdr:colOff>0</xdr:colOff>
      <xdr:row>1811</xdr:row>
      <xdr:rowOff>50800</xdr:rowOff>
    </xdr:from>
    <xdr:to>
      <xdr:col>3</xdr:col>
      <xdr:colOff>82550</xdr:colOff>
      <xdr:row>1812</xdr:row>
      <xdr:rowOff>50800</xdr:rowOff>
    </xdr:to>
    <xdr:pic>
      <xdr:nvPicPr>
        <xdr:cNvPr id="7264" name="Control 543">
          <a:extLst>
            <a:ext uri="{FF2B5EF4-FFF2-40B4-BE49-F238E27FC236}">
              <a16:creationId xmlns:a16="http://schemas.microsoft.com/office/drawing/2014/main" xmlns="" id="{00000000-0008-0000-0600-00006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2046600"/>
          <a:ext cx="82550" cy="177800"/>
        </a:xfrm>
        <a:prstGeom prst="rect">
          <a:avLst/>
        </a:prstGeom>
        <a:noFill/>
        <a:ln w="9525">
          <a:miter lim="800000"/>
          <a:headEnd/>
          <a:tailEnd/>
        </a:ln>
      </xdr:spPr>
    </xdr:pic>
    <xdr:clientData/>
  </xdr:twoCellAnchor>
  <xdr:twoCellAnchor editAs="oneCell">
    <xdr:from>
      <xdr:col>3</xdr:col>
      <xdr:colOff>0</xdr:colOff>
      <xdr:row>1817</xdr:row>
      <xdr:rowOff>88900</xdr:rowOff>
    </xdr:from>
    <xdr:to>
      <xdr:col>3</xdr:col>
      <xdr:colOff>82550</xdr:colOff>
      <xdr:row>1818</xdr:row>
      <xdr:rowOff>88900</xdr:rowOff>
    </xdr:to>
    <xdr:pic>
      <xdr:nvPicPr>
        <xdr:cNvPr id="7266" name="Control 545">
          <a:extLst>
            <a:ext uri="{FF2B5EF4-FFF2-40B4-BE49-F238E27FC236}">
              <a16:creationId xmlns:a16="http://schemas.microsoft.com/office/drawing/2014/main" xmlns="" id="{00000000-0008-0000-0600-00006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3151500"/>
          <a:ext cx="82550" cy="177800"/>
        </a:xfrm>
        <a:prstGeom prst="rect">
          <a:avLst/>
        </a:prstGeom>
        <a:noFill/>
        <a:ln w="9525">
          <a:miter lim="800000"/>
          <a:headEnd/>
          <a:tailEnd/>
        </a:ln>
      </xdr:spPr>
    </xdr:pic>
    <xdr:clientData/>
  </xdr:twoCellAnchor>
  <xdr:twoCellAnchor editAs="oneCell">
    <xdr:from>
      <xdr:col>3</xdr:col>
      <xdr:colOff>0</xdr:colOff>
      <xdr:row>1824</xdr:row>
      <xdr:rowOff>57150</xdr:rowOff>
    </xdr:from>
    <xdr:to>
      <xdr:col>3</xdr:col>
      <xdr:colOff>82550</xdr:colOff>
      <xdr:row>1825</xdr:row>
      <xdr:rowOff>57150</xdr:rowOff>
    </xdr:to>
    <xdr:pic>
      <xdr:nvPicPr>
        <xdr:cNvPr id="7268" name="Control 547">
          <a:extLst>
            <a:ext uri="{FF2B5EF4-FFF2-40B4-BE49-F238E27FC236}">
              <a16:creationId xmlns:a16="http://schemas.microsoft.com/office/drawing/2014/main" xmlns="" id="{00000000-0008-0000-0600-00006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4364350"/>
          <a:ext cx="82550" cy="177800"/>
        </a:xfrm>
        <a:prstGeom prst="rect">
          <a:avLst/>
        </a:prstGeom>
        <a:noFill/>
        <a:ln w="9525">
          <a:miter lim="800000"/>
          <a:headEnd/>
          <a:tailEnd/>
        </a:ln>
      </xdr:spPr>
    </xdr:pic>
    <xdr:clientData/>
  </xdr:twoCellAnchor>
  <xdr:twoCellAnchor editAs="oneCell">
    <xdr:from>
      <xdr:col>3</xdr:col>
      <xdr:colOff>0</xdr:colOff>
      <xdr:row>1831</xdr:row>
      <xdr:rowOff>6350</xdr:rowOff>
    </xdr:from>
    <xdr:to>
      <xdr:col>3</xdr:col>
      <xdr:colOff>82550</xdr:colOff>
      <xdr:row>1832</xdr:row>
      <xdr:rowOff>6350</xdr:rowOff>
    </xdr:to>
    <xdr:pic>
      <xdr:nvPicPr>
        <xdr:cNvPr id="7270" name="Control 549">
          <a:extLst>
            <a:ext uri="{FF2B5EF4-FFF2-40B4-BE49-F238E27FC236}">
              <a16:creationId xmlns:a16="http://schemas.microsoft.com/office/drawing/2014/main" xmlns="" id="{00000000-0008-0000-0600-00006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5558150"/>
          <a:ext cx="82550" cy="177800"/>
        </a:xfrm>
        <a:prstGeom prst="rect">
          <a:avLst/>
        </a:prstGeom>
        <a:noFill/>
        <a:ln w="9525">
          <a:miter lim="800000"/>
          <a:headEnd/>
          <a:tailEnd/>
        </a:ln>
      </xdr:spPr>
    </xdr:pic>
    <xdr:clientData/>
  </xdr:twoCellAnchor>
  <xdr:twoCellAnchor editAs="oneCell">
    <xdr:from>
      <xdr:col>3</xdr:col>
      <xdr:colOff>0</xdr:colOff>
      <xdr:row>1838</xdr:row>
      <xdr:rowOff>19050</xdr:rowOff>
    </xdr:from>
    <xdr:to>
      <xdr:col>3</xdr:col>
      <xdr:colOff>82550</xdr:colOff>
      <xdr:row>1839</xdr:row>
      <xdr:rowOff>19050</xdr:rowOff>
    </xdr:to>
    <xdr:pic>
      <xdr:nvPicPr>
        <xdr:cNvPr id="7272" name="Control 551">
          <a:extLst>
            <a:ext uri="{FF2B5EF4-FFF2-40B4-BE49-F238E27FC236}">
              <a16:creationId xmlns:a16="http://schemas.microsoft.com/office/drawing/2014/main" xmlns="" id="{00000000-0008-0000-0600-00006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6815450"/>
          <a:ext cx="82550" cy="177800"/>
        </a:xfrm>
        <a:prstGeom prst="rect">
          <a:avLst/>
        </a:prstGeom>
        <a:noFill/>
        <a:ln w="9525">
          <a:miter lim="800000"/>
          <a:headEnd/>
          <a:tailEnd/>
        </a:ln>
      </xdr:spPr>
    </xdr:pic>
    <xdr:clientData/>
  </xdr:twoCellAnchor>
  <xdr:twoCellAnchor editAs="oneCell">
    <xdr:from>
      <xdr:col>3</xdr:col>
      <xdr:colOff>0</xdr:colOff>
      <xdr:row>1844</xdr:row>
      <xdr:rowOff>38100</xdr:rowOff>
    </xdr:from>
    <xdr:to>
      <xdr:col>3</xdr:col>
      <xdr:colOff>82550</xdr:colOff>
      <xdr:row>1845</xdr:row>
      <xdr:rowOff>38100</xdr:rowOff>
    </xdr:to>
    <xdr:pic>
      <xdr:nvPicPr>
        <xdr:cNvPr id="7274" name="Control 553">
          <a:extLst>
            <a:ext uri="{FF2B5EF4-FFF2-40B4-BE49-F238E27FC236}">
              <a16:creationId xmlns:a16="http://schemas.microsoft.com/office/drawing/2014/main" xmlns="" id="{00000000-0008-0000-0600-00006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7901300"/>
          <a:ext cx="82550" cy="177800"/>
        </a:xfrm>
        <a:prstGeom prst="rect">
          <a:avLst/>
        </a:prstGeom>
        <a:noFill/>
        <a:ln w="9525">
          <a:miter lim="800000"/>
          <a:headEnd/>
          <a:tailEnd/>
        </a:ln>
      </xdr:spPr>
    </xdr:pic>
    <xdr:clientData/>
  </xdr:twoCellAnchor>
  <xdr:twoCellAnchor editAs="oneCell">
    <xdr:from>
      <xdr:col>0</xdr:col>
      <xdr:colOff>0</xdr:colOff>
      <xdr:row>1851</xdr:row>
      <xdr:rowOff>19050</xdr:rowOff>
    </xdr:from>
    <xdr:to>
      <xdr:col>0</xdr:col>
      <xdr:colOff>82550</xdr:colOff>
      <xdr:row>1852</xdr:row>
      <xdr:rowOff>19050</xdr:rowOff>
    </xdr:to>
    <xdr:pic>
      <xdr:nvPicPr>
        <xdr:cNvPr id="7276" name="Control 567">
          <a:extLst>
            <a:ext uri="{FF2B5EF4-FFF2-40B4-BE49-F238E27FC236}">
              <a16:creationId xmlns:a16="http://schemas.microsoft.com/office/drawing/2014/main" xmlns="" id="{00000000-0008-0000-0600-00006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29126850"/>
          <a:ext cx="82550" cy="177800"/>
        </a:xfrm>
        <a:prstGeom prst="rect">
          <a:avLst/>
        </a:prstGeom>
        <a:noFill/>
        <a:ln w="9525">
          <a:miter lim="800000"/>
          <a:headEnd/>
          <a:tailEnd/>
        </a:ln>
      </xdr:spPr>
    </xdr:pic>
    <xdr:clientData/>
  </xdr:twoCellAnchor>
  <xdr:twoCellAnchor editAs="oneCell">
    <xdr:from>
      <xdr:col>0</xdr:col>
      <xdr:colOff>0</xdr:colOff>
      <xdr:row>1857</xdr:row>
      <xdr:rowOff>76200</xdr:rowOff>
    </xdr:from>
    <xdr:to>
      <xdr:col>0</xdr:col>
      <xdr:colOff>82550</xdr:colOff>
      <xdr:row>1858</xdr:row>
      <xdr:rowOff>76200</xdr:rowOff>
    </xdr:to>
    <xdr:pic>
      <xdr:nvPicPr>
        <xdr:cNvPr id="7278" name="Control 569">
          <a:extLst>
            <a:ext uri="{FF2B5EF4-FFF2-40B4-BE49-F238E27FC236}">
              <a16:creationId xmlns:a16="http://schemas.microsoft.com/office/drawing/2014/main" xmlns="" id="{00000000-0008-0000-0600-00006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0250800"/>
          <a:ext cx="82550" cy="177800"/>
        </a:xfrm>
        <a:prstGeom prst="rect">
          <a:avLst/>
        </a:prstGeom>
        <a:noFill/>
        <a:ln w="9525">
          <a:miter lim="800000"/>
          <a:headEnd/>
          <a:tailEnd/>
        </a:ln>
      </xdr:spPr>
    </xdr:pic>
    <xdr:clientData/>
  </xdr:twoCellAnchor>
  <xdr:twoCellAnchor editAs="oneCell">
    <xdr:from>
      <xdr:col>0</xdr:col>
      <xdr:colOff>0</xdr:colOff>
      <xdr:row>1864</xdr:row>
      <xdr:rowOff>38100</xdr:rowOff>
    </xdr:from>
    <xdr:to>
      <xdr:col>0</xdr:col>
      <xdr:colOff>82550</xdr:colOff>
      <xdr:row>1865</xdr:row>
      <xdr:rowOff>38100</xdr:rowOff>
    </xdr:to>
    <xdr:pic>
      <xdr:nvPicPr>
        <xdr:cNvPr id="7280" name="Control 571">
          <a:extLst>
            <a:ext uri="{FF2B5EF4-FFF2-40B4-BE49-F238E27FC236}">
              <a16:creationId xmlns:a16="http://schemas.microsoft.com/office/drawing/2014/main" xmlns="" id="{00000000-0008-0000-0600-000070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1457300"/>
          <a:ext cx="82550" cy="177800"/>
        </a:xfrm>
        <a:prstGeom prst="rect">
          <a:avLst/>
        </a:prstGeom>
        <a:noFill/>
        <a:ln w="9525">
          <a:miter lim="800000"/>
          <a:headEnd/>
          <a:tailEnd/>
        </a:ln>
      </xdr:spPr>
    </xdr:pic>
    <xdr:clientData/>
  </xdr:twoCellAnchor>
  <xdr:twoCellAnchor editAs="oneCell">
    <xdr:from>
      <xdr:col>0</xdr:col>
      <xdr:colOff>0</xdr:colOff>
      <xdr:row>1871</xdr:row>
      <xdr:rowOff>31750</xdr:rowOff>
    </xdr:from>
    <xdr:to>
      <xdr:col>0</xdr:col>
      <xdr:colOff>82550</xdr:colOff>
      <xdr:row>1872</xdr:row>
      <xdr:rowOff>31750</xdr:rowOff>
    </xdr:to>
    <xdr:pic>
      <xdr:nvPicPr>
        <xdr:cNvPr id="7282" name="Control 573">
          <a:extLst>
            <a:ext uri="{FF2B5EF4-FFF2-40B4-BE49-F238E27FC236}">
              <a16:creationId xmlns:a16="http://schemas.microsoft.com/office/drawing/2014/main" xmlns="" id="{00000000-0008-0000-0600-000072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2695550"/>
          <a:ext cx="82550" cy="177800"/>
        </a:xfrm>
        <a:prstGeom prst="rect">
          <a:avLst/>
        </a:prstGeom>
        <a:noFill/>
        <a:ln w="9525">
          <a:miter lim="800000"/>
          <a:headEnd/>
          <a:tailEnd/>
        </a:ln>
      </xdr:spPr>
    </xdr:pic>
    <xdr:clientData/>
  </xdr:twoCellAnchor>
  <xdr:twoCellAnchor editAs="oneCell">
    <xdr:from>
      <xdr:col>0</xdr:col>
      <xdr:colOff>0</xdr:colOff>
      <xdr:row>1877</xdr:row>
      <xdr:rowOff>76200</xdr:rowOff>
    </xdr:from>
    <xdr:to>
      <xdr:col>0</xdr:col>
      <xdr:colOff>82550</xdr:colOff>
      <xdr:row>1878</xdr:row>
      <xdr:rowOff>76200</xdr:rowOff>
    </xdr:to>
    <xdr:pic>
      <xdr:nvPicPr>
        <xdr:cNvPr id="7284" name="Control 575">
          <a:extLst>
            <a:ext uri="{FF2B5EF4-FFF2-40B4-BE49-F238E27FC236}">
              <a16:creationId xmlns:a16="http://schemas.microsoft.com/office/drawing/2014/main" xmlns="" id="{00000000-0008-0000-0600-000074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3806800"/>
          <a:ext cx="82550" cy="177800"/>
        </a:xfrm>
        <a:prstGeom prst="rect">
          <a:avLst/>
        </a:prstGeom>
        <a:noFill/>
        <a:ln w="9525">
          <a:miter lim="800000"/>
          <a:headEnd/>
          <a:tailEnd/>
        </a:ln>
      </xdr:spPr>
    </xdr:pic>
    <xdr:clientData/>
  </xdr:twoCellAnchor>
  <xdr:twoCellAnchor editAs="oneCell">
    <xdr:from>
      <xdr:col>0</xdr:col>
      <xdr:colOff>0</xdr:colOff>
      <xdr:row>1884</xdr:row>
      <xdr:rowOff>50800</xdr:rowOff>
    </xdr:from>
    <xdr:to>
      <xdr:col>0</xdr:col>
      <xdr:colOff>82550</xdr:colOff>
      <xdr:row>1885</xdr:row>
      <xdr:rowOff>50800</xdr:rowOff>
    </xdr:to>
    <xdr:pic>
      <xdr:nvPicPr>
        <xdr:cNvPr id="7286" name="Control 577">
          <a:extLst>
            <a:ext uri="{FF2B5EF4-FFF2-40B4-BE49-F238E27FC236}">
              <a16:creationId xmlns:a16="http://schemas.microsoft.com/office/drawing/2014/main" xmlns="" id="{00000000-0008-0000-0600-000076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5026000"/>
          <a:ext cx="82550" cy="177800"/>
        </a:xfrm>
        <a:prstGeom prst="rect">
          <a:avLst/>
        </a:prstGeom>
        <a:noFill/>
        <a:ln w="9525">
          <a:miter lim="800000"/>
          <a:headEnd/>
          <a:tailEnd/>
        </a:ln>
      </xdr:spPr>
    </xdr:pic>
    <xdr:clientData/>
  </xdr:twoCellAnchor>
  <xdr:twoCellAnchor editAs="oneCell">
    <xdr:from>
      <xdr:col>3</xdr:col>
      <xdr:colOff>0</xdr:colOff>
      <xdr:row>1851</xdr:row>
      <xdr:rowOff>19050</xdr:rowOff>
    </xdr:from>
    <xdr:to>
      <xdr:col>3</xdr:col>
      <xdr:colOff>82550</xdr:colOff>
      <xdr:row>1852</xdr:row>
      <xdr:rowOff>19050</xdr:rowOff>
    </xdr:to>
    <xdr:pic>
      <xdr:nvPicPr>
        <xdr:cNvPr id="7288" name="Control 591">
          <a:extLst>
            <a:ext uri="{FF2B5EF4-FFF2-40B4-BE49-F238E27FC236}">
              <a16:creationId xmlns:a16="http://schemas.microsoft.com/office/drawing/2014/main" xmlns="" id="{00000000-0008-0000-0600-000078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29126850"/>
          <a:ext cx="82550" cy="177800"/>
        </a:xfrm>
        <a:prstGeom prst="rect">
          <a:avLst/>
        </a:prstGeom>
        <a:noFill/>
        <a:ln w="9525">
          <a:miter lim="800000"/>
          <a:headEnd/>
          <a:tailEnd/>
        </a:ln>
      </xdr:spPr>
    </xdr:pic>
    <xdr:clientData/>
  </xdr:twoCellAnchor>
  <xdr:twoCellAnchor editAs="oneCell">
    <xdr:from>
      <xdr:col>3</xdr:col>
      <xdr:colOff>0</xdr:colOff>
      <xdr:row>1857</xdr:row>
      <xdr:rowOff>76200</xdr:rowOff>
    </xdr:from>
    <xdr:to>
      <xdr:col>3</xdr:col>
      <xdr:colOff>82550</xdr:colOff>
      <xdr:row>1858</xdr:row>
      <xdr:rowOff>76200</xdr:rowOff>
    </xdr:to>
    <xdr:pic>
      <xdr:nvPicPr>
        <xdr:cNvPr id="7290" name="Control 593">
          <a:extLst>
            <a:ext uri="{FF2B5EF4-FFF2-40B4-BE49-F238E27FC236}">
              <a16:creationId xmlns:a16="http://schemas.microsoft.com/office/drawing/2014/main" xmlns="" id="{00000000-0008-0000-0600-00007A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0250800"/>
          <a:ext cx="82550" cy="177800"/>
        </a:xfrm>
        <a:prstGeom prst="rect">
          <a:avLst/>
        </a:prstGeom>
        <a:noFill/>
        <a:ln w="9525">
          <a:miter lim="800000"/>
          <a:headEnd/>
          <a:tailEnd/>
        </a:ln>
      </xdr:spPr>
    </xdr:pic>
    <xdr:clientData/>
  </xdr:twoCellAnchor>
  <xdr:twoCellAnchor editAs="oneCell">
    <xdr:from>
      <xdr:col>3</xdr:col>
      <xdr:colOff>0</xdr:colOff>
      <xdr:row>1864</xdr:row>
      <xdr:rowOff>38100</xdr:rowOff>
    </xdr:from>
    <xdr:to>
      <xdr:col>3</xdr:col>
      <xdr:colOff>82550</xdr:colOff>
      <xdr:row>1865</xdr:row>
      <xdr:rowOff>38100</xdr:rowOff>
    </xdr:to>
    <xdr:pic>
      <xdr:nvPicPr>
        <xdr:cNvPr id="7292" name="Control 595">
          <a:extLst>
            <a:ext uri="{FF2B5EF4-FFF2-40B4-BE49-F238E27FC236}">
              <a16:creationId xmlns:a16="http://schemas.microsoft.com/office/drawing/2014/main" xmlns="" id="{00000000-0008-0000-0600-00007C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1457300"/>
          <a:ext cx="82550" cy="177800"/>
        </a:xfrm>
        <a:prstGeom prst="rect">
          <a:avLst/>
        </a:prstGeom>
        <a:noFill/>
        <a:ln w="9525">
          <a:miter lim="800000"/>
          <a:headEnd/>
          <a:tailEnd/>
        </a:ln>
      </xdr:spPr>
    </xdr:pic>
    <xdr:clientData/>
  </xdr:twoCellAnchor>
  <xdr:twoCellAnchor editAs="oneCell">
    <xdr:from>
      <xdr:col>3</xdr:col>
      <xdr:colOff>0</xdr:colOff>
      <xdr:row>1871</xdr:row>
      <xdr:rowOff>31750</xdr:rowOff>
    </xdr:from>
    <xdr:to>
      <xdr:col>3</xdr:col>
      <xdr:colOff>82550</xdr:colOff>
      <xdr:row>1872</xdr:row>
      <xdr:rowOff>31750</xdr:rowOff>
    </xdr:to>
    <xdr:pic>
      <xdr:nvPicPr>
        <xdr:cNvPr id="7294" name="Control 597">
          <a:extLst>
            <a:ext uri="{FF2B5EF4-FFF2-40B4-BE49-F238E27FC236}">
              <a16:creationId xmlns:a16="http://schemas.microsoft.com/office/drawing/2014/main" xmlns="" id="{00000000-0008-0000-0600-00007E1C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2695550"/>
          <a:ext cx="82550" cy="177800"/>
        </a:xfrm>
        <a:prstGeom prst="rect">
          <a:avLst/>
        </a:prstGeom>
        <a:noFill/>
        <a:ln w="9525">
          <a:miter lim="800000"/>
          <a:headEnd/>
          <a:tailEnd/>
        </a:ln>
      </xdr:spPr>
    </xdr:pic>
    <xdr:clientData/>
  </xdr:twoCellAnchor>
  <xdr:twoCellAnchor editAs="oneCell">
    <xdr:from>
      <xdr:col>3</xdr:col>
      <xdr:colOff>0</xdr:colOff>
      <xdr:row>1877</xdr:row>
      <xdr:rowOff>76200</xdr:rowOff>
    </xdr:from>
    <xdr:to>
      <xdr:col>3</xdr:col>
      <xdr:colOff>82550</xdr:colOff>
      <xdr:row>1878</xdr:row>
      <xdr:rowOff>76200</xdr:rowOff>
    </xdr:to>
    <xdr:pic>
      <xdr:nvPicPr>
        <xdr:cNvPr id="448" name="Control 599">
          <a:extLst>
            <a:ext uri="{FF2B5EF4-FFF2-40B4-BE49-F238E27FC236}">
              <a16:creationId xmlns:a16="http://schemas.microsoft.com/office/drawing/2014/main" xmlns="" id="{00000000-0008-0000-0600-0000C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3806800"/>
          <a:ext cx="82550" cy="177800"/>
        </a:xfrm>
        <a:prstGeom prst="rect">
          <a:avLst/>
        </a:prstGeom>
        <a:noFill/>
        <a:ln w="9525">
          <a:miter lim="800000"/>
          <a:headEnd/>
          <a:tailEnd/>
        </a:ln>
      </xdr:spPr>
    </xdr:pic>
    <xdr:clientData/>
  </xdr:twoCellAnchor>
  <xdr:twoCellAnchor editAs="oneCell">
    <xdr:from>
      <xdr:col>3</xdr:col>
      <xdr:colOff>0</xdr:colOff>
      <xdr:row>1884</xdr:row>
      <xdr:rowOff>50800</xdr:rowOff>
    </xdr:from>
    <xdr:to>
      <xdr:col>3</xdr:col>
      <xdr:colOff>82550</xdr:colOff>
      <xdr:row>1885</xdr:row>
      <xdr:rowOff>50800</xdr:rowOff>
    </xdr:to>
    <xdr:pic>
      <xdr:nvPicPr>
        <xdr:cNvPr id="450" name="Control 601">
          <a:extLst>
            <a:ext uri="{FF2B5EF4-FFF2-40B4-BE49-F238E27FC236}">
              <a16:creationId xmlns:a16="http://schemas.microsoft.com/office/drawing/2014/main" xmlns="" id="{00000000-0008-0000-0600-0000C2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847850" y="335026000"/>
          <a:ext cx="82550" cy="177800"/>
        </a:xfrm>
        <a:prstGeom prst="rect">
          <a:avLst/>
        </a:prstGeom>
        <a:noFill/>
        <a:ln w="9525">
          <a:miter lim="800000"/>
          <a:headEnd/>
          <a:tailEnd/>
        </a:ln>
      </xdr:spPr>
    </xdr:pic>
    <xdr:clientData/>
  </xdr:twoCellAnchor>
</xdr:wsDr>
</file>

<file path=xl/tables/table1.xml><?xml version="1.0" encoding="utf-8"?>
<table xmlns="http://schemas.openxmlformats.org/spreadsheetml/2006/main" id="1" name="Table1" displayName="Table1" ref="A1:Z226" totalsRowShown="0" headerRowDxfId="27" dataDxfId="26">
  <autoFilter ref="A1:Z226"/>
  <sortState ref="A2:Z226">
    <sortCondition ref="D1:D226"/>
  </sortState>
  <tableColumns count="26">
    <tableColumn id="1" name="Project Title" dataDxfId="25"/>
    <tableColumn id="2" name="  Subcontract Number/Order Number/Grant Number" dataDxfId="24"/>
    <tableColumn id="3" name="Contract Number" dataDxfId="23"/>
    <tableColumn id="4" name="Start Year" dataDxfId="22"/>
    <tableColumn id="5" name="End Year" dataDxfId="21"/>
    <tableColumn id="6" name="ISO3 Code" dataDxfId="20"/>
    <tableColumn id="7" name="Region" dataDxfId="19"/>
    <tableColumn id="8" name="Country" dataDxfId="18"/>
    <tableColumn id="9" name="Client/ Donor" dataDxfId="17"/>
    <tableColumn id="10" name="Prime" dataDxfId="16"/>
    <tableColumn id="11" name="Sub" dataDxfId="15"/>
    <tableColumn id="12" name="Contract Value USD" dataDxfId="14"/>
    <tableColumn id="13" name="M&amp;E" dataDxfId="13"/>
    <tableColumn id="14" name="Education, Gender, and Youth Development" dataDxfId="12"/>
    <tableColumn id="15" name="Security, Transparency, and Governance" dataDxfId="11"/>
    <tableColumn id="16" name="Energy and Environment" dataDxfId="10"/>
    <tableColumn id="17" name="Knowledge Management and Data Analytics" dataDxfId="9"/>
    <tableColumn id="18" name="Public Financial Management and Fiscal Sustainability_x000a_" dataDxfId="8"/>
    <tableColumn id="19" name="Brief Description" dataDxfId="7"/>
    <tableColumn id="20" name="Link to the document file" dataDxfId="6"/>
    <tableColumn id="21" name="Point of contact " dataDxfId="5"/>
    <tableColumn id="22" name="Email " dataDxfId="4"/>
    <tableColumn id="23" name="Phone" dataDxfId="3"/>
    <tableColumn id="24" name="Link" dataDxfId="2"/>
    <tableColumn id="25" name="Document Title" dataDxfId="1"/>
    <tableColumn id="26" name="Is Current Project? (true/false)"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01" Type="http://schemas.openxmlformats.org/officeDocument/2006/relationships/hyperlink" Target="http://pdf.usaid.gov/pdf_docs/pdabd729.pdf" TargetMode="External"/><Relationship Id="rId102" Type="http://schemas.openxmlformats.org/officeDocument/2006/relationships/hyperlink" Target="http://ghana.worlded.org/Docs/usaid_shape_evaluation.pdf" TargetMode="External"/><Relationship Id="rId103" Type="http://schemas.openxmlformats.org/officeDocument/2006/relationships/hyperlink" Target="http://pdf.usaid.gov/pdf_docs/pnadk759.pdf" TargetMode="External"/><Relationship Id="rId104" Type="http://schemas.openxmlformats.org/officeDocument/2006/relationships/hyperlink" Target="http://pdf.usaid.gov/pdf_docs/pdaca190.pdf" TargetMode="External"/><Relationship Id="rId105" Type="http://schemas.openxmlformats.org/officeDocument/2006/relationships/hyperlink" Target="http://pdf.usaid.gov/pdf_docs/pdabb998.pdf" TargetMode="External"/><Relationship Id="rId106" Type="http://schemas.openxmlformats.org/officeDocument/2006/relationships/hyperlink" Target="http://pdf.usaid.gov/pdf_docs/pbaab494.pdf" TargetMode="External"/><Relationship Id="rId107" Type="http://schemas.openxmlformats.org/officeDocument/2006/relationships/hyperlink" Target="http://pdf.usaid.gov/pdf_docs/pdaco498.pdf" TargetMode="External"/><Relationship Id="rId1" Type="http://schemas.openxmlformats.org/officeDocument/2006/relationships/hyperlink" Target="file://///DEV-FILE01/Main/Projects/Project%20documents/Cyprus%20Biodiversity%20Assessment/cyprus_2006_faa-119-biodiversity-analysis.pdf" TargetMode="External"/><Relationship Id="rId2" Type="http://schemas.openxmlformats.org/officeDocument/2006/relationships/hyperlink" Target="file://///DEV-FILE01/Main/Projects/Project%20documents/EADS" TargetMode="External"/><Relationship Id="rId3" Type="http://schemas.openxmlformats.org/officeDocument/2006/relationships/hyperlink" Target="http://www.devtechsys.com/images/eyd/benin-reform-of-the-primary-education-system.pdf" TargetMode="External"/><Relationship Id="rId4" Type="http://schemas.openxmlformats.org/officeDocument/2006/relationships/hyperlink" Target="file://///DEV-FILE01/Main/Projects/Project%20documents/USAID_Senegal_MidBasicEd/senegal-middle-basic-education-program-mid-term-assessment.pdf" TargetMode="External"/><Relationship Id="rId5" Type="http://schemas.openxmlformats.org/officeDocument/2006/relationships/hyperlink" Target="file://///DEV-FILE01/Main/Projects/Project%20documents/ALPP_Liberia/alpp-mid-term-evaluation.pdf" TargetMode="External"/><Relationship Id="rId6" Type="http://schemas.openxmlformats.org/officeDocument/2006/relationships/hyperlink" Target="file://///DEV-FILE01/Main/Projects/Project%20documents/Development%20Info%20Services" TargetMode="External"/><Relationship Id="rId7" Type="http://schemas.openxmlformats.org/officeDocument/2006/relationships/hyperlink" Target="file://///DEV-FILE01/Main/Projects/Project%20documents/Ed_portfolio_mid-term_perform_review_DR/pdacu985.pdf" TargetMode="External"/><Relationship Id="rId8" Type="http://schemas.openxmlformats.org/officeDocument/2006/relationships/hyperlink" Target="file://///DEV-FILE01/Main/Projects/Project%20documents/Child_Labor_Elimination_Columbia" TargetMode="External"/><Relationship Id="rId9" Type="http://schemas.openxmlformats.org/officeDocument/2006/relationships/hyperlink" Target="file://///DEV-FILE01/Main/Projects/Project%20documents/Pilot%20Program%20to%20Support%20M&amp;SE%20in%20El-Salvador/el-salvador-reactivation-of-micro-small-and-medium-businesses.pdf" TargetMode="External"/><Relationship Id="rId108" Type="http://schemas.openxmlformats.org/officeDocument/2006/relationships/hyperlink" Target="http://pdf.usaid.gov/pdf_docs/pdacm655.pdf" TargetMode="External"/><Relationship Id="rId109" Type="http://schemas.openxmlformats.org/officeDocument/2006/relationships/hyperlink" Target="http://pdf.usaid.gov/pdf_docs/pa00jd9w.pdf" TargetMode="External"/><Relationship Id="rId10" Type="http://schemas.openxmlformats.org/officeDocument/2006/relationships/hyperlink" Target="mailto:eads@usaid.gov" TargetMode="External"/><Relationship Id="rId11" Type="http://schemas.openxmlformats.org/officeDocument/2006/relationships/hyperlink" Target="mailto:eads@usaid.gov" TargetMode="External"/><Relationship Id="rId12" Type="http://schemas.openxmlformats.org/officeDocument/2006/relationships/hyperlink" Target="mailto:speakersbureau@worldbank.org" TargetMode="External"/><Relationship Id="rId13" Type="http://schemas.openxmlformats.org/officeDocument/2006/relationships/hyperlink" Target="mailto:fisher_james_w@bah.com" TargetMode="External"/><Relationship Id="rId14" Type="http://schemas.openxmlformats.org/officeDocument/2006/relationships/hyperlink" Target="mailto:infomf@minfin.gov.ua" TargetMode="External"/><Relationship Id="rId15" Type="http://schemas.openxmlformats.org/officeDocument/2006/relationships/hyperlink" Target="mailto:eads@usaid.gov" TargetMode="External"/><Relationship Id="rId16" Type="http://schemas.openxmlformats.org/officeDocument/2006/relationships/hyperlink" Target="mailto:info@fbihvlada.gov.ba" TargetMode="External"/><Relationship Id="rId17" Type="http://schemas.openxmlformats.org/officeDocument/2006/relationships/hyperlink" Target="mailto:contact_us@cctr.bir.gov.ph" TargetMode="External"/><Relationship Id="rId18" Type="http://schemas.openxmlformats.org/officeDocument/2006/relationships/hyperlink" Target="mailto:marcela_andrade@hacienda.gob.mx" TargetMode="External"/><Relationship Id="rId19" Type="http://schemas.openxmlformats.org/officeDocument/2006/relationships/hyperlink" Target="mailto:freymillerhs@mcc.gov" TargetMode="External"/><Relationship Id="rId30" Type="http://schemas.openxmlformats.org/officeDocument/2006/relationships/hyperlink" Target="mailto:hilldk@state.gov" TargetMode="External"/><Relationship Id="rId31" Type="http://schemas.openxmlformats.org/officeDocument/2006/relationships/hyperlink" Target="file://///DEV-FILE01/Main/Projects/Project%20documents/Ghana%20Education%20PAGE%202010/Reports%20to%20USAID" TargetMode="External"/><Relationship Id="rId32" Type="http://schemas.openxmlformats.org/officeDocument/2006/relationships/hyperlink" Target="file://///DEV-FILE01/Main/Projects/Project%20documents/PPL%20Service%20Center/PCSC_54%20Month_finaledited.pdf" TargetMode="External"/><Relationship Id="rId33" Type="http://schemas.openxmlformats.org/officeDocument/2006/relationships/hyperlink" Target="file://///DEV-FILE01/Main/Projects/Project%20documents/Jordan%20Mid-Evaluation%20ERSP/ERSP%20Mid-Term%20Evaluation%20Revised%20Report%2023Dec2011-%20Final.pdf" TargetMode="External"/><Relationship Id="rId34" Type="http://schemas.openxmlformats.org/officeDocument/2006/relationships/hyperlink" Target="file://///DEV-FILE01/Main/Projects/Project%20documents/Ghana%20M&amp;E%20Services" TargetMode="External"/><Relationship Id="rId35" Type="http://schemas.openxmlformats.org/officeDocument/2006/relationships/hyperlink" Target="file://///DEV-FILE01/Main/Projects/Project%20documents/Dominican%C3%82%C2%A0Republic%20Tri%20Project%20Evaluation/DR-CAFTA%20Evaluation%20Report%20FINAL.pdf" TargetMode="External"/><Relationship Id="rId36" Type="http://schemas.openxmlformats.org/officeDocument/2006/relationships/hyperlink" Target="file://///DEV-FILE01/Main/Projects/Project%20documents/Guatemala%20Final%20and%20Mid-Term%20Performance%20Evaluation%20for%20Economic%20Growth%20Office%20Assorted%20Projects/Submitted%20to%20the%20Mission" TargetMode="External"/><Relationship Id="rId37" Type="http://schemas.openxmlformats.org/officeDocument/2006/relationships/hyperlink" Target="file://///DEV-FILE01/Main/Projects/Project%20documents/Egypt_Final%20Performance%20Evaluation%20of%20the%20education%20Support%20Program%20(ESP)/Submitted" TargetMode="External"/><Relationship Id="rId38" Type="http://schemas.openxmlformats.org/officeDocument/2006/relationships/hyperlink" Target="https://dec.usaid.gov/dec/search/searchresults_clearcriteria.aspx?q=ZG9jdW1lbnRzLmNvbnRyYWN0X2dyYW50X251bWJlcjooIjUxMS1DLTAwLTAzLTAwMjM2LTAwIik=&amp;qcf=ODVhZjk4NWQtM2YyMi00YjRmLTkxNjktZTcxMjM2NDBmY2Uy" TargetMode="External"/><Relationship Id="rId39" Type="http://schemas.openxmlformats.org/officeDocument/2006/relationships/hyperlink" Target="https://www.microlinks.org/sites/microlinks/files/resource/files/ML4812_aimvc_guatemala.pdf" TargetMode="External"/><Relationship Id="rId50" Type="http://schemas.openxmlformats.org/officeDocument/2006/relationships/hyperlink" Target="file://///DEV-FILE01/Main/Projects/Project%20documents/USAID_BasicEdEv_Kyr_Taj_Uzb/car-evaluation-of-usaid-basic-education-program.pdf"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TargetMode="External"/><Relationship Id="rId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73" Type="http://schemas.openxmlformats.org/officeDocument/2006/relationships/hyperlink" Target="https://www.ustda.gov/library/reports/requested/KEN_200410042A_v2.pdf" TargetMode="External"/><Relationship Id="rId74" Type="http://schemas.openxmlformats.org/officeDocument/2006/relationships/hyperlink" Target="file://///DEV-FILE01/Main/Projects/Project%20documents/Curriculum%C3%82%C2%A0Development%20Assessment%20for%20the%20Foreign%20Service%20Institute/FINAL_Curriculum%20Development%20Report_DevTech%20Systems%20Inc.pdf" TargetMode="External"/><Relationship Id="rId75" Type="http://schemas.openxmlformats.org/officeDocument/2006/relationships/hyperlink" Target="mailto:williamsee3@state.gov" TargetMode="External"/><Relationship Id="rId76" Type="http://schemas.openxmlformats.org/officeDocument/2006/relationships/hyperlink" Target="mailto:ccali@devtechsys.com" TargetMode="External"/><Relationship Id="rId77" Type="http://schemas.openxmlformats.org/officeDocument/2006/relationships/hyperlink" Target="mailto:msaidu@devtechsys.com" TargetMode="External"/><Relationship Id="rId78" Type="http://schemas.openxmlformats.org/officeDocument/2006/relationships/hyperlink" Target="mailto:lmccaw@devtechsys.com" TargetMode="External"/><Relationship Id="rId79" Type="http://schemas.openxmlformats.org/officeDocument/2006/relationships/hyperlink" Target="mailto:lmccaw@devtechsys.com" TargetMode="External"/><Relationship Id="rId110" Type="http://schemas.openxmlformats.org/officeDocument/2006/relationships/hyperlink" Target="http://pdf.usaid.gov/pdf_docs/pnacu613.pdf" TargetMode="External"/><Relationship Id="rId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91" Type="http://schemas.openxmlformats.org/officeDocument/2006/relationships/hyperlink" Target="http://www.sbaic.org/devtech-evaluation-apec-laboratory-capacity-program-collaboration-and-learning-food-safety" TargetMode="External"/><Relationship Id="rId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93" Type="http://schemas.openxmlformats.org/officeDocument/2006/relationships/hyperlink" Target="http://pdf.usaid.gov/pdf_docs/pdacu507.pdf" TargetMode="External"/><Relationship Id="rId94" Type="http://schemas.openxmlformats.org/officeDocument/2006/relationships/hyperlink" Target="http://pdf.usaid.gov/pdf_docs/pdacd514.pdf" TargetMode="External"/><Relationship Id="rId95" Type="http://schemas.openxmlformats.org/officeDocument/2006/relationships/hyperlink" Target="http://pdf.usaid.gov/pdf_docs/pdabz085.pdf" TargetMode="External"/><Relationship Id="rId96" Type="http://schemas.openxmlformats.org/officeDocument/2006/relationships/hyperlink" Target="http://pdf.usaid.gov/pdf_docs/pnacq676.pdf" TargetMode="External"/><Relationship Id="rId97" Type="http://schemas.openxmlformats.org/officeDocument/2006/relationships/hyperlink" Target="http://pdf.usaid.gov/pdf_docs/pdacn142.pdf" TargetMode="External"/><Relationship Id="rId98" Type="http://schemas.openxmlformats.org/officeDocument/2006/relationships/hyperlink" Target="http://pdf.usaid.gov/pdf_docs/pdach965.pdf" TargetMode="External"/><Relationship Id="rId99" Type="http://schemas.openxmlformats.org/officeDocument/2006/relationships/hyperlink" Target="http://pdf.usaid.gov/pdf_docs/pdach965.pdf" TargetMode="External"/><Relationship Id="rId111"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MzNDMz&amp;qcf=ODVhZjk4NWQtM2YyMi00YjRmLTkxNjktZTcxMjM2NDBmY2Uy&amp;ph=VHJ1ZQ==&amp;bckToL=VHJ1ZQ==&amp;" TargetMode="External"/><Relationship Id="rId112"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1ODM5&amp;qcf=ODVhZjk4NWQtM2YyMi00YjRmLTkxNjktZTcxMjM2NDBmY2Uy&amp;ph=VHJ1ZQ==&amp;bckToL=VHJ1ZQ==&amp;" TargetMode="External"/><Relationship Id="rId113" Type="http://schemas.openxmlformats.org/officeDocument/2006/relationships/hyperlink" Target="https://dec.usaid.gov/dec/content/Detail.aspx?q=KERvY3VtZW50cy5JbnN0aXR1dGlvbl9vcl9VU0FJRF9CdXJlYXVfQXV0aG9yOigoIjAwOTA1NCAtIERldlRlY2ggU3lzdGVtcywgSW5jLiIpIE9SICgiMDA1OTMxIC0gRGV2ZWxvcG1lbnQgVGVjaG5vbG9naWVzLCBJbmMuIChEZXZUZWNoKSIpKSk=&amp;ctID=ODVhZjk4NWQtM2YyMi00YjRmLTkxNjktZTcxMjM2NDBmY2Uy&amp;rID=MjQ5NjY1&amp;qcf=ODVhZjk4NWQtM2YyMi00YjRmLTkxNjktZTcxMjM2NDBmY2Uy&amp;ph=VHJ1ZQ==&amp;bckToL=VHJ1ZQ==&amp;" TargetMode="External"/><Relationship Id="rId114" Type="http://schemas.openxmlformats.org/officeDocument/2006/relationships/hyperlink" Target="https://www.usaid.gov/sites/default/files/documents/1860/USAID-Senegal%20BPA%20for%20Local%20Capacity%20Development%20%28RFP%20SOL-685-15-000036%29.pdf" TargetMode="External"/><Relationship Id="rId1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16" Type="http://schemas.openxmlformats.org/officeDocument/2006/relationships/hyperlink" Target="mailto:pmedina@devtechsys.com" TargetMode="External"/><Relationship Id="rId117" Type="http://schemas.openxmlformats.org/officeDocument/2006/relationships/table" Target="../tables/table1.xml"/><Relationship Id="rId20" Type="http://schemas.openxmlformats.org/officeDocument/2006/relationships/hyperlink" Target="file://///DEV-FILE01/Main/Projects/Project%20documents/Columbia%20MEP/Final%20Report,%20Monitoring%20and%20Evaluation%20Program,%2015%20Jan%202014.pdf" TargetMode="External"/><Relationship Id="rId21" Type="http://schemas.openxmlformats.org/officeDocument/2006/relationships/hyperlink" Target="file://///DEV-FILE01/Main/Projects/Project%20documents/CARS%20Nicaragua/CARS%20FY2016Q3%20Quarterly%20Performance%20Report.pdf" TargetMode="External"/><Relationship Id="rId22" Type="http://schemas.openxmlformats.org/officeDocument/2006/relationships/hyperlink" Target="file://///DEV-FILE01/Main/Projects/Project%20documents/Columbia%20RoL" TargetMode="External"/><Relationship Id="rId23" Type="http://schemas.openxmlformats.org/officeDocument/2006/relationships/hyperlink" Target="mailto:CollinsSE@STATE.GOV" TargetMode="External"/><Relationship Id="rId24" Type="http://schemas.openxmlformats.org/officeDocument/2006/relationships/hyperlink" Target="file://///DEV-FILE01/Main/Projects/Project%20documents/Evaluation%20INL%20Products%20and%20Services/DevTech%20Systems%20Inc_INR%20Final%20Report.2013-11-27.pdf" TargetMode="External"/><Relationship Id="rId25" Type="http://schemas.openxmlformats.org/officeDocument/2006/relationships/hyperlink" Target="file://///DEV-FILE01/Main/Projects/Project%20documents/Curriculum%C3%82%C2%A0Development%20Assessment%20for%20the%20Foreign%20Service%20Institute/FINAL_Curriculum%20Development%20Report_DevTech%20Systems%20Inc.pdf" TargetMode="External"/><Relationship Id="rId26" Type="http://schemas.openxmlformats.org/officeDocument/2006/relationships/hyperlink" Target="mailto:williamsee3@state.gov" TargetMode="External"/><Relationship Id="rId27" Type="http://schemas.openxmlformats.org/officeDocument/2006/relationships/hyperlink" Target="mailto:hilldk@state.gov" TargetMode="External"/><Relationship Id="rId28" Type="http://schemas.openxmlformats.org/officeDocument/2006/relationships/hyperlink" Target="file://///DEV-FILE01/Main/Projects/Project%20documents/A%20SUMMATIVE%20EVALUATION%20OF%20INTERNATIONAL%20NARCOTICS%20CONTROL%20AND%20LAW%20ENFORCEMENT%20(INCLE)-FUNDED%20CARIBBEAN%20BASIN%20SECURITY%20INITIATIVE%20(CBSI)%20ACTIVITIES/DevTech_CBSI%20INL%20Summative%20Evaluation_FINAL_23%20Sept.%202015.pdf" TargetMode="External"/><Relationship Id="rId29" Type="http://schemas.openxmlformats.org/officeDocument/2006/relationships/hyperlink" Target="file://///DEV-FILE01/Main/Projects/Project%20documents/Impact%20Evalaution%20of%20ATA%20program/FINAL%20EVALUATION%20REPORT" TargetMode="External"/><Relationship Id="rId40" Type="http://schemas.openxmlformats.org/officeDocument/2006/relationships/hyperlink" Target="http://pdf.usaid.gov/pdf_docs/Pnacj014.pdf" TargetMode="External"/><Relationship Id="rId41" Type="http://schemas.openxmlformats.org/officeDocument/2006/relationships/hyperlink" Target="http://pdf.usaid.gov/pdf_docs/PDACG495.pdf"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44" Type="http://schemas.openxmlformats.org/officeDocument/2006/relationships/hyperlink" Target="file://///DEV-FILE01/Main/Projects/Project%20documents/ABE-BE%20Egypt-Evaluation_LEAD_Program/pa00m7nn.pdf" TargetMode="External"/><Relationship Id="rId45" Type="http://schemas.openxmlformats.org/officeDocument/2006/relationships/hyperlink" Target="file://///DEV-FILE01/Main/Projects/Project%20documents/Decentralization&amp;Local%20Governance_Guatemala" TargetMode="External"/><Relationship Id="rId46" Type="http://schemas.openxmlformats.org/officeDocument/2006/relationships/hyperlink" Target="file://///DEV-FILE01/Main/Projects/Project%20documents/Early%20Childhood%20Education%20in%20Pakistan-EvaluationReport/PDACK938.pdf"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48" Type="http://schemas.openxmlformats.org/officeDocument/2006/relationships/hyperlink" Target="file://///DEV-FILE01/Main/Projects/Project%20documents/Gender_STTA&amp;Trainings/Gender%20Assessment/2006/west-africa_2006_wawi_lessons_from_gender_mainstreaming.pdf" TargetMode="External"/><Relationship Id="rId49" Type="http://schemas.openxmlformats.org/officeDocument/2006/relationships/hyperlink" Target="file://///DEV-FILE01/Main/Projects/Project%20documents/USAID_BasicEdEv_Kyr_Taj_Uzb/car-evaluation-of-usaid-basic-education-program.pdf"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68" Type="http://schemas.openxmlformats.org/officeDocument/2006/relationships/hyperlink" Target="http://pdf.usaid.gov/pdf_docs/PDABP618.pdf" TargetMode="External"/><Relationship Id="rId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100" Type="http://schemas.openxmlformats.org/officeDocument/2006/relationships/hyperlink" Target="http://pdf.usaid.gov/pdf_docs/pa00k4tw.pdf" TargetMode="External"/><Relationship Id="rId80" Type="http://schemas.openxmlformats.org/officeDocument/2006/relationships/hyperlink" Target="mailto:ccali@devtechsys.com" TargetMode="External"/><Relationship Id="rId81" Type="http://schemas.openxmlformats.org/officeDocument/2006/relationships/hyperlink" Target="http://www.devtechsys.com/images/eyd/senegal-middle-basic-education-program-mid-term-assessment.pdf" TargetMode="External"/><Relationship Id="rId82" Type="http://schemas.openxmlformats.org/officeDocument/2006/relationships/hyperlink" Target="http://www.devtechsys.com/images/eame/moldova_2007_faa-119-biodiversity-analysis.pdf" TargetMode="External"/><Relationship Id="rId83" Type="http://schemas.openxmlformats.org/officeDocument/2006/relationships/hyperlink" Target="http://www.devtechsys.com/images/projects/el-salvador-reactivation-of-micro-small-and-medium-businesses.pdf" TargetMode="External"/><Relationship Id="rId84" Type="http://schemas.openxmlformats.org/officeDocument/2006/relationships/hyperlink" Target="mailto:lmccaw@devtechsys.com" TargetMode="External"/><Relationship Id="rId85" Type="http://schemas.openxmlformats.org/officeDocument/2006/relationships/hyperlink" Target="mailto:rmantel@devtechsys.com" TargetMode="External"/><Relationship Id="rId86" Type="http://schemas.openxmlformats.org/officeDocument/2006/relationships/hyperlink" Target="http://pdf.usaid.gov/pdf_docs/Pnadg736.pdf" TargetMode="External"/><Relationship Id="rId87" Type="http://schemas.openxmlformats.org/officeDocument/2006/relationships/hyperlink" Target="mailto:eads@usaid.gov" TargetMode="External"/><Relationship Id="rId88" Type="http://schemas.openxmlformats.org/officeDocument/2006/relationships/hyperlink" Target="mailto:jonathan.hoyes@fema.dhs.gov" TargetMode="External"/><Relationship Id="rId89" Type="http://schemas.openxmlformats.org/officeDocument/2006/relationships/hyperlink" Target="http://pdf.usaid.gov/pdf_docs/pdabe658.pdf" TargetMode="External"/></Relationships>
</file>

<file path=xl/worksheets/_rels/sheet2.xml.rels><?xml version="1.0" encoding="UTF-8" standalone="yes"?>
<Relationships xmlns="http://schemas.openxmlformats.org/package/2006/relationships"><Relationship Id="rId1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TargetMode="External"/><Relationship Id="rId1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TargetMode="External"/><Relationship Id="rId1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TargetMode="External"/><Relationship Id="rId1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TargetMode="External"/><Relationship Id="rId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TargetMode="External"/><Relationship Id="rId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TargetMode="External"/><Relationship Id="rId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TargetMode="External"/><Relationship Id="rId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TargetMode="External"/><Relationship Id="rId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TargetMode="External"/><Relationship Id="rId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TargetMode="External"/><Relationship Id="rId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TargetMode="External"/><Relationship Id="rId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TargetMode="External"/><Relationship Id="rId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TargetMode="External"/><Relationship Id="rId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TargetMode="External"/><Relationship Id="rId1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TargetMode="External"/><Relationship Id="rId1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TargetMode="External"/><Relationship Id="rId1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TargetMode="External"/><Relationship Id="rId1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TargetMode="External"/><Relationship Id="rId1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TargetMode="External"/><Relationship Id="rId1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TargetMode="External"/><Relationship Id="rId1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TargetMode="External"/><Relationship Id="rId1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TargetMode="External"/><Relationship Id="rId17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TargetMode="External"/><Relationship Id="rId17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TargetMode="External"/><Relationship Id="rId2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TargetMode="External"/><Relationship Id="rId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TargetMode="External"/><Relationship Id="rId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TargetMode="External"/><Relationship Id="rId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TargetMode="External"/><Relationship Id="rId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TargetMode="External"/><Relationship Id="rId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TargetMode="External"/><Relationship Id="rId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TargetMode="External"/><Relationship Id="rId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TargetMode="External"/><Relationship Id="rId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TargetMode="External"/><Relationship Id="rId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TargetMode="External"/><Relationship Id="rId2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TargetMode="External"/><Relationship Id="rId2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TargetMode="External"/><Relationship Id="rId2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TargetMode="External"/><Relationship Id="rId2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TargetMode="External"/><Relationship Id="rId1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TargetMode="External"/><Relationship Id="rId1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TargetMode="External"/><Relationship Id="rId1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TargetMode="External"/><Relationship Id="rId1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TargetMode="External"/><Relationship Id="rId1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TargetMode="External"/><Relationship Id="rId1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TargetMode="External"/><Relationship Id="rId1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TargetMode="External"/><Relationship Id="rId1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TargetMode="External"/><Relationship Id="rId1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TargetMode="External"/><Relationship Id="rId1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TargetMode="External"/><Relationship Id="rId2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TargetMode="External"/><Relationship Id="rId2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TargetMode="External"/><Relationship Id="rId2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TargetMode="External"/><Relationship Id="rId2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TargetMode="External"/><Relationship Id="rId2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TargetMode="External"/><Relationship Id="rId2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TargetMode="External"/><Relationship Id="rId20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TargetMode="External"/><Relationship Id="rId20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TargetMode="External"/><Relationship Id="rId20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TargetMode="External"/><Relationship Id="rId20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TargetMode="External"/><Relationship Id="rId2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TargetMode="External"/><Relationship Id="rId2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TargetMode="External"/><Relationship Id="rId2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TargetMode="External"/><Relationship Id="rId2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TargetMode="External"/><Relationship Id="rId2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TargetMode="External"/><Relationship Id="rId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TargetMode="External"/><Relationship Id="rId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TargetMode="External"/><Relationship Id="rId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TargetMode="External"/><Relationship Id="rId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TargetMode="External"/><Relationship Id="rId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TargetMode="External"/><Relationship Id="rId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TargetMode="External"/><Relationship Id="rId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TargetMode="External"/><Relationship Id="rId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TargetMode="External"/><Relationship Id="rId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TargetMode="External"/><Relationship Id="rId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TargetMode="External"/><Relationship Id="rId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TargetMode="External"/><Relationship Id="rId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TargetMode="External"/><Relationship Id="rId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TargetMode="External"/><Relationship Id="rId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TargetMode="External"/><Relationship Id="rId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TargetMode="External"/><Relationship Id="rId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TargetMode="External"/><Relationship Id="rId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TargetMode="External"/><Relationship Id="rId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TargetMode="External"/><Relationship Id="rId18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TargetMode="External"/><Relationship Id="rId18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TargetMode="External"/><Relationship Id="rId18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TargetMode="External"/><Relationship Id="rId18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TargetMode="External"/><Relationship Id="rId18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TargetMode="External"/><Relationship Id="rId18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TargetMode="External"/><Relationship Id="rId18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TargetMode="External"/><Relationship Id="rId18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TargetMode="External"/><Relationship Id="rId18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TargetMode="External"/><Relationship Id="rId18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TargetMode="External"/><Relationship Id="rId27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TargetMode="External"/><Relationship Id="rId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TargetMode="External"/><Relationship Id="rId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TargetMode="External"/><Relationship Id="rId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TargetMode="External"/><Relationship Id="rId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TargetMode="External"/><Relationship Id="rId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TargetMode="External"/><Relationship Id="rId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TargetMode="External"/><Relationship Id="rId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TargetMode="External"/><Relationship Id="rId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TargetMode="External"/><Relationship Id="rId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TargetMode="External"/><Relationship Id="rId27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TargetMode="External"/><Relationship Id="rId27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TargetMode="External"/><Relationship Id="rId27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TargetMode="External"/><Relationship Id="rId27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TargetMode="External"/><Relationship Id="rId1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TargetMode="External"/><Relationship Id="rId1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TargetMode="External"/><Relationship Id="rId1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TargetMode="External"/><Relationship Id="rId1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TargetMode="External"/><Relationship Id="rId1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TargetMode="External"/><Relationship Id="rId1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TargetMode="External"/><Relationship Id="rId1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TargetMode="External"/><Relationship Id="rId1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TargetMode="External"/><Relationship Id="rId1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TargetMode="External"/><Relationship Id="rId1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TargetMode="External"/><Relationship Id="rId21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TargetMode="External"/><Relationship Id="rId21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TargetMode="External"/><Relationship Id="rId21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TargetMode="External"/><Relationship Id="rId21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TargetMode="External"/><Relationship Id="rId21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TargetMode="External"/><Relationship Id="rId21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TargetMode="External"/><Relationship Id="rId21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TargetMode="External"/><Relationship Id="rId21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TargetMode="External"/><Relationship Id="rId21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TargetMode="External"/><Relationship Id="rId21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TargetMode="External"/><Relationship Id="rId27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TargetMode="External"/><Relationship Id="rId27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TargetMode="External"/><Relationship Id="rId27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TargetMode="External"/><Relationship Id="rId278" Type="http://schemas.openxmlformats.org/officeDocument/2006/relationships/hyperlink" Target="https://dec.usaid.gov/dec/content/Detail.aspx?q=ZG9jdW1lbnRzLnBlcnNvbmFsX2F1dGhvcjooIlNhbmd1aW5ldHR5LCBKb3JnZSBBLiIp&amp;ctID=ODVhZjk4NWQtM2YyMi00YjRmLTkxNjktZTcxMjM2NDBmY2Uy&amp;rID=MjY2MTM4&amp;qcf=ODVhZjk4NWQtM2YyMi00YjRmLTkxNjktZTcxMjM2NDBmY2Uy&amp;ph=VHJ1ZQ==&amp;bckToL=VHJ1ZQ==&amp;" TargetMode="External"/><Relationship Id="rId279" Type="http://schemas.openxmlformats.org/officeDocument/2006/relationships/hyperlink" Target="https://dec.usaid.gov/dec/content/Detail.aspx?q=ZG9jdW1lbnRzLnBlcnNvbmFsX2F1dGhvcjooIlNhbmd1aW5ldHR5LCBKb3JnZSBBLiIp&amp;ctID=ODVhZjk4NWQtM2YyMi00YjRmLTkxNjktZTcxMjM2NDBmY2Uy&amp;rID=MjIxNzk4&amp;qcf=ODVhZjk4NWQtM2YyMi00YjRmLTkxNjktZTcxMjM2NDBmY2Uy&amp;ph=VHJ1ZQ==&amp;bckToL=VHJ1ZQ==&amp;" TargetMode="External"/><Relationship Id="rId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TargetMode="External"/><Relationship Id="rId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TargetMode="External"/><Relationship Id="rId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TargetMode="External"/><Relationship Id="rId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TargetMode="External"/><Relationship Id="rId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TargetMode="External"/><Relationship Id="rId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TargetMode="External"/><Relationship Id="rId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TargetMode="External"/><Relationship Id="rId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TargetMode="External"/><Relationship Id="rId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TargetMode="External"/><Relationship Id="rId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TargetMode="External"/><Relationship Id="rId19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TargetMode="External"/><Relationship Id="rId19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TargetMode="External"/><Relationship Id="rId19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TargetMode="External"/><Relationship Id="rId19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TargetMode="External"/><Relationship Id="rId19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TargetMode="External"/><Relationship Id="rId19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TargetMode="External"/><Relationship Id="rId19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TargetMode="External"/><Relationship Id="rId19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TargetMode="External"/><Relationship Id="rId19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TargetMode="External"/><Relationship Id="rId19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TargetMode="External"/><Relationship Id="rId280" Type="http://schemas.openxmlformats.org/officeDocument/2006/relationships/hyperlink" Target="https://dec.usaid.gov/dec/content/Detail.aspx?q=ZG9jdW1lbnRzLnBlcnNvbmFsX2F1dGhvcjooIlNhbmd1aW5ldHR5LCBKb3JnZSBBLiIp&amp;ctID=ODVhZjk4NWQtM2YyMi00YjRmLTkxNjktZTcxMjM2NDBmY2Uy&amp;rID=MjEyNDYz&amp;qcf=ODVhZjk4NWQtM2YyMi00YjRmLTkxNjktZTcxMjM2NDBmY2Uy&amp;ph=VHJ1ZQ==&amp;bckToL=VHJ1ZQ==&amp;" TargetMode="External"/><Relationship Id="rId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TargetMode="External"/><Relationship Id="rId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TargetMode="External"/><Relationship Id="rId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TargetMode="External"/><Relationship Id="rId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TargetMode="External"/><Relationship Id="rId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TargetMode="External"/><Relationship Id="rId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TargetMode="External"/><Relationship Id="rId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TargetMode="External"/><Relationship Id="rId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TargetMode="External"/><Relationship Id="rId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TargetMode="External"/><Relationship Id="rId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TargetMode="External"/><Relationship Id="rId281" Type="http://schemas.openxmlformats.org/officeDocument/2006/relationships/hyperlink" Target="https://dec.usaid.gov/dec/content/Detail.aspx?q=ZG9jdW1lbnRzLnBlcnNvbmFsX2F1dGhvcjooIlNhbmd1aW5ldHR5LCBKb3JnZSBBLiIp&amp;ctID=ODVhZjk4NWQtM2YyMi00YjRmLTkxNjktZTcxMjM2NDBmY2Uy&amp;rID=MjI3NzUw&amp;qcf=ODVhZjk4NWQtM2YyMi00YjRmLTkxNjktZTcxMjM2NDBmY2Uy&amp;ph=VHJ1ZQ==&amp;bckToL=VHJ1ZQ==&amp;" TargetMode="External"/><Relationship Id="rId282" Type="http://schemas.openxmlformats.org/officeDocument/2006/relationships/hyperlink" Target="https://dec.usaid.gov/dec/content/Detail.aspx?q=ZG9jdW1lbnRzLnBlcnNvbmFsX2F1dGhvcjooIlNhbmd1aW5ldHR5LCBKb3JnZSBBLiIp&amp;ctID=ODVhZjk4NWQtM2YyMi00YjRmLTkxNjktZTcxMjM2NDBmY2Uy&amp;rID=MjAyMzk1&amp;qcf=ODVhZjk4NWQtM2YyMi00YjRmLTkxNjktZTcxMjM2NDBmY2Uy&amp;ph=VHJ1ZQ==&amp;bckToL=VHJ1ZQ==&amp;" TargetMode="External"/><Relationship Id="rId283" Type="http://schemas.openxmlformats.org/officeDocument/2006/relationships/hyperlink" Target="https://dec.usaid.gov/dec/content/Detail.aspx?q=ZG9jdW1lbnRzLnBlcnNvbmFsX2F1dGhvcjooIlNhbmd1aW5ldHR5LCBKb3JnZSBBLiIp&amp;ctID=ODVhZjk4NWQtM2YyMi00YjRmLTkxNjktZTcxMjM2NDBmY2Uy&amp;rID=MTg3MTU2&amp;qcf=ODVhZjk4NWQtM2YyMi00YjRmLTkxNjktZTcxMjM2NDBmY2Uy&amp;ph=VHJ1ZQ==&amp;bckToL=VHJ1ZQ==&amp;" TargetMode="External"/><Relationship Id="rId284" Type="http://schemas.openxmlformats.org/officeDocument/2006/relationships/drawing" Target="../drawings/drawing1.xml"/><Relationship Id="rId1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1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TargetMode="External"/><Relationship Id="rId1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TargetMode="External"/><Relationship Id="rId1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TargetMode="External"/><Relationship Id="rId22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TargetMode="External"/><Relationship Id="rId22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TargetMode="External"/><Relationship Id="rId22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TargetMode="External"/><Relationship Id="rId22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TargetMode="External"/><Relationship Id="rId22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TargetMode="External"/><Relationship Id="rId22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TargetMode="External"/><Relationship Id="rId22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TargetMode="External"/><Relationship Id="rId22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TargetMode="External"/><Relationship Id="rId22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TargetMode="External"/><Relationship Id="rId2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TargetMode="External"/><Relationship Id="rId1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TargetMode="External"/><Relationship Id="rId1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TargetMode="External"/><Relationship Id="rId1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TargetMode="External"/><Relationship Id="rId1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TargetMode="External"/><Relationship Id="rId1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TargetMode="External"/><Relationship Id="rId1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TargetMode="External"/><Relationship Id="rId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TargetMode="External"/><Relationship Id="rId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TargetMode="External"/><Relationship Id="rId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TargetMode="External"/><Relationship Id="rId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TargetMode="External"/><Relationship Id="rId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TargetMode="External"/><Relationship Id="rId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TargetMode="External"/><Relationship Id="rId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TargetMode="External"/><Relationship Id="rId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TargetMode="External"/><Relationship Id="rId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TargetMode="External"/><Relationship Id="rId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TargetMode="External"/><Relationship Id="rId1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TargetMode="External"/><Relationship Id="rId1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TargetMode="External"/><Relationship Id="rId1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TargetMode="External"/><Relationship Id="rId1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TargetMode="External"/><Relationship Id="rId1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TargetMode="External"/><Relationship Id="rId1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TargetMode="External"/><Relationship Id="rId1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TargetMode="External"/><Relationship Id="rId1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TargetMode="External"/><Relationship Id="rId1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TargetMode="External"/><Relationship Id="rId1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TargetMode="External"/><Relationship Id="rId23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TargetMode="External"/><Relationship Id="rId23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TargetMode="External"/><Relationship Id="rId23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TargetMode="External"/><Relationship Id="rId23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TargetMode="External"/><Relationship Id="rId23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TargetMode="External"/><Relationship Id="rId23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TargetMode="External"/><Relationship Id="rId23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TargetMode="External"/><Relationship Id="rId23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TargetMode="External"/><Relationship Id="rId23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TargetMode="External"/><Relationship Id="rId23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TargetMode="External"/><Relationship Id="rId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TargetMode="External"/><Relationship Id="rId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TargetMode="External"/><Relationship Id="rId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TargetMode="External"/><Relationship Id="rId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TargetMode="External"/><Relationship Id="rId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TargetMode="External"/><Relationship Id="rId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TargetMode="External"/><Relationship Id="rId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TargetMode="External"/><Relationship Id="rId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TargetMode="External"/><Relationship Id="rId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TargetMode="External"/><Relationship Id="rId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TargetMode="External"/><Relationship Id="rId1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TargetMode="External"/><Relationship Id="rId1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TargetMode="External"/><Relationship Id="rId1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TargetMode="External"/><Relationship Id="rId1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TargetMode="External"/><Relationship Id="rId1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TargetMode="External"/><Relationship Id="rId1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TargetMode="External"/><Relationship Id="rId1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TargetMode="External"/><Relationship Id="rId1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TargetMode="External"/><Relationship Id="rId1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TargetMode="External"/><Relationship Id="rId1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TargetMode="External"/><Relationship Id="rId24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TargetMode="External"/><Relationship Id="rId24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TargetMode="External"/><Relationship Id="rId24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TargetMode="External"/><Relationship Id="rId24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TargetMode="External"/><Relationship Id="rId24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TargetMode="External"/><Relationship Id="rId24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TargetMode="External"/><Relationship Id="rId24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TargetMode="External"/><Relationship Id="rId24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TargetMode="External"/><Relationship Id="rId24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TargetMode="External"/><Relationship Id="rId24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TargetMode="External"/><Relationship Id="rId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TargetMode="External"/><Relationship Id="rId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TargetMode="External"/><Relationship Id="rId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TargetMode="External"/><Relationship Id="rId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TargetMode="External"/><Relationship Id="rId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TargetMode="External"/><Relationship Id="rId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TargetMode="External"/><Relationship Id="rId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TargetMode="External"/><Relationship Id="rId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TargetMode="External"/><Relationship Id="rId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TargetMode="External"/><Relationship Id="rId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TargetMode="External"/><Relationship Id="rId16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TargetMode="External"/><Relationship Id="rId16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TargetMode="External"/><Relationship Id="rId16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TargetMode="External"/><Relationship Id="rId16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TargetMode="External"/><Relationship Id="rId16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TargetMode="External"/><Relationship Id="rId16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TargetMode="External"/><Relationship Id="rId16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TargetMode="External"/><Relationship Id="rId16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TargetMode="External"/><Relationship Id="rId16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TargetMode="External"/><Relationship Id="rId16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TargetMode="External"/><Relationship Id="rId25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TargetMode="External"/><Relationship Id="rId25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TargetMode="External"/><Relationship Id="rId25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TargetMode="External"/><Relationship Id="rId25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TargetMode="External"/><Relationship Id="rId25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TargetMode="External"/><Relationship Id="rId25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TargetMode="External"/><Relationship Id="rId256"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TargetMode="External"/><Relationship Id="rId25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TargetMode="External"/><Relationship Id="rId258"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TargetMode="External"/><Relationship Id="rId25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TargetMode="External"/><Relationship Id="rId100"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TargetMode="External"/><Relationship Id="rId101"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TargetMode="External"/><Relationship Id="rId102"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TargetMode="External"/><Relationship Id="rId103"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TargetMode="External"/><Relationship Id="rId104"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TargetMode="External"/><Relationship Id="rId105"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TargetMode="External"/></Relationships>
</file>

<file path=xl/worksheets/_rels/sheet3.xml.rels><?xml version="1.0" encoding="UTF-8" standalone="yes"?>
<Relationships xmlns="http://schemas.openxmlformats.org/package/2006/relationships"><Relationship Id="rId9" Type="http://schemas.openxmlformats.org/officeDocument/2006/relationships/hyperlink" Target="file://///DEV-FILE01/Main/Projects/Project%20documents/Gender_STTA&amp;Trainings/Gender%20Assessment/2006/Tanzania" TargetMode="External"/><Relationship Id="rId20" Type="http://schemas.openxmlformats.org/officeDocument/2006/relationships/hyperlink" Target="file://///DEV-FILE01/Main/Projects/Project%20documents/Gender_STTA&amp;Trainings/Gender%20Assessment/2010/egypt_2010_gender_assessment.pdf" TargetMode="External"/><Relationship Id="rId21" Type="http://schemas.openxmlformats.org/officeDocument/2006/relationships/hyperlink" Target="file://///DEV-FILE01/Main/Projects/Project%20documents/Gender_STTA&amp;Trainings/Gender%20Assessment/2011/east-africa-gender-agriculture-and-climate-change-2010-11.pdf" TargetMode="External"/><Relationship Id="rId22" Type="http://schemas.openxmlformats.org/officeDocument/2006/relationships/hyperlink" Target="file://///DEV-FILE01/Main/Projects/Project%20documents/Gender_STTA&amp;Trainings/Gender%20Assessment/2011/paraguay_2011_gender_assessment.pdf" TargetMode="External"/><Relationship Id="rId23" Type="http://schemas.openxmlformats.org/officeDocument/2006/relationships/hyperlink" Target="file://///DEV-FILE01/Main/Projects/Project%20documents/Gender_STTA&amp;Trainings/Gender%20Assessment/2011/afghanistan_2011_ambassador_assessment.pdf" TargetMode="External"/><Relationship Id="rId24" Type="http://schemas.openxmlformats.org/officeDocument/2006/relationships/hyperlink" Target="file://///DEV-FILE01/Main/Projects/Project%20documents/Gender_STTA&amp;Trainings/Gender%20Assessment/2011/Bolivia" TargetMode="External"/><Relationship Id="rId25" Type="http://schemas.openxmlformats.org/officeDocument/2006/relationships/hyperlink" Target="file://///DEV-FILE01/Main/Projects/Project%20documents/Gender_STTA&amp;Trainings/Gender%20Assessment/2011/rwanda_2011_gender_assessment.pdf" TargetMode="External"/><Relationship Id="rId26" Type="http://schemas.openxmlformats.org/officeDocument/2006/relationships/hyperlink" Target="file://///DEV-FILE01/Main/Projects/Project%20documents/Gender_STTA&amp;Trainings/Gender%20Assessment/2011/namibia_2011_gender_assessment.pdf" TargetMode="External"/><Relationship Id="rId27" Type="http://schemas.openxmlformats.org/officeDocument/2006/relationships/hyperlink" Target="file://///DEV-FILE01/Main/Projects/Project%20documents/Gender_STTA&amp;Trainings/Gender%20Assessment/2012/mexico_2012_USAID_gender_assessement.pdf" TargetMode="External"/><Relationship Id="rId28" Type="http://schemas.openxmlformats.org/officeDocument/2006/relationships/hyperlink" Target="file://///DEV-FILE01/Main/Projects/Project%20documents/Gender_STTA&amp;Trainings/Gender%20Assessment/2012/ethiopia_2012_hapn_gender_assessment.pdf" TargetMode="External"/><Relationship Id="rId29"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TargetMode="External"/><Relationship Id="rId30" Type="http://schemas.openxmlformats.org/officeDocument/2006/relationships/hyperlink" Target="file://///DEV-FILE01/Main/Projects/Project%20documents/Gender_STTA&amp;Trainings/Gender%20Assessment/2012/lac_2012_USAID_regional_gender_assessment.pdf" TargetMode="External"/><Relationship Id="rId10" Type="http://schemas.openxmlformats.org/officeDocument/2006/relationships/hyperlink" Target="file://///DEV-FILE01/Main/Projects/Project%20documents/Gender_STTA&amp;Trainings/Gender%20Assessment/2006/peru_2006_gbv_training.pdf" TargetMode="External"/><Relationship Id="rId11" Type="http://schemas.openxmlformats.org/officeDocument/2006/relationships/hyperlink" Target="file://///DEV-FILE01/Main/Projects/Project%20documents/Gender_STTA&amp;Trainings/Gender%20Assessment/2006/2006_options-for-intra-household-poverty-assessment.pdf" TargetMode="External"/><Relationship Id="rId12" Type="http://schemas.openxmlformats.org/officeDocument/2006/relationships/hyperlink" Target="file://///DEV-FILE01/Main/Projects/Project%20documents/Gender_STTA&amp;Trainings/Gender%20Assessment/2006/haiti_2006_gender-assessment.pdf" TargetMode="External"/><Relationship Id="rId13" Type="http://schemas.openxmlformats.org/officeDocument/2006/relationships/hyperlink" Target="file://///DEV-FILE01/Main/Projects/Project%20documents/Gender_STTA&amp;Trainings/Gender%20Assessment/2006/nicaragua_2006_gender_training_report.pdf" TargetMode="External"/><Relationship Id="rId14" Type="http://schemas.openxmlformats.org/officeDocument/2006/relationships/hyperlink" Target="file://///DEV-FILE01/Main/Projects/Project%20documents/Gender_STTA&amp;Trainings/Gender%20Assessment/2006/armenia_2006_nova_gender_mainstreaming_workshop.pdf" TargetMode="External"/><Relationship Id="rId15" Type="http://schemas.openxmlformats.org/officeDocument/2006/relationships/hyperlink" Target="file://///DEV-FILE01/Main/Projects/Project%20documents/Gender_STTA&amp;Trainings/Gender%20Assessment/2006/uganda_2006_apep-gender-training-workshop.pdf" TargetMode="External"/><Relationship Id="rId16" Type="http://schemas.openxmlformats.org/officeDocument/2006/relationships/hyperlink" Target="file://///DEV-FILE01/Main/Projects/Project%20documents/Gender_STTA&amp;Trainings/Gender%20Assessment/2007/colombia_2007_gender_assessment.pdf" TargetMode="External"/><Relationship Id="rId17" Type="http://schemas.openxmlformats.org/officeDocument/2006/relationships/hyperlink" Target="file://///DEV-FILE01/Main/Projects/Project%20documents/Gender_STTA&amp;Trainings/Gender%20Assessment/2008/malawi_2008_gender_assessment.pdf" TargetMode="External"/><Relationship Id="rId18" Type="http://schemas.openxmlformats.org/officeDocument/2006/relationships/hyperlink" Target="file://///DEV-FILE01/Main/Projects/Project%20documents/Gender_STTA&amp;Trainings/Gender%20Assessment/2008/afghanistan_womens_earmark_fy2008.pdf" TargetMode="External"/><Relationship Id="rId19" Type="http://schemas.openxmlformats.org/officeDocument/2006/relationships/hyperlink" Target="file://///DEV-FILE01/Main/Projects/Project%20documents/Gender_STTA&amp;Trainings/Gender%20Assessment/2009/Gender-Assessment-Guatemala.pdf" TargetMode="External"/><Relationship Id="rId1" Type="http://schemas.openxmlformats.org/officeDocument/2006/relationships/hyperlink" Target="file://///DEV-FILE01/Main/Projects/Project%20documents/Gender_STTA&amp;Trainings/afghanistan-oti-program-evaluation.pdf" TargetMode="External"/><Relationship Id="rId2" Type="http://schemas.openxmlformats.org/officeDocument/2006/relationships/hyperlink" Target="file://///DEV-FILE01/Main/Projects/Project%20documents/Gender_STTA&amp;Trainings/Gender%20Assessment/2005/mozambique_2005_gender_analysis_tourism_sector.ppt" TargetMode="External"/><Relationship Id="rId3" Type="http://schemas.openxmlformats.org/officeDocument/2006/relationships/hyperlink" Target="file://///DEV-FILE01/Main/Projects/Project%20documents/Gender_STTA&amp;Trainings/Gender%20Assessment/2005/timor-leste_2005_candlenut_oil_processing_facility.pdf" TargetMode="External"/><Relationship Id="rId4" Type="http://schemas.openxmlformats.org/officeDocument/2006/relationships/hyperlink" Target="file://///DEV-FILE01/Main/Projects/Project%20documents/Gender_STTA&amp;Trainings/Gender%20Assessment/2005/South%20Africa" TargetMode="External"/><Relationship Id="rId5" Type="http://schemas.openxmlformats.org/officeDocument/2006/relationships/hyperlink" Target="file://///DEV-FILE01/Main/Projects/Project%20documents/Gender_STTA&amp;Trainings/Gender%20Assessment/2006/west-africa_2006_wawi_lessons_from_gender_mainstreaming.pdf" TargetMode="External"/><Relationship Id="rId6" Type="http://schemas.openxmlformats.org/officeDocument/2006/relationships/hyperlink" Target="file://///DEV-FILE01/Main/Projects/Project%20documents/Gender_STTA&amp;Trainings/Gender%20Assessment/2005/South%20Africa" TargetMode="External"/><Relationship Id="rId7" Type="http://schemas.openxmlformats.org/officeDocument/2006/relationships/hyperlink" Target="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TargetMode="External"/><Relationship Id="rId8" Type="http://schemas.openxmlformats.org/officeDocument/2006/relationships/hyperlink" Target="http://pdf.usaid.gov/pdf_docs/PDABP030.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pageSetUpPr fitToPage="1"/>
  </sheetPr>
  <dimension ref="A1:EQ268"/>
  <sheetViews>
    <sheetView tabSelected="1" topLeftCell="N1" zoomScale="60" zoomScaleNormal="60" zoomScalePageLayoutView="60" workbookViewId="0">
      <pane ySplit="1" topLeftCell="A8" activePane="bottomLeft" state="frozen"/>
      <selection pane="bottomLeft" activeCell="X17" sqref="X17"/>
    </sheetView>
  </sheetViews>
  <sheetFormatPr baseColWidth="10" defaultColWidth="9.1640625" defaultRowHeight="45" customHeight="1" x14ac:dyDescent="0"/>
  <cols>
    <col min="1" max="1" width="77.5" style="74" customWidth="1"/>
    <col min="2" max="2" width="27" style="74" customWidth="1"/>
    <col min="3" max="3" width="29.83203125" style="61" customWidth="1"/>
    <col min="4" max="5" width="10" style="61" customWidth="1"/>
    <col min="6" max="6" width="11.5" style="61" customWidth="1"/>
    <col min="7" max="7" width="19.5" style="84" customWidth="1"/>
    <col min="8" max="8" width="40.5" style="61" customWidth="1"/>
    <col min="9" max="9" width="50.5" style="61" customWidth="1"/>
    <col min="10" max="10" width="19.5" style="61" customWidth="1"/>
    <col min="11" max="11" width="15.83203125" style="61" customWidth="1"/>
    <col min="12" max="12" width="17.83203125" style="75" customWidth="1"/>
    <col min="13" max="18" width="16.83203125" style="61" customWidth="1"/>
    <col min="19" max="19" width="107.83203125" style="363" customWidth="1"/>
    <col min="20" max="20" width="26.5" style="61" customWidth="1"/>
    <col min="21" max="21" width="26" style="61" hidden="1" customWidth="1"/>
    <col min="22" max="22" width="30.5" style="61" hidden="1" customWidth="1"/>
    <col min="23" max="23" width="34" style="61" hidden="1" customWidth="1"/>
    <col min="24" max="24" width="52.5" style="168" customWidth="1"/>
    <col min="25" max="25" width="74.5" style="69" customWidth="1"/>
    <col min="26" max="26" width="14.33203125" style="26" customWidth="1"/>
    <col min="27" max="146" width="9.1640625" style="26"/>
    <col min="147" max="16384" width="9.1640625" style="27"/>
  </cols>
  <sheetData>
    <row r="1" spans="1:147" ht="63.75" customHeight="1">
      <c r="A1" s="20" t="s">
        <v>0</v>
      </c>
      <c r="B1" s="20" t="s">
        <v>1</v>
      </c>
      <c r="C1" s="81" t="s">
        <v>2</v>
      </c>
      <c r="D1" s="81" t="s">
        <v>3</v>
      </c>
      <c r="E1" s="81" t="s">
        <v>4</v>
      </c>
      <c r="F1" s="21" t="s">
        <v>5</v>
      </c>
      <c r="G1" s="21" t="s">
        <v>6</v>
      </c>
      <c r="H1" s="22" t="s">
        <v>7</v>
      </c>
      <c r="I1" s="21" t="s">
        <v>8</v>
      </c>
      <c r="J1" s="21" t="s">
        <v>9</v>
      </c>
      <c r="K1" s="21" t="s">
        <v>10</v>
      </c>
      <c r="L1" s="23" t="s">
        <v>11</v>
      </c>
      <c r="M1" s="153" t="s">
        <v>12</v>
      </c>
      <c r="N1" s="153" t="s">
        <v>13</v>
      </c>
      <c r="O1" s="153" t="s">
        <v>14</v>
      </c>
      <c r="P1" s="153" t="s">
        <v>15</v>
      </c>
      <c r="Q1" s="153" t="s">
        <v>16</v>
      </c>
      <c r="R1" s="153" t="s">
        <v>17</v>
      </c>
      <c r="S1" s="350" t="s">
        <v>18</v>
      </c>
      <c r="T1" s="21" t="s">
        <v>19</v>
      </c>
      <c r="U1" s="24" t="s">
        <v>20</v>
      </c>
      <c r="V1" s="24" t="s">
        <v>21</v>
      </c>
      <c r="W1" s="24" t="s">
        <v>22</v>
      </c>
      <c r="X1" s="166" t="s">
        <v>23</v>
      </c>
      <c r="Y1" s="199" t="s">
        <v>24</v>
      </c>
      <c r="Z1" s="25" t="s">
        <v>25</v>
      </c>
    </row>
    <row r="2" spans="1:147" ht="45" customHeight="1">
      <c r="A2" s="28" t="s">
        <v>34</v>
      </c>
      <c r="B2" s="28"/>
      <c r="C2" s="82"/>
      <c r="D2" s="29">
        <v>1984</v>
      </c>
      <c r="E2" s="29">
        <v>1984</v>
      </c>
      <c r="F2" s="29" t="s">
        <v>35</v>
      </c>
      <c r="G2" s="31" t="s">
        <v>36</v>
      </c>
      <c r="H2" s="29" t="s">
        <v>37</v>
      </c>
      <c r="I2" s="29" t="s">
        <v>30</v>
      </c>
      <c r="J2" s="87"/>
      <c r="K2" s="87"/>
      <c r="L2" s="83"/>
      <c r="M2" s="80" t="s">
        <v>31</v>
      </c>
      <c r="N2" s="29"/>
      <c r="O2" s="29"/>
      <c r="P2" s="29"/>
      <c r="Q2" s="29"/>
      <c r="R2" s="29" t="s">
        <v>31</v>
      </c>
      <c r="S2" s="304" t="s">
        <v>38</v>
      </c>
      <c r="T2" s="29"/>
      <c r="U2" s="31" t="s">
        <v>39</v>
      </c>
      <c r="V2" s="31" t="s">
        <v>40</v>
      </c>
      <c r="W2" s="31" t="s">
        <v>41</v>
      </c>
      <c r="X2" s="167"/>
      <c r="Y2" s="64"/>
      <c r="Z2" s="27" t="s">
        <v>33</v>
      </c>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27"/>
      <c r="CW2" s="27"/>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row>
    <row r="3" spans="1:147" ht="45" customHeight="1">
      <c r="A3" s="33" t="s">
        <v>26</v>
      </c>
      <c r="B3" s="33"/>
      <c r="C3" s="82"/>
      <c r="D3" s="29">
        <v>1984</v>
      </c>
      <c r="E3" s="29">
        <v>1985</v>
      </c>
      <c r="F3" s="29" t="s">
        <v>27</v>
      </c>
      <c r="G3" s="31" t="s">
        <v>28</v>
      </c>
      <c r="H3" s="34" t="s">
        <v>29</v>
      </c>
      <c r="I3" s="29" t="s">
        <v>30</v>
      </c>
      <c r="J3" s="39" t="s">
        <v>31</v>
      </c>
      <c r="K3" s="29"/>
      <c r="L3" s="32">
        <v>8400</v>
      </c>
      <c r="M3" s="29" t="s">
        <v>31</v>
      </c>
      <c r="N3" s="29"/>
      <c r="O3" s="29"/>
      <c r="P3" s="29"/>
      <c r="Q3" s="29"/>
      <c r="R3" s="29" t="s">
        <v>31</v>
      </c>
      <c r="S3" s="351" t="s">
        <v>32</v>
      </c>
      <c r="T3" s="36"/>
      <c r="U3" s="31"/>
      <c r="V3" s="29"/>
      <c r="W3" s="31"/>
      <c r="X3" s="171"/>
      <c r="Z3" s="27" t="s">
        <v>33</v>
      </c>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27"/>
      <c r="CW3" s="27"/>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row>
    <row r="4" spans="1:147" ht="45" customHeight="1">
      <c r="A4" s="194" t="s">
        <v>54</v>
      </c>
      <c r="B4" s="35"/>
      <c r="C4" s="36" t="s">
        <v>55</v>
      </c>
      <c r="D4" s="29">
        <v>1985</v>
      </c>
      <c r="E4" s="29">
        <v>1985</v>
      </c>
      <c r="F4" s="80" t="s">
        <v>512</v>
      </c>
      <c r="G4" s="31" t="s">
        <v>36</v>
      </c>
      <c r="H4" s="303" t="s">
        <v>56</v>
      </c>
      <c r="I4" s="29" t="s">
        <v>57</v>
      </c>
      <c r="J4" s="39" t="s">
        <v>31</v>
      </c>
      <c r="K4" s="29" t="s">
        <v>58</v>
      </c>
      <c r="L4" s="32">
        <v>8500</v>
      </c>
      <c r="M4" s="29" t="s">
        <v>31</v>
      </c>
      <c r="N4" s="29"/>
      <c r="O4" s="29"/>
      <c r="P4" s="29"/>
      <c r="Q4" s="29"/>
      <c r="R4" s="29"/>
      <c r="S4" s="345" t="s">
        <v>59</v>
      </c>
      <c r="T4" s="29"/>
      <c r="U4" s="31" t="s">
        <v>60</v>
      </c>
      <c r="V4" s="31" t="s">
        <v>61</v>
      </c>
      <c r="W4" s="31" t="s">
        <v>62</v>
      </c>
      <c r="X4" s="170"/>
      <c r="Y4" s="200"/>
      <c r="Z4" s="27" t="s">
        <v>33</v>
      </c>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27"/>
      <c r="CW4" s="27"/>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row>
    <row r="5" spans="1:147" s="31" customFormat="1" ht="45" customHeight="1">
      <c r="A5" s="47" t="s">
        <v>63</v>
      </c>
      <c r="B5" s="28"/>
      <c r="C5" s="29" t="s">
        <v>64</v>
      </c>
      <c r="D5" s="29">
        <v>1985</v>
      </c>
      <c r="E5" s="29">
        <v>1985</v>
      </c>
      <c r="F5" s="29" t="s">
        <v>65</v>
      </c>
      <c r="G5" s="31" t="s">
        <v>36</v>
      </c>
      <c r="H5" s="29" t="s">
        <v>66</v>
      </c>
      <c r="I5" s="29" t="s">
        <v>57</v>
      </c>
      <c r="J5" s="39" t="s">
        <v>31</v>
      </c>
      <c r="K5" s="29"/>
      <c r="L5" s="32">
        <v>2470</v>
      </c>
      <c r="M5" s="29" t="s">
        <v>31</v>
      </c>
      <c r="N5" s="29" t="s">
        <v>31</v>
      </c>
      <c r="O5" s="29"/>
      <c r="P5" s="29"/>
      <c r="Q5" s="29"/>
      <c r="R5" s="29"/>
      <c r="S5" s="297" t="s">
        <v>67</v>
      </c>
      <c r="T5" s="29"/>
      <c r="U5" s="31" t="s">
        <v>68</v>
      </c>
      <c r="V5" s="31" t="s">
        <v>61</v>
      </c>
      <c r="W5" s="31" t="s">
        <v>62</v>
      </c>
      <c r="X5" s="255"/>
      <c r="Y5" s="64"/>
      <c r="Z5" s="27" t="s">
        <v>33</v>
      </c>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c r="BV5" s="37"/>
      <c r="BW5" s="37"/>
      <c r="BX5" s="37"/>
      <c r="BY5" s="37"/>
      <c r="BZ5" s="37"/>
      <c r="CA5" s="37"/>
      <c r="CB5" s="37"/>
      <c r="CC5" s="37"/>
      <c r="CD5" s="37"/>
      <c r="CE5" s="37"/>
      <c r="CF5" s="37"/>
      <c r="CG5" s="37"/>
      <c r="CH5" s="37"/>
      <c r="CI5" s="37"/>
      <c r="CJ5" s="37"/>
      <c r="CK5" s="37"/>
      <c r="CL5" s="37"/>
      <c r="CM5" s="37"/>
      <c r="CN5" s="37"/>
      <c r="CO5" s="37"/>
      <c r="CP5" s="37"/>
      <c r="CQ5" s="37"/>
      <c r="CR5" s="37"/>
      <c r="CS5" s="37"/>
      <c r="CT5" s="37"/>
      <c r="CU5" s="37"/>
      <c r="CV5" s="37"/>
      <c r="CW5" s="37"/>
      <c r="CX5" s="37"/>
      <c r="CY5" s="37"/>
      <c r="CZ5" s="37"/>
      <c r="DA5" s="37"/>
      <c r="DB5" s="37"/>
      <c r="DC5" s="37"/>
      <c r="DD5" s="37"/>
      <c r="DE5" s="37"/>
      <c r="DF5" s="37"/>
      <c r="DG5" s="37"/>
      <c r="DH5" s="37"/>
      <c r="DI5" s="37"/>
      <c r="DJ5" s="37"/>
      <c r="DK5" s="37"/>
      <c r="DL5" s="37"/>
      <c r="DM5" s="37"/>
      <c r="DN5" s="37"/>
      <c r="DO5" s="37"/>
      <c r="DP5" s="37"/>
      <c r="DQ5" s="37"/>
      <c r="DR5" s="37"/>
      <c r="DS5" s="37"/>
      <c r="DT5" s="37"/>
      <c r="DU5" s="37"/>
      <c r="DV5" s="37"/>
      <c r="DW5" s="37"/>
      <c r="DX5" s="37"/>
      <c r="DY5" s="37"/>
      <c r="DZ5" s="37"/>
      <c r="EA5" s="37"/>
      <c r="EB5" s="37"/>
      <c r="EC5" s="37"/>
      <c r="ED5" s="37"/>
      <c r="EE5" s="37"/>
      <c r="EF5" s="37"/>
      <c r="EG5" s="37"/>
      <c r="EH5" s="37"/>
      <c r="EI5" s="37"/>
      <c r="EJ5" s="37"/>
      <c r="EK5" s="37"/>
      <c r="EL5" s="37"/>
      <c r="EM5" s="37"/>
      <c r="EN5" s="37"/>
      <c r="EO5" s="37"/>
      <c r="EP5" s="37"/>
      <c r="EQ5" s="38"/>
    </row>
    <row r="6" spans="1:147" ht="45" customHeight="1">
      <c r="A6" s="42" t="s">
        <v>42</v>
      </c>
      <c r="B6" s="42"/>
      <c r="C6" s="29" t="s">
        <v>43</v>
      </c>
      <c r="D6" s="29">
        <v>1985</v>
      </c>
      <c r="E6" s="29">
        <v>1985</v>
      </c>
      <c r="F6" s="29" t="s">
        <v>35</v>
      </c>
      <c r="G6" s="31" t="s">
        <v>36</v>
      </c>
      <c r="H6" s="29" t="s">
        <v>37</v>
      </c>
      <c r="I6" s="29" t="s">
        <v>30</v>
      </c>
      <c r="J6" s="87"/>
      <c r="K6" s="86" t="s">
        <v>31</v>
      </c>
      <c r="L6" s="88">
        <v>8000</v>
      </c>
      <c r="M6" s="29" t="s">
        <v>31</v>
      </c>
      <c r="N6" s="29"/>
      <c r="O6" s="29"/>
      <c r="P6" s="29"/>
      <c r="Q6" s="29"/>
      <c r="R6" s="29" t="s">
        <v>31</v>
      </c>
      <c r="S6" s="304" t="s">
        <v>44</v>
      </c>
      <c r="T6" s="36"/>
      <c r="U6" s="29"/>
      <c r="V6" s="29"/>
      <c r="W6" s="29"/>
      <c r="X6" s="169"/>
      <c r="Z6" s="27" t="s">
        <v>33</v>
      </c>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row>
    <row r="7" spans="1:147" ht="45" customHeight="1">
      <c r="A7" s="47" t="s">
        <v>45</v>
      </c>
      <c r="B7" s="47"/>
      <c r="C7" s="280"/>
      <c r="D7" s="87">
        <v>1985</v>
      </c>
      <c r="E7" s="87">
        <v>1986</v>
      </c>
      <c r="F7" s="87" t="s">
        <v>46</v>
      </c>
      <c r="G7" s="99" t="s">
        <v>47</v>
      </c>
      <c r="H7" s="87" t="s">
        <v>48</v>
      </c>
      <c r="I7" s="99" t="s">
        <v>49</v>
      </c>
      <c r="J7" s="87" t="s">
        <v>31</v>
      </c>
      <c r="K7" s="87"/>
      <c r="L7" s="88">
        <v>151000</v>
      </c>
      <c r="M7" s="87"/>
      <c r="N7" s="87"/>
      <c r="O7" s="87"/>
      <c r="P7" s="87"/>
      <c r="Q7" s="87"/>
      <c r="R7" s="87" t="s">
        <v>31</v>
      </c>
      <c r="S7" s="352" t="s">
        <v>50</v>
      </c>
      <c r="T7" s="87"/>
      <c r="U7" s="30" t="s">
        <v>51</v>
      </c>
      <c r="V7" s="30" t="s">
        <v>52</v>
      </c>
      <c r="W7" s="30" t="s">
        <v>53</v>
      </c>
      <c r="X7" s="171"/>
      <c r="Z7" s="27" t="s">
        <v>33</v>
      </c>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row>
    <row r="8" spans="1:147" ht="45" customHeight="1">
      <c r="A8" s="42" t="s">
        <v>69</v>
      </c>
      <c r="B8" s="42"/>
      <c r="C8" s="29" t="s">
        <v>70</v>
      </c>
      <c r="D8" s="29">
        <v>1985</v>
      </c>
      <c r="E8" s="29">
        <v>1985</v>
      </c>
      <c r="F8" s="29" t="s">
        <v>71</v>
      </c>
      <c r="G8" s="31" t="s">
        <v>47</v>
      </c>
      <c r="H8" s="99" t="s">
        <v>72</v>
      </c>
      <c r="I8" s="29" t="s">
        <v>73</v>
      </c>
      <c r="J8" s="28" t="s">
        <v>74</v>
      </c>
      <c r="K8" s="29" t="s">
        <v>31</v>
      </c>
      <c r="L8" s="32">
        <v>9635</v>
      </c>
      <c r="M8" s="29"/>
      <c r="N8" s="80" t="s">
        <v>31</v>
      </c>
      <c r="O8" s="29"/>
      <c r="P8" s="29"/>
      <c r="Q8" s="29" t="s">
        <v>31</v>
      </c>
      <c r="R8" s="80"/>
      <c r="S8" s="304" t="s">
        <v>75</v>
      </c>
      <c r="T8" s="29"/>
      <c r="U8" s="31" t="s">
        <v>76</v>
      </c>
      <c r="V8" s="29" t="s">
        <v>61</v>
      </c>
      <c r="W8" s="29" t="s">
        <v>62</v>
      </c>
      <c r="Y8" s="64"/>
      <c r="Z8" s="27" t="s">
        <v>33</v>
      </c>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row>
    <row r="9" spans="1:147" ht="45" customHeight="1">
      <c r="A9" s="28" t="s">
        <v>77</v>
      </c>
      <c r="B9" s="28"/>
      <c r="C9" s="29" t="s">
        <v>78</v>
      </c>
      <c r="D9" s="29">
        <v>1986</v>
      </c>
      <c r="E9" s="29">
        <v>1986</v>
      </c>
      <c r="F9" s="87"/>
      <c r="G9" s="31" t="s">
        <v>47</v>
      </c>
      <c r="H9" s="31"/>
      <c r="I9" s="29" t="s">
        <v>79</v>
      </c>
      <c r="J9" s="29" t="s">
        <v>31</v>
      </c>
      <c r="K9" s="29"/>
      <c r="L9" s="32">
        <v>18022</v>
      </c>
      <c r="M9" s="29"/>
      <c r="N9" s="29"/>
      <c r="O9" s="29"/>
      <c r="P9" s="29"/>
      <c r="Q9" s="29"/>
      <c r="R9" s="80" t="s">
        <v>31</v>
      </c>
      <c r="S9" s="304" t="s">
        <v>80</v>
      </c>
      <c r="T9" s="29"/>
      <c r="U9" s="31" t="s">
        <v>81</v>
      </c>
      <c r="V9" s="31" t="s">
        <v>61</v>
      </c>
      <c r="W9" s="31" t="s">
        <v>82</v>
      </c>
      <c r="X9" s="171"/>
      <c r="Y9" s="64"/>
      <c r="Z9" s="27" t="s">
        <v>33</v>
      </c>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row>
    <row r="10" spans="1:147" ht="45" customHeight="1">
      <c r="A10" s="47" t="s">
        <v>97</v>
      </c>
      <c r="B10" s="47"/>
      <c r="C10" s="82"/>
      <c r="D10" s="87">
        <v>1986</v>
      </c>
      <c r="E10" s="87">
        <v>1986</v>
      </c>
      <c r="F10" s="87" t="s">
        <v>46</v>
      </c>
      <c r="G10" s="99" t="s">
        <v>47</v>
      </c>
      <c r="H10" s="87" t="s">
        <v>48</v>
      </c>
      <c r="I10" s="99" t="s">
        <v>49</v>
      </c>
      <c r="J10" s="87" t="s">
        <v>31</v>
      </c>
      <c r="K10" s="87"/>
      <c r="L10" s="88">
        <v>10400</v>
      </c>
      <c r="M10" s="87" t="s">
        <v>31</v>
      </c>
      <c r="N10" s="87"/>
      <c r="O10" s="87"/>
      <c r="P10" s="87"/>
      <c r="Q10" s="87"/>
      <c r="R10" s="86" t="s">
        <v>31</v>
      </c>
      <c r="S10" s="352" t="s">
        <v>98</v>
      </c>
      <c r="T10" s="104"/>
      <c r="U10" s="66" t="s">
        <v>99</v>
      </c>
      <c r="V10" s="66" t="s">
        <v>100</v>
      </c>
      <c r="W10" s="66" t="s">
        <v>101</v>
      </c>
      <c r="X10" s="173"/>
      <c r="Y10" s="201"/>
      <c r="Z10" s="27" t="s">
        <v>33</v>
      </c>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row>
    <row r="11" spans="1:147" ht="45" customHeight="1">
      <c r="A11" s="33" t="s">
        <v>83</v>
      </c>
      <c r="B11" s="33"/>
      <c r="C11" s="29" t="s">
        <v>84</v>
      </c>
      <c r="D11" s="29">
        <v>1986</v>
      </c>
      <c r="E11" s="29">
        <v>1986</v>
      </c>
      <c r="F11" s="29" t="s">
        <v>85</v>
      </c>
      <c r="G11" s="31" t="s">
        <v>47</v>
      </c>
      <c r="H11" s="29" t="s">
        <v>86</v>
      </c>
      <c r="I11" s="29" t="s">
        <v>57</v>
      </c>
      <c r="J11" s="39" t="s">
        <v>31</v>
      </c>
      <c r="K11" s="29"/>
      <c r="L11" s="32">
        <v>5606</v>
      </c>
      <c r="M11" s="29" t="s">
        <v>31</v>
      </c>
      <c r="N11" s="29"/>
      <c r="O11" s="29"/>
      <c r="P11" s="29"/>
      <c r="Q11" s="29"/>
      <c r="R11" s="29"/>
      <c r="S11" s="304" t="s">
        <v>87</v>
      </c>
      <c r="T11" s="36"/>
      <c r="U11" s="31" t="s">
        <v>88</v>
      </c>
      <c r="V11" s="31" t="s">
        <v>61</v>
      </c>
      <c r="W11" s="31" t="s">
        <v>62</v>
      </c>
      <c r="X11" s="167" t="s">
        <v>1804</v>
      </c>
      <c r="Y11" s="64"/>
      <c r="Z11" s="27" t="s">
        <v>33</v>
      </c>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row>
    <row r="12" spans="1:147" ht="45" customHeight="1">
      <c r="A12" s="28" t="s">
        <v>89</v>
      </c>
      <c r="B12" s="28"/>
      <c r="C12" s="82"/>
      <c r="D12" s="29">
        <v>1986</v>
      </c>
      <c r="E12" s="29">
        <v>1986</v>
      </c>
      <c r="F12" s="29" t="s">
        <v>90</v>
      </c>
      <c r="G12" s="31" t="s">
        <v>47</v>
      </c>
      <c r="H12" s="87" t="s">
        <v>91</v>
      </c>
      <c r="I12" s="29" t="s">
        <v>57</v>
      </c>
      <c r="J12" s="29" t="s">
        <v>31</v>
      </c>
      <c r="K12" s="29"/>
      <c r="L12" s="83"/>
      <c r="M12" s="29" t="s">
        <v>31</v>
      </c>
      <c r="N12" s="29"/>
      <c r="O12" s="80" t="s">
        <v>31</v>
      </c>
      <c r="P12" s="29"/>
      <c r="Q12" s="29"/>
      <c r="R12" s="29"/>
      <c r="S12" s="351" t="s">
        <v>92</v>
      </c>
      <c r="T12" s="29"/>
      <c r="U12" s="31" t="s">
        <v>93</v>
      </c>
      <c r="V12" s="31" t="s">
        <v>61</v>
      </c>
      <c r="W12" s="31" t="s">
        <v>62</v>
      </c>
      <c r="X12" s="171" t="s">
        <v>1804</v>
      </c>
      <c r="Y12" s="64"/>
      <c r="Z12" s="27" t="s">
        <v>33</v>
      </c>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row>
    <row r="13" spans="1:147" ht="45" customHeight="1">
      <c r="A13" s="33" t="s">
        <v>94</v>
      </c>
      <c r="B13" s="33"/>
      <c r="C13" s="82"/>
      <c r="D13" s="29">
        <v>1986</v>
      </c>
      <c r="E13" s="29">
        <v>1986</v>
      </c>
      <c r="F13" s="80" t="s">
        <v>111</v>
      </c>
      <c r="G13" s="31" t="s">
        <v>47</v>
      </c>
      <c r="H13" s="87" t="s">
        <v>95</v>
      </c>
      <c r="I13" s="29" t="s">
        <v>57</v>
      </c>
      <c r="J13" s="29" t="s">
        <v>31</v>
      </c>
      <c r="K13" s="29"/>
      <c r="L13" s="83"/>
      <c r="M13" s="29" t="s">
        <v>31</v>
      </c>
      <c r="N13" s="29"/>
      <c r="O13" s="29"/>
      <c r="P13" s="29"/>
      <c r="Q13" s="29"/>
      <c r="R13" s="29" t="s">
        <v>31</v>
      </c>
      <c r="S13" s="351" t="s">
        <v>96</v>
      </c>
      <c r="T13" s="29"/>
      <c r="U13" s="31" t="s">
        <v>93</v>
      </c>
      <c r="V13" s="31" t="s">
        <v>61</v>
      </c>
      <c r="W13" s="31" t="s">
        <v>62</v>
      </c>
      <c r="X13" s="171"/>
      <c r="Y13" s="64"/>
      <c r="Z13" s="27" t="s">
        <v>33</v>
      </c>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row>
    <row r="14" spans="1:147" s="45" customFormat="1" ht="45" customHeight="1">
      <c r="A14" s="28" t="s">
        <v>114</v>
      </c>
      <c r="B14" s="35"/>
      <c r="C14" s="36" t="s">
        <v>115</v>
      </c>
      <c r="D14" s="29">
        <v>1987</v>
      </c>
      <c r="E14" s="29">
        <v>1988</v>
      </c>
      <c r="F14" s="29" t="s">
        <v>65</v>
      </c>
      <c r="G14" s="31" t="s">
        <v>36</v>
      </c>
      <c r="H14" s="87" t="s">
        <v>66</v>
      </c>
      <c r="I14" s="29" t="s">
        <v>104</v>
      </c>
      <c r="J14" s="39" t="s">
        <v>31</v>
      </c>
      <c r="K14" s="29"/>
      <c r="L14" s="32">
        <v>178027</v>
      </c>
      <c r="M14" s="29"/>
      <c r="N14" s="29" t="s">
        <v>31</v>
      </c>
      <c r="O14" s="29"/>
      <c r="P14" s="29"/>
      <c r="Q14" s="29"/>
      <c r="R14" s="29"/>
      <c r="S14" s="304" t="s">
        <v>116</v>
      </c>
      <c r="T14" s="36"/>
      <c r="U14" s="31" t="s">
        <v>106</v>
      </c>
      <c r="V14" s="31" t="s">
        <v>107</v>
      </c>
      <c r="W14" s="31" t="s">
        <v>108</v>
      </c>
      <c r="X14" s="167"/>
      <c r="Y14" s="64"/>
      <c r="Z14" s="27" t="s">
        <v>33</v>
      </c>
    </row>
    <row r="15" spans="1:147" ht="45" customHeight="1">
      <c r="A15" s="47" t="s">
        <v>109</v>
      </c>
      <c r="B15" s="28"/>
      <c r="C15" s="29" t="s">
        <v>110</v>
      </c>
      <c r="D15" s="29">
        <v>1987</v>
      </c>
      <c r="E15" s="29">
        <v>1987</v>
      </c>
      <c r="F15" s="29" t="s">
        <v>111</v>
      </c>
      <c r="G15" s="31" t="s">
        <v>47</v>
      </c>
      <c r="H15" s="87" t="s">
        <v>95</v>
      </c>
      <c r="I15" s="29" t="s">
        <v>57</v>
      </c>
      <c r="J15" s="29" t="s">
        <v>31</v>
      </c>
      <c r="K15" s="29"/>
      <c r="L15" s="32">
        <v>79202</v>
      </c>
      <c r="M15" s="29"/>
      <c r="N15" s="29"/>
      <c r="O15" s="29"/>
      <c r="P15" s="29"/>
      <c r="Q15" s="29"/>
      <c r="R15" s="80" t="s">
        <v>31</v>
      </c>
      <c r="S15" s="304" t="s">
        <v>112</v>
      </c>
      <c r="T15" s="29"/>
      <c r="U15" s="31" t="s">
        <v>113</v>
      </c>
      <c r="V15" s="31" t="s">
        <v>61</v>
      </c>
      <c r="W15" s="31" t="s">
        <v>62</v>
      </c>
      <c r="X15" s="173"/>
      <c r="Y15" s="201"/>
      <c r="Z15" s="27" t="s">
        <v>33</v>
      </c>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2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row>
    <row r="16" spans="1:147" ht="45" customHeight="1">
      <c r="A16" s="33" t="s">
        <v>102</v>
      </c>
      <c r="B16" s="33"/>
      <c r="C16" s="29" t="s">
        <v>103</v>
      </c>
      <c r="D16" s="29">
        <v>1987</v>
      </c>
      <c r="E16" s="29">
        <v>1988</v>
      </c>
      <c r="F16" s="29" t="s">
        <v>65</v>
      </c>
      <c r="G16" s="31" t="s">
        <v>47</v>
      </c>
      <c r="H16" s="29" t="s">
        <v>66</v>
      </c>
      <c r="I16" s="29" t="s">
        <v>104</v>
      </c>
      <c r="J16" s="39" t="s">
        <v>31</v>
      </c>
      <c r="K16" s="29"/>
      <c r="L16" s="32">
        <v>403428</v>
      </c>
      <c r="M16" s="29" t="s">
        <v>31</v>
      </c>
      <c r="N16" s="29"/>
      <c r="O16" s="29"/>
      <c r="P16" s="29"/>
      <c r="Q16" s="29"/>
      <c r="R16" s="29"/>
      <c r="S16" s="351" t="s">
        <v>105</v>
      </c>
      <c r="T16" s="29"/>
      <c r="U16" s="31" t="s">
        <v>106</v>
      </c>
      <c r="V16" s="31" t="s">
        <v>107</v>
      </c>
      <c r="W16" s="31" t="s">
        <v>108</v>
      </c>
      <c r="X16" s="171"/>
      <c r="Y16" s="64"/>
      <c r="Z16" s="27" t="s">
        <v>33</v>
      </c>
    </row>
    <row r="17" spans="1:146" ht="45" customHeight="1">
      <c r="A17" s="33" t="s">
        <v>120</v>
      </c>
      <c r="B17" s="33"/>
      <c r="C17" s="31" t="s">
        <v>121</v>
      </c>
      <c r="D17" s="29">
        <v>1988</v>
      </c>
      <c r="E17" s="29">
        <v>1988</v>
      </c>
      <c r="F17" s="29" t="s">
        <v>85</v>
      </c>
      <c r="G17" s="31" t="s">
        <v>36</v>
      </c>
      <c r="H17" s="29" t="s">
        <v>86</v>
      </c>
      <c r="I17" s="29" t="s">
        <v>30</v>
      </c>
      <c r="J17" s="29" t="s">
        <v>31</v>
      </c>
      <c r="K17" s="29"/>
      <c r="L17" s="32">
        <v>16000</v>
      </c>
      <c r="M17" s="29" t="s">
        <v>31</v>
      </c>
      <c r="N17" s="29"/>
      <c r="O17" s="29"/>
      <c r="P17" s="29"/>
      <c r="Q17" s="29"/>
      <c r="R17" s="29"/>
      <c r="S17" s="351" t="s">
        <v>122</v>
      </c>
      <c r="T17" s="29"/>
      <c r="U17" s="31" t="s">
        <v>123</v>
      </c>
      <c r="V17" s="31" t="s">
        <v>124</v>
      </c>
      <c r="W17" s="31" t="s">
        <v>125</v>
      </c>
      <c r="X17" s="173"/>
      <c r="Y17" s="201"/>
      <c r="Z17" s="27" t="s">
        <v>33</v>
      </c>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2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row>
    <row r="18" spans="1:146" s="101" customFormat="1" ht="45" customHeight="1">
      <c r="A18" s="47" t="s">
        <v>117</v>
      </c>
      <c r="B18" s="47"/>
      <c r="C18" s="87" t="s">
        <v>118</v>
      </c>
      <c r="D18" s="108">
        <v>1988</v>
      </c>
      <c r="E18" s="87">
        <v>1989</v>
      </c>
      <c r="F18" s="87" t="s">
        <v>65</v>
      </c>
      <c r="G18" s="99" t="s">
        <v>47</v>
      </c>
      <c r="H18" s="87" t="s">
        <v>66</v>
      </c>
      <c r="I18" s="87" t="s">
        <v>104</v>
      </c>
      <c r="J18" s="108" t="s">
        <v>31</v>
      </c>
      <c r="K18" s="87"/>
      <c r="L18" s="88">
        <v>85202</v>
      </c>
      <c r="M18" s="87"/>
      <c r="N18" s="87"/>
      <c r="O18" s="87"/>
      <c r="P18" s="87"/>
      <c r="Q18" s="87" t="s">
        <v>31</v>
      </c>
      <c r="R18" s="86" t="s">
        <v>31</v>
      </c>
      <c r="S18" s="352" t="s">
        <v>119</v>
      </c>
      <c r="T18" s="87"/>
      <c r="U18" s="99" t="s">
        <v>106</v>
      </c>
      <c r="V18" s="99" t="s">
        <v>107</v>
      </c>
      <c r="W18" s="99" t="s">
        <v>108</v>
      </c>
      <c r="X18" s="185"/>
      <c r="Y18" s="206"/>
      <c r="Z18" s="101" t="s">
        <v>33</v>
      </c>
    </row>
    <row r="19" spans="1:146" ht="45" customHeight="1">
      <c r="A19" s="28" t="s">
        <v>173</v>
      </c>
      <c r="B19" s="28"/>
      <c r="C19" s="29" t="s">
        <v>174</v>
      </c>
      <c r="D19" s="29">
        <v>1989</v>
      </c>
      <c r="E19" s="29">
        <v>1989</v>
      </c>
      <c r="F19" s="29" t="s">
        <v>85</v>
      </c>
      <c r="G19" s="31" t="s">
        <v>36</v>
      </c>
      <c r="H19" s="87" t="s">
        <v>86</v>
      </c>
      <c r="I19" s="29" t="s">
        <v>57</v>
      </c>
      <c r="J19" s="29" t="s">
        <v>175</v>
      </c>
      <c r="K19" s="29" t="s">
        <v>31</v>
      </c>
      <c r="L19" s="32">
        <v>9527</v>
      </c>
      <c r="M19" s="80"/>
      <c r="N19" s="80" t="s">
        <v>31</v>
      </c>
      <c r="O19" s="29"/>
      <c r="P19" s="29"/>
      <c r="Q19" s="29"/>
      <c r="R19" s="29"/>
      <c r="S19" s="304" t="s">
        <v>176</v>
      </c>
      <c r="T19" s="29"/>
      <c r="U19" s="31" t="s">
        <v>177</v>
      </c>
      <c r="V19" s="31" t="s">
        <v>178</v>
      </c>
      <c r="W19" s="31" t="s">
        <v>179</v>
      </c>
      <c r="X19" s="180" t="s">
        <v>180</v>
      </c>
      <c r="Y19" s="64" t="s">
        <v>181</v>
      </c>
      <c r="Z19" s="27" t="s">
        <v>33</v>
      </c>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row>
    <row r="20" spans="1:146" ht="45" customHeight="1">
      <c r="A20" s="28" t="s">
        <v>164</v>
      </c>
      <c r="B20" s="28"/>
      <c r="C20" s="29" t="s">
        <v>165</v>
      </c>
      <c r="D20" s="29">
        <v>1989</v>
      </c>
      <c r="E20" s="29">
        <v>1990</v>
      </c>
      <c r="F20" s="29" t="s">
        <v>166</v>
      </c>
      <c r="G20" s="31" t="s">
        <v>47</v>
      </c>
      <c r="H20" s="87" t="s">
        <v>167</v>
      </c>
      <c r="I20" s="31" t="s">
        <v>168</v>
      </c>
      <c r="J20" s="86" t="s">
        <v>31</v>
      </c>
      <c r="K20" s="86"/>
      <c r="L20" s="32">
        <v>30000</v>
      </c>
      <c r="M20" s="29" t="s">
        <v>31</v>
      </c>
      <c r="N20" s="29"/>
      <c r="O20" s="29"/>
      <c r="P20" s="29"/>
      <c r="Q20" s="29"/>
      <c r="R20" s="80" t="s">
        <v>31</v>
      </c>
      <c r="S20" s="304" t="s">
        <v>169</v>
      </c>
      <c r="T20" s="36"/>
      <c r="U20" s="29" t="s">
        <v>170</v>
      </c>
      <c r="V20" s="29" t="s">
        <v>171</v>
      </c>
      <c r="W20" s="29" t="s">
        <v>172</v>
      </c>
      <c r="X20" s="167"/>
      <c r="Y20" s="64"/>
      <c r="Z20" s="27" t="s">
        <v>33</v>
      </c>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row>
    <row r="21" spans="1:146" ht="45" customHeight="1">
      <c r="A21" s="28" t="s">
        <v>132</v>
      </c>
      <c r="B21" s="28"/>
      <c r="C21" s="29" t="s">
        <v>133</v>
      </c>
      <c r="D21" s="29">
        <v>1989</v>
      </c>
      <c r="E21" s="29">
        <v>1989</v>
      </c>
      <c r="F21" s="29" t="s">
        <v>90</v>
      </c>
      <c r="G21" s="31" t="s">
        <v>47</v>
      </c>
      <c r="H21" s="87" t="s">
        <v>91</v>
      </c>
      <c r="I21" s="31" t="s">
        <v>57</v>
      </c>
      <c r="J21" s="29" t="s">
        <v>31</v>
      </c>
      <c r="K21" s="28" t="s">
        <v>134</v>
      </c>
      <c r="L21" s="32">
        <v>16099</v>
      </c>
      <c r="M21" s="80" t="s">
        <v>31</v>
      </c>
      <c r="N21" s="29" t="s">
        <v>31</v>
      </c>
      <c r="O21" s="29"/>
      <c r="P21" s="29"/>
      <c r="Q21" s="29"/>
      <c r="R21" s="29"/>
      <c r="S21" s="304" t="s">
        <v>135</v>
      </c>
      <c r="T21" s="36"/>
      <c r="U21" s="31" t="s">
        <v>136</v>
      </c>
      <c r="V21" s="92" t="s">
        <v>137</v>
      </c>
      <c r="W21" s="31" t="s">
        <v>138</v>
      </c>
      <c r="X21" s="174" t="s">
        <v>1805</v>
      </c>
      <c r="Y21" s="64" t="s">
        <v>140</v>
      </c>
      <c r="Z21" s="27" t="s">
        <v>33</v>
      </c>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row>
    <row r="22" spans="1:146" ht="45" customHeight="1">
      <c r="A22" s="28" t="s">
        <v>141</v>
      </c>
      <c r="B22" s="28"/>
      <c r="C22" s="29" t="s">
        <v>142</v>
      </c>
      <c r="D22" s="29">
        <v>1989</v>
      </c>
      <c r="E22" s="29">
        <v>1989</v>
      </c>
      <c r="F22" s="87"/>
      <c r="G22" s="31" t="s">
        <v>47</v>
      </c>
      <c r="H22" s="29"/>
      <c r="I22" s="31" t="s">
        <v>57</v>
      </c>
      <c r="J22" s="29" t="s">
        <v>31</v>
      </c>
      <c r="K22" s="28" t="s">
        <v>134</v>
      </c>
      <c r="L22" s="32">
        <v>7000</v>
      </c>
      <c r="M22" s="29" t="s">
        <v>31</v>
      </c>
      <c r="N22" s="29"/>
      <c r="O22" s="29"/>
      <c r="P22" s="29"/>
      <c r="Q22" s="29"/>
      <c r="R22" s="80"/>
      <c r="S22" s="304" t="s">
        <v>143</v>
      </c>
      <c r="T22" s="29"/>
      <c r="U22" s="31" t="s">
        <v>144</v>
      </c>
      <c r="V22" s="31" t="s">
        <v>145</v>
      </c>
      <c r="W22" s="31" t="s">
        <v>146</v>
      </c>
      <c r="X22" s="171"/>
      <c r="Y22" s="64"/>
      <c r="Z22" s="27" t="s">
        <v>33</v>
      </c>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row>
    <row r="23" spans="1:146" ht="45" customHeight="1">
      <c r="A23" s="42" t="s">
        <v>182</v>
      </c>
      <c r="B23" s="42"/>
      <c r="C23" s="29" t="s">
        <v>183</v>
      </c>
      <c r="D23" s="29">
        <v>1989</v>
      </c>
      <c r="E23" s="29">
        <v>1990</v>
      </c>
      <c r="F23" s="29" t="s">
        <v>184</v>
      </c>
      <c r="G23" s="31" t="s">
        <v>47</v>
      </c>
      <c r="H23" s="87" t="s">
        <v>185</v>
      </c>
      <c r="I23" s="29" t="s">
        <v>57</v>
      </c>
      <c r="J23" s="80" t="s">
        <v>31</v>
      </c>
      <c r="K23" s="29"/>
      <c r="L23" s="32">
        <v>32911</v>
      </c>
      <c r="M23" s="29" t="s">
        <v>31</v>
      </c>
      <c r="N23" s="29"/>
      <c r="O23" s="29"/>
      <c r="P23" s="29"/>
      <c r="Q23" s="29"/>
      <c r="R23" s="29" t="s">
        <v>31</v>
      </c>
      <c r="S23" s="304" t="s">
        <v>186</v>
      </c>
      <c r="T23" s="29"/>
      <c r="U23" s="31" t="s">
        <v>187</v>
      </c>
      <c r="V23" s="31" t="s">
        <v>188</v>
      </c>
      <c r="W23" s="31" t="s">
        <v>189</v>
      </c>
      <c r="X23" s="177" t="s">
        <v>190</v>
      </c>
      <c r="Y23" s="69" t="s">
        <v>191</v>
      </c>
      <c r="Z23" s="27" t="s">
        <v>33</v>
      </c>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row>
    <row r="24" spans="1:146" ht="45" customHeight="1">
      <c r="A24" s="42" t="s">
        <v>126</v>
      </c>
      <c r="B24" s="42"/>
      <c r="C24" s="29" t="s">
        <v>127</v>
      </c>
      <c r="D24" s="31">
        <v>1989</v>
      </c>
      <c r="E24" s="31">
        <v>1989</v>
      </c>
      <c r="F24" s="29" t="s">
        <v>35</v>
      </c>
      <c r="G24" s="31" t="s">
        <v>47</v>
      </c>
      <c r="H24" s="87" t="s">
        <v>37</v>
      </c>
      <c r="I24" s="29" t="s">
        <v>30</v>
      </c>
      <c r="J24" s="29" t="s">
        <v>31</v>
      </c>
      <c r="K24" s="29"/>
      <c r="L24" s="32">
        <v>8000</v>
      </c>
      <c r="M24" s="29"/>
      <c r="N24" s="29"/>
      <c r="O24" s="29"/>
      <c r="P24" s="29"/>
      <c r="Q24" s="29"/>
      <c r="R24" s="80" t="s">
        <v>31</v>
      </c>
      <c r="S24" s="304" t="s">
        <v>128</v>
      </c>
      <c r="T24" s="93"/>
      <c r="U24" s="29" t="s">
        <v>129</v>
      </c>
      <c r="V24" s="29" t="s">
        <v>130</v>
      </c>
      <c r="W24" s="29" t="s">
        <v>131</v>
      </c>
      <c r="Y24" s="64"/>
      <c r="Z24" s="27" t="s">
        <v>33</v>
      </c>
    </row>
    <row r="25" spans="1:146" ht="45" customHeight="1">
      <c r="A25" s="28" t="s">
        <v>155</v>
      </c>
      <c r="B25" s="28"/>
      <c r="C25" s="29" t="s">
        <v>156</v>
      </c>
      <c r="D25" s="29">
        <v>1989</v>
      </c>
      <c r="E25" s="29">
        <v>1991</v>
      </c>
      <c r="F25" s="29" t="s">
        <v>149</v>
      </c>
      <c r="G25" s="31" t="s">
        <v>157</v>
      </c>
      <c r="H25" s="29" t="s">
        <v>149</v>
      </c>
      <c r="I25" s="31" t="s">
        <v>151</v>
      </c>
      <c r="J25" s="86" t="s">
        <v>31</v>
      </c>
      <c r="K25" s="87"/>
      <c r="L25" s="32">
        <v>196173</v>
      </c>
      <c r="M25" s="29"/>
      <c r="N25" s="29"/>
      <c r="O25" s="29"/>
      <c r="P25" s="29" t="s">
        <v>31</v>
      </c>
      <c r="Q25" s="29" t="s">
        <v>31</v>
      </c>
      <c r="R25" s="29"/>
      <c r="S25" s="297" t="s">
        <v>158</v>
      </c>
      <c r="T25" s="29"/>
      <c r="U25" s="31" t="s">
        <v>159</v>
      </c>
      <c r="V25" s="31" t="s">
        <v>153</v>
      </c>
      <c r="W25" s="31" t="s">
        <v>160</v>
      </c>
      <c r="X25" s="175"/>
      <c r="Y25" s="202"/>
      <c r="Z25" s="27" t="s">
        <v>33</v>
      </c>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2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row>
    <row r="26" spans="1:146" ht="45" customHeight="1">
      <c r="A26" s="48" t="s">
        <v>161</v>
      </c>
      <c r="B26" s="48"/>
      <c r="C26" s="29" t="s">
        <v>162</v>
      </c>
      <c r="D26" s="29">
        <v>1989</v>
      </c>
      <c r="E26" s="29">
        <v>1991</v>
      </c>
      <c r="F26" s="29" t="s">
        <v>149</v>
      </c>
      <c r="G26" s="31" t="s">
        <v>157</v>
      </c>
      <c r="H26" s="29" t="s">
        <v>149</v>
      </c>
      <c r="I26" s="31" t="s">
        <v>151</v>
      </c>
      <c r="J26" s="86" t="s">
        <v>31</v>
      </c>
      <c r="K26" s="87"/>
      <c r="L26" s="32">
        <v>24492</v>
      </c>
      <c r="M26" s="29"/>
      <c r="N26" s="29"/>
      <c r="O26" s="29"/>
      <c r="P26" s="29" t="s">
        <v>31</v>
      </c>
      <c r="Q26" s="29" t="s">
        <v>31</v>
      </c>
      <c r="R26" s="29"/>
      <c r="S26" s="345" t="s">
        <v>163</v>
      </c>
      <c r="T26" s="29"/>
      <c r="U26" s="31" t="s">
        <v>159</v>
      </c>
      <c r="V26" s="31" t="s">
        <v>153</v>
      </c>
      <c r="W26" s="31" t="s">
        <v>160</v>
      </c>
      <c r="X26" s="173"/>
      <c r="Y26" s="201"/>
      <c r="Z26" s="27" t="s">
        <v>33</v>
      </c>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row>
    <row r="27" spans="1:146" ht="45" customHeight="1">
      <c r="A27" s="282" t="s">
        <v>147</v>
      </c>
      <c r="B27" s="76"/>
      <c r="C27" s="80" t="s">
        <v>148</v>
      </c>
      <c r="D27" s="29">
        <v>1989</v>
      </c>
      <c r="E27" s="29">
        <v>1991</v>
      </c>
      <c r="F27" s="29" t="s">
        <v>149</v>
      </c>
      <c r="G27" s="31" t="s">
        <v>150</v>
      </c>
      <c r="H27" s="29" t="s">
        <v>149</v>
      </c>
      <c r="I27" s="31" t="s">
        <v>151</v>
      </c>
      <c r="J27" s="82"/>
      <c r="K27" s="82"/>
      <c r="L27" s="32">
        <v>423050</v>
      </c>
      <c r="M27" s="29" t="s">
        <v>31</v>
      </c>
      <c r="N27" s="29"/>
      <c r="O27" s="29"/>
      <c r="P27" s="29" t="s">
        <v>31</v>
      </c>
      <c r="Q27" s="29"/>
      <c r="R27" s="29"/>
      <c r="S27" s="333"/>
      <c r="T27" s="29"/>
      <c r="U27" s="31" t="s">
        <v>152</v>
      </c>
      <c r="V27" s="31" t="s">
        <v>153</v>
      </c>
      <c r="W27" s="31" t="s">
        <v>154</v>
      </c>
      <c r="X27" s="171"/>
      <c r="Y27" s="64"/>
      <c r="Z27" s="27" t="s">
        <v>33</v>
      </c>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row>
    <row r="28" spans="1:146" s="45" customFormat="1" ht="45" customHeight="1">
      <c r="A28" s="33" t="s">
        <v>192</v>
      </c>
      <c r="B28" s="33"/>
      <c r="C28" s="82"/>
      <c r="D28" s="29">
        <v>1989</v>
      </c>
      <c r="E28" s="29">
        <v>1991</v>
      </c>
      <c r="F28" s="29" t="s">
        <v>149</v>
      </c>
      <c r="G28" s="31" t="s">
        <v>150</v>
      </c>
      <c r="H28" s="87" t="s">
        <v>149</v>
      </c>
      <c r="I28" s="31" t="s">
        <v>151</v>
      </c>
      <c r="J28" s="29" t="s">
        <v>31</v>
      </c>
      <c r="K28" s="29"/>
      <c r="L28" s="83"/>
      <c r="M28" s="29"/>
      <c r="N28" s="29"/>
      <c r="O28" s="29"/>
      <c r="P28" s="29"/>
      <c r="Q28" s="29" t="s">
        <v>31</v>
      </c>
      <c r="R28" s="29"/>
      <c r="S28" s="351" t="s">
        <v>193</v>
      </c>
      <c r="T28" s="29"/>
      <c r="U28" s="78"/>
      <c r="V28" s="78"/>
      <c r="W28" s="78"/>
      <c r="X28" s="171"/>
      <c r="Y28" s="69"/>
      <c r="Z28" s="27" t="s">
        <v>33</v>
      </c>
    </row>
    <row r="29" spans="1:146" ht="45" customHeight="1">
      <c r="A29" s="107" t="s">
        <v>223</v>
      </c>
      <c r="B29" s="47"/>
      <c r="C29" s="87" t="s">
        <v>224</v>
      </c>
      <c r="D29" s="87">
        <v>1990</v>
      </c>
      <c r="E29" s="87">
        <v>1992</v>
      </c>
      <c r="F29" s="87"/>
      <c r="G29" s="212" t="s">
        <v>1661</v>
      </c>
      <c r="H29" s="86"/>
      <c r="I29" s="87" t="s">
        <v>57</v>
      </c>
      <c r="J29" s="87" t="s">
        <v>31</v>
      </c>
      <c r="K29" s="87"/>
      <c r="L29" s="88">
        <v>1158696</v>
      </c>
      <c r="M29" s="87"/>
      <c r="N29" s="87"/>
      <c r="O29" s="87"/>
      <c r="P29" s="87" t="s">
        <v>31</v>
      </c>
      <c r="Q29" s="87"/>
      <c r="R29" s="87"/>
      <c r="S29" s="352" t="s">
        <v>1629</v>
      </c>
      <c r="T29" s="87"/>
      <c r="U29" s="87" t="s">
        <v>227</v>
      </c>
      <c r="V29" s="87" t="s">
        <v>61</v>
      </c>
      <c r="W29" s="87" t="s">
        <v>228</v>
      </c>
      <c r="X29" s="195" t="s">
        <v>229</v>
      </c>
      <c r="Y29" s="196" t="s">
        <v>1628</v>
      </c>
      <c r="Z29" s="101" t="s">
        <v>33</v>
      </c>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2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row>
    <row r="30" spans="1:146" s="90" customFormat="1" ht="45" customHeight="1">
      <c r="A30" s="28" t="s">
        <v>194</v>
      </c>
      <c r="B30" s="28"/>
      <c r="C30" s="29" t="s">
        <v>195</v>
      </c>
      <c r="D30" s="29">
        <v>1990</v>
      </c>
      <c r="E30" s="29">
        <v>1992</v>
      </c>
      <c r="F30" s="87"/>
      <c r="G30" s="31" t="s">
        <v>36</v>
      </c>
      <c r="H30" s="29"/>
      <c r="I30" s="29" t="s">
        <v>57</v>
      </c>
      <c r="J30" s="29" t="s">
        <v>31</v>
      </c>
      <c r="K30" s="29"/>
      <c r="L30" s="32">
        <v>36050</v>
      </c>
      <c r="M30" s="29"/>
      <c r="N30" s="29" t="s">
        <v>31</v>
      </c>
      <c r="O30" s="29"/>
      <c r="P30" s="29"/>
      <c r="Q30" s="29"/>
      <c r="R30" s="29"/>
      <c r="S30" s="353" t="s">
        <v>196</v>
      </c>
      <c r="T30" s="29"/>
      <c r="U30" s="31" t="s">
        <v>136</v>
      </c>
      <c r="V30" s="31" t="s">
        <v>137</v>
      </c>
      <c r="W30" s="31" t="s">
        <v>197</v>
      </c>
      <c r="X30" s="178" t="s">
        <v>198</v>
      </c>
      <c r="Y30" s="64" t="s">
        <v>199</v>
      </c>
      <c r="Z30" s="27" t="s">
        <v>33</v>
      </c>
    </row>
    <row r="31" spans="1:146" ht="45" customHeight="1">
      <c r="A31" s="28" t="s">
        <v>209</v>
      </c>
      <c r="B31" s="28"/>
      <c r="C31" s="29" t="s">
        <v>210</v>
      </c>
      <c r="D31" s="29">
        <v>1990</v>
      </c>
      <c r="E31" s="29">
        <v>1990</v>
      </c>
      <c r="F31" s="29" t="s">
        <v>90</v>
      </c>
      <c r="G31" s="31" t="s">
        <v>36</v>
      </c>
      <c r="H31" s="87" t="s">
        <v>91</v>
      </c>
      <c r="I31" s="29" t="s">
        <v>57</v>
      </c>
      <c r="J31" s="29" t="s">
        <v>31</v>
      </c>
      <c r="K31" s="29"/>
      <c r="L31" s="32">
        <v>10313</v>
      </c>
      <c r="M31" s="29" t="s">
        <v>31</v>
      </c>
      <c r="N31" s="29"/>
      <c r="O31" s="29"/>
      <c r="P31" s="29"/>
      <c r="Q31" s="29"/>
      <c r="R31" s="80" t="s">
        <v>31</v>
      </c>
      <c r="S31" s="347" t="s">
        <v>211</v>
      </c>
      <c r="T31" s="36"/>
      <c r="U31" s="31" t="s">
        <v>212</v>
      </c>
      <c r="V31" s="31" t="s">
        <v>213</v>
      </c>
      <c r="W31" s="31" t="s">
        <v>214</v>
      </c>
      <c r="X31" s="179"/>
      <c r="Y31" s="201"/>
      <c r="Z31" s="27" t="s">
        <v>33</v>
      </c>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row>
    <row r="32" spans="1:146" s="309" customFormat="1" ht="45" customHeight="1">
      <c r="A32" s="46" t="s">
        <v>216</v>
      </c>
      <c r="B32" s="46"/>
      <c r="C32" s="303" t="s">
        <v>217</v>
      </c>
      <c r="D32" s="303">
        <v>1990</v>
      </c>
      <c r="E32" s="303">
        <v>1990</v>
      </c>
      <c r="F32" s="303" t="s">
        <v>184</v>
      </c>
      <c r="G32" s="308" t="s">
        <v>36</v>
      </c>
      <c r="H32" s="303" t="s">
        <v>185</v>
      </c>
      <c r="I32" s="303" t="s">
        <v>57</v>
      </c>
      <c r="J32" s="302"/>
      <c r="K32" s="302" t="s">
        <v>31</v>
      </c>
      <c r="L32" s="306">
        <v>8320</v>
      </c>
      <c r="M32" s="303"/>
      <c r="N32" s="303" t="s">
        <v>31</v>
      </c>
      <c r="O32" s="303"/>
      <c r="P32" s="303"/>
      <c r="Q32" s="303"/>
      <c r="R32" s="303"/>
      <c r="S32" s="352" t="s">
        <v>218</v>
      </c>
      <c r="T32" s="311"/>
      <c r="U32" s="308" t="s">
        <v>177</v>
      </c>
      <c r="V32" s="308" t="s">
        <v>178</v>
      </c>
      <c r="W32" s="308" t="s">
        <v>179</v>
      </c>
      <c r="X32" s="341"/>
      <c r="Y32" s="203"/>
      <c r="Z32" s="309" t="s">
        <v>33</v>
      </c>
    </row>
    <row r="33" spans="1:146" s="309" customFormat="1" ht="45" customHeight="1">
      <c r="A33" s="320" t="s">
        <v>219</v>
      </c>
      <c r="B33" s="296"/>
      <c r="C33" s="303" t="s">
        <v>220</v>
      </c>
      <c r="D33" s="303">
        <v>1990</v>
      </c>
      <c r="E33" s="303">
        <v>1990</v>
      </c>
      <c r="F33" s="303" t="s">
        <v>90</v>
      </c>
      <c r="G33" s="308" t="s">
        <v>36</v>
      </c>
      <c r="H33" s="303" t="s">
        <v>91</v>
      </c>
      <c r="I33" s="303" t="s">
        <v>57</v>
      </c>
      <c r="J33" s="303" t="s">
        <v>31</v>
      </c>
      <c r="K33" s="303"/>
      <c r="L33" s="306">
        <v>5179</v>
      </c>
      <c r="M33" s="303"/>
      <c r="N33" s="303" t="s">
        <v>31</v>
      </c>
      <c r="O33" s="303"/>
      <c r="P33" s="303"/>
      <c r="Q33" s="303"/>
      <c r="R33" s="303"/>
      <c r="S33" s="354"/>
      <c r="T33" s="303"/>
      <c r="U33" s="308" t="s">
        <v>221</v>
      </c>
      <c r="V33" s="308" t="s">
        <v>137</v>
      </c>
      <c r="W33" s="308" t="s">
        <v>222</v>
      </c>
      <c r="X33" s="341"/>
      <c r="Y33" s="330"/>
      <c r="Z33" s="309" t="s">
        <v>33</v>
      </c>
    </row>
    <row r="34" spans="1:146" s="309" customFormat="1" ht="45" customHeight="1">
      <c r="A34" s="249" t="s">
        <v>202</v>
      </c>
      <c r="B34" s="249"/>
      <c r="C34" s="303" t="s">
        <v>203</v>
      </c>
      <c r="D34" s="303">
        <v>1990</v>
      </c>
      <c r="E34" s="303">
        <v>1991</v>
      </c>
      <c r="F34" s="303" t="s">
        <v>111</v>
      </c>
      <c r="G34" s="308" t="s">
        <v>47</v>
      </c>
      <c r="H34" s="303" t="s">
        <v>95</v>
      </c>
      <c r="I34" s="303" t="s">
        <v>57</v>
      </c>
      <c r="J34" s="303" t="s">
        <v>31</v>
      </c>
      <c r="K34" s="303"/>
      <c r="L34" s="306">
        <v>1081656</v>
      </c>
      <c r="M34" s="303"/>
      <c r="N34" s="303"/>
      <c r="O34" s="303" t="s">
        <v>31</v>
      </c>
      <c r="P34" s="303"/>
      <c r="Q34" s="303"/>
      <c r="R34" s="303"/>
      <c r="S34" s="355" t="s">
        <v>204</v>
      </c>
      <c r="T34" s="222"/>
      <c r="U34" s="335" t="s">
        <v>205</v>
      </c>
      <c r="V34" s="308" t="s">
        <v>206</v>
      </c>
      <c r="W34" s="308" t="s">
        <v>207</v>
      </c>
      <c r="X34" s="327" t="s">
        <v>208</v>
      </c>
      <c r="Y34" s="203" t="s">
        <v>202</v>
      </c>
      <c r="Z34" s="309" t="s">
        <v>33</v>
      </c>
    </row>
    <row r="35" spans="1:146" s="90" customFormat="1" ht="45" customHeight="1">
      <c r="A35" s="28" t="s">
        <v>241</v>
      </c>
      <c r="B35" s="28"/>
      <c r="C35" s="29" t="s">
        <v>242</v>
      </c>
      <c r="D35" s="29">
        <v>1991</v>
      </c>
      <c r="E35" s="29">
        <v>1992</v>
      </c>
      <c r="F35" s="29" t="s">
        <v>243</v>
      </c>
      <c r="G35" s="31" t="s">
        <v>226</v>
      </c>
      <c r="H35" s="29" t="s">
        <v>244</v>
      </c>
      <c r="I35" s="213" t="s">
        <v>1663</v>
      </c>
      <c r="J35" s="86" t="s">
        <v>31</v>
      </c>
      <c r="K35" s="87"/>
      <c r="L35" s="32">
        <v>9629</v>
      </c>
      <c r="M35" s="29" t="s">
        <v>31</v>
      </c>
      <c r="N35" s="29"/>
      <c r="O35" s="29"/>
      <c r="P35" s="29"/>
      <c r="Q35" s="29"/>
      <c r="R35" s="29" t="s">
        <v>31</v>
      </c>
      <c r="S35" s="304" t="s">
        <v>245</v>
      </c>
      <c r="T35" s="36"/>
      <c r="U35" s="31" t="s">
        <v>246</v>
      </c>
      <c r="V35" s="31" t="s">
        <v>247</v>
      </c>
      <c r="W35" s="31" t="s">
        <v>248</v>
      </c>
      <c r="X35" s="173"/>
      <c r="Y35" s="201"/>
      <c r="Z35" s="27" t="s">
        <v>33</v>
      </c>
    </row>
    <row r="36" spans="1:146" ht="45" customHeight="1">
      <c r="A36" s="47" t="s">
        <v>230</v>
      </c>
      <c r="B36" s="47"/>
      <c r="C36" s="87" t="s">
        <v>231</v>
      </c>
      <c r="D36" s="87">
        <v>1991</v>
      </c>
      <c r="E36" s="87">
        <v>1995</v>
      </c>
      <c r="F36" s="87" t="s">
        <v>111</v>
      </c>
      <c r="G36" s="99" t="s">
        <v>36</v>
      </c>
      <c r="H36" s="87" t="s">
        <v>95</v>
      </c>
      <c r="I36" s="87" t="s">
        <v>57</v>
      </c>
      <c r="J36" s="87" t="s">
        <v>31</v>
      </c>
      <c r="K36" s="87"/>
      <c r="L36" s="88">
        <v>2294158</v>
      </c>
      <c r="M36" s="87"/>
      <c r="N36" s="87"/>
      <c r="O36" s="87"/>
      <c r="P36" s="87"/>
      <c r="Q36" s="87"/>
      <c r="R36" s="87" t="s">
        <v>31</v>
      </c>
      <c r="S36" s="352" t="s">
        <v>232</v>
      </c>
      <c r="T36" s="87"/>
      <c r="U36" s="99" t="s">
        <v>233</v>
      </c>
      <c r="V36" s="99" t="s">
        <v>61</v>
      </c>
      <c r="W36" s="99" t="s">
        <v>234</v>
      </c>
      <c r="X36" s="185"/>
      <c r="Y36" s="203"/>
      <c r="Z36" s="101" t="s">
        <v>33</v>
      </c>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c r="CE36" s="27"/>
      <c r="CF36" s="27"/>
      <c r="CG36" s="27"/>
      <c r="CH36" s="27"/>
      <c r="CI36" s="27"/>
      <c r="CJ36" s="27"/>
      <c r="CK36" s="27"/>
      <c r="CL36" s="27"/>
      <c r="CM36" s="27"/>
      <c r="CN36" s="27"/>
      <c r="CO36" s="27"/>
      <c r="CP36" s="27"/>
      <c r="CQ36" s="27"/>
      <c r="CR36" s="27"/>
      <c r="CS36" s="27"/>
      <c r="CT36" s="27"/>
      <c r="CU36" s="27"/>
      <c r="CV36" s="27"/>
      <c r="CW36" s="27"/>
      <c r="CX36" s="27"/>
      <c r="CY36" s="27"/>
      <c r="CZ36" s="27"/>
      <c r="DA36" s="27"/>
      <c r="DB36" s="27"/>
      <c r="DC36" s="27"/>
      <c r="DD36" s="27"/>
      <c r="DE36" s="27"/>
      <c r="DF36" s="27"/>
      <c r="DG36" s="27"/>
      <c r="DH36" s="27"/>
      <c r="DI36" s="27"/>
      <c r="DJ36" s="27"/>
      <c r="DK36" s="27"/>
      <c r="DL36" s="27"/>
      <c r="DM36" s="27"/>
      <c r="DN36" s="27"/>
      <c r="DO36" s="27"/>
      <c r="DP36" s="27"/>
      <c r="DQ36" s="27"/>
      <c r="DR36" s="27"/>
      <c r="DS36" s="27"/>
      <c r="DT36" s="27"/>
      <c r="DU36" s="27"/>
      <c r="DV36" s="27"/>
      <c r="DW36" s="27"/>
      <c r="DX36" s="27"/>
      <c r="DY36" s="27"/>
      <c r="DZ36" s="27"/>
      <c r="EA36" s="27"/>
      <c r="EB36" s="27"/>
      <c r="EC36" s="27"/>
      <c r="ED36" s="27"/>
      <c r="EE36" s="27"/>
      <c r="EF36" s="27"/>
      <c r="EG36" s="27"/>
      <c r="EH36" s="27"/>
      <c r="EI36" s="27"/>
      <c r="EJ36" s="27"/>
      <c r="EK36" s="27"/>
      <c r="EL36" s="27"/>
      <c r="EM36" s="27"/>
      <c r="EN36" s="27"/>
      <c r="EO36" s="27"/>
      <c r="EP36" s="27"/>
    </row>
    <row r="37" spans="1:146" ht="45" customHeight="1">
      <c r="A37" s="42" t="s">
        <v>235</v>
      </c>
      <c r="B37" s="42"/>
      <c r="C37" s="80" t="s">
        <v>1633</v>
      </c>
      <c r="D37" s="29">
        <v>1991</v>
      </c>
      <c r="E37" s="29">
        <v>1991</v>
      </c>
      <c r="F37" s="29" t="s">
        <v>184</v>
      </c>
      <c r="G37" s="31" t="s">
        <v>47</v>
      </c>
      <c r="H37" s="303" t="s">
        <v>185</v>
      </c>
      <c r="I37" s="29" t="s">
        <v>57</v>
      </c>
      <c r="J37" s="86" t="s">
        <v>31</v>
      </c>
      <c r="K37" s="87"/>
      <c r="L37" s="32">
        <v>399365</v>
      </c>
      <c r="M37" s="29"/>
      <c r="N37" s="29"/>
      <c r="O37" s="29"/>
      <c r="P37" s="29"/>
      <c r="Q37" s="29"/>
      <c r="R37" s="29" t="s">
        <v>31</v>
      </c>
      <c r="S37" s="304" t="s">
        <v>236</v>
      </c>
      <c r="T37" s="29"/>
      <c r="U37" s="31" t="s">
        <v>237</v>
      </c>
      <c r="V37" s="31" t="s">
        <v>238</v>
      </c>
      <c r="W37" s="31" t="s">
        <v>239</v>
      </c>
      <c r="X37" s="180" t="s">
        <v>1806</v>
      </c>
      <c r="Y37" s="69" t="s">
        <v>191</v>
      </c>
      <c r="Z37" s="27" t="s">
        <v>33</v>
      </c>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row>
    <row r="38" spans="1:146" ht="45" customHeight="1">
      <c r="A38" s="33" t="s">
        <v>249</v>
      </c>
      <c r="B38" s="33"/>
      <c r="C38" s="29" t="s">
        <v>250</v>
      </c>
      <c r="D38" s="29">
        <v>1991</v>
      </c>
      <c r="E38" s="29">
        <v>1993</v>
      </c>
      <c r="F38" s="29" t="s">
        <v>149</v>
      </c>
      <c r="G38" s="31" t="s">
        <v>157</v>
      </c>
      <c r="H38" s="29" t="s">
        <v>149</v>
      </c>
      <c r="I38" s="31" t="s">
        <v>151</v>
      </c>
      <c r="J38" s="86" t="s">
        <v>31</v>
      </c>
      <c r="K38" s="87"/>
      <c r="L38" s="32">
        <v>1404480</v>
      </c>
      <c r="M38" s="29"/>
      <c r="N38" s="29"/>
      <c r="O38" s="29"/>
      <c r="P38" s="29" t="s">
        <v>31</v>
      </c>
      <c r="Q38" s="29"/>
      <c r="R38" s="29"/>
      <c r="S38" s="333"/>
      <c r="T38" s="29"/>
      <c r="U38" s="31" t="s">
        <v>159</v>
      </c>
      <c r="V38" s="31" t="s">
        <v>153</v>
      </c>
      <c r="W38" s="31" t="s">
        <v>160</v>
      </c>
      <c r="X38" s="172"/>
      <c r="Y38" s="201"/>
      <c r="Z38" s="27" t="s">
        <v>33</v>
      </c>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c r="CV38" s="27"/>
      <c r="CW38" s="27"/>
      <c r="CX38" s="27"/>
      <c r="CY38" s="27"/>
      <c r="CZ38" s="27"/>
      <c r="DA38" s="27"/>
      <c r="DB38" s="27"/>
      <c r="DC38" s="27"/>
      <c r="DD38" s="27"/>
      <c r="DE38" s="27"/>
      <c r="DF38" s="27"/>
      <c r="DG38" s="27"/>
      <c r="DH38" s="27"/>
      <c r="DI38" s="27"/>
      <c r="DJ38" s="27"/>
      <c r="DK38" s="27"/>
      <c r="DL38" s="27"/>
      <c r="DM38" s="27"/>
      <c r="DN38" s="27"/>
      <c r="DO38" s="27"/>
      <c r="DP38" s="27"/>
      <c r="DQ38" s="27"/>
      <c r="DR38" s="27"/>
      <c r="DS38" s="27"/>
      <c r="DT38" s="27"/>
      <c r="DU38" s="27"/>
      <c r="DV38" s="27"/>
      <c r="DW38" s="27"/>
      <c r="DX38" s="27"/>
      <c r="DY38" s="27"/>
      <c r="DZ38" s="27"/>
      <c r="EA38" s="27"/>
      <c r="EB38" s="27"/>
      <c r="EC38" s="27"/>
      <c r="ED38" s="27"/>
      <c r="EE38" s="27"/>
      <c r="EF38" s="27"/>
      <c r="EG38" s="27"/>
      <c r="EH38" s="27"/>
      <c r="EI38" s="27"/>
      <c r="EJ38" s="27"/>
      <c r="EK38" s="27"/>
      <c r="EL38" s="27"/>
      <c r="EM38" s="27"/>
      <c r="EN38" s="27"/>
      <c r="EO38" s="27"/>
      <c r="EP38" s="27"/>
    </row>
    <row r="39" spans="1:146" s="90" customFormat="1" ht="45" customHeight="1">
      <c r="A39" s="47" t="s">
        <v>251</v>
      </c>
      <c r="B39" s="47"/>
      <c r="C39" s="87" t="s">
        <v>252</v>
      </c>
      <c r="D39" s="87">
        <v>1992</v>
      </c>
      <c r="E39" s="87">
        <v>1992</v>
      </c>
      <c r="F39" s="87" t="s">
        <v>253</v>
      </c>
      <c r="G39" s="99" t="s">
        <v>254</v>
      </c>
      <c r="H39" s="87" t="s">
        <v>255</v>
      </c>
      <c r="I39" s="87" t="s">
        <v>57</v>
      </c>
      <c r="J39" s="87" t="s">
        <v>31</v>
      </c>
      <c r="K39" s="87"/>
      <c r="L39" s="88">
        <v>43820</v>
      </c>
      <c r="M39" s="87" t="s">
        <v>31</v>
      </c>
      <c r="N39" s="87"/>
      <c r="O39" s="87"/>
      <c r="P39" s="87"/>
      <c r="Q39" s="87"/>
      <c r="R39" s="87"/>
      <c r="S39" s="352" t="s">
        <v>256</v>
      </c>
      <c r="T39" s="87"/>
      <c r="U39" s="99" t="s">
        <v>257</v>
      </c>
      <c r="V39" s="99" t="s">
        <v>258</v>
      </c>
      <c r="W39" s="99" t="s">
        <v>259</v>
      </c>
      <c r="X39" s="185"/>
      <c r="Y39" s="203"/>
      <c r="Z39" s="101" t="s">
        <v>33</v>
      </c>
    </row>
    <row r="40" spans="1:146" ht="45" customHeight="1">
      <c r="A40" s="47" t="s">
        <v>268</v>
      </c>
      <c r="B40" s="47"/>
      <c r="C40" s="87" t="s">
        <v>269</v>
      </c>
      <c r="D40" s="87">
        <v>1992</v>
      </c>
      <c r="E40" s="87">
        <v>1992</v>
      </c>
      <c r="F40" s="87" t="s">
        <v>270</v>
      </c>
      <c r="G40" s="99" t="s">
        <v>271</v>
      </c>
      <c r="H40" s="87" t="s">
        <v>272</v>
      </c>
      <c r="I40" s="99" t="s">
        <v>57</v>
      </c>
      <c r="J40" s="87" t="s">
        <v>31</v>
      </c>
      <c r="K40" s="87"/>
      <c r="L40" s="88">
        <v>25000</v>
      </c>
      <c r="M40" s="87" t="s">
        <v>31</v>
      </c>
      <c r="N40" s="87" t="s">
        <v>31</v>
      </c>
      <c r="O40" s="87"/>
      <c r="P40" s="87"/>
      <c r="Q40" s="87"/>
      <c r="R40" s="87"/>
      <c r="S40" s="352" t="s">
        <v>273</v>
      </c>
      <c r="T40" s="87"/>
      <c r="U40" s="99"/>
      <c r="V40" s="99"/>
      <c r="W40" s="99"/>
      <c r="X40" s="185"/>
      <c r="Y40" s="203"/>
      <c r="Z40" s="101" t="s">
        <v>33</v>
      </c>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2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row>
    <row r="41" spans="1:146" s="101" customFormat="1" ht="45" customHeight="1">
      <c r="A41" s="47" t="s">
        <v>260</v>
      </c>
      <c r="B41" s="28"/>
      <c r="C41" s="278"/>
      <c r="D41" s="29">
        <v>1992</v>
      </c>
      <c r="E41" s="29">
        <v>1992</v>
      </c>
      <c r="F41" s="87"/>
      <c r="G41" s="99" t="s">
        <v>36</v>
      </c>
      <c r="H41" s="99"/>
      <c r="I41" s="31" t="s">
        <v>57</v>
      </c>
      <c r="J41" s="87" t="s">
        <v>31</v>
      </c>
      <c r="K41" s="87"/>
      <c r="L41" s="88"/>
      <c r="M41" s="29" t="s">
        <v>31</v>
      </c>
      <c r="N41" s="29" t="s">
        <v>31</v>
      </c>
      <c r="O41" s="29"/>
      <c r="P41" s="29"/>
      <c r="Q41" s="29"/>
      <c r="R41" s="29"/>
      <c r="S41" s="343" t="s">
        <v>261</v>
      </c>
      <c r="T41" s="36"/>
      <c r="U41" s="29"/>
      <c r="V41" s="29"/>
      <c r="W41" s="29"/>
      <c r="X41" s="178" t="s">
        <v>262</v>
      </c>
      <c r="Y41" s="64" t="s">
        <v>260</v>
      </c>
      <c r="Z41" s="27" t="s">
        <v>33</v>
      </c>
    </row>
    <row r="42" spans="1:146" s="101" customFormat="1" ht="45" customHeight="1">
      <c r="A42" s="28" t="s">
        <v>281</v>
      </c>
      <c r="B42" s="28"/>
      <c r="C42" s="29">
        <v>205589</v>
      </c>
      <c r="D42" s="29">
        <v>1992</v>
      </c>
      <c r="E42" s="29">
        <v>1993</v>
      </c>
      <c r="F42" s="29" t="s">
        <v>282</v>
      </c>
      <c r="G42" s="31" t="s">
        <v>47</v>
      </c>
      <c r="H42" s="29" t="s">
        <v>283</v>
      </c>
      <c r="I42" s="29" t="s">
        <v>79</v>
      </c>
      <c r="J42" s="91" t="s">
        <v>31</v>
      </c>
      <c r="K42" s="29"/>
      <c r="L42" s="32">
        <v>14445</v>
      </c>
      <c r="M42" s="29" t="s">
        <v>31</v>
      </c>
      <c r="N42" s="29"/>
      <c r="O42" s="29"/>
      <c r="P42" s="29"/>
      <c r="Q42" s="29"/>
      <c r="R42" s="29"/>
      <c r="S42" s="356"/>
      <c r="T42" s="29"/>
      <c r="U42" s="31" t="s">
        <v>284</v>
      </c>
      <c r="V42" s="31" t="s">
        <v>285</v>
      </c>
      <c r="W42" s="31" t="s">
        <v>286</v>
      </c>
      <c r="X42" s="168"/>
      <c r="Y42" s="69"/>
      <c r="Z42" s="27" t="s">
        <v>33</v>
      </c>
    </row>
    <row r="43" spans="1:146" s="89" customFormat="1" ht="45" customHeight="1">
      <c r="A43" s="47" t="s">
        <v>274</v>
      </c>
      <c r="B43" s="47"/>
      <c r="C43" s="87" t="s">
        <v>275</v>
      </c>
      <c r="D43" s="87">
        <v>1992</v>
      </c>
      <c r="E43" s="87">
        <v>1993</v>
      </c>
      <c r="F43" s="87" t="s">
        <v>276</v>
      </c>
      <c r="G43" s="99" t="s">
        <v>47</v>
      </c>
      <c r="H43" s="87" t="s">
        <v>277</v>
      </c>
      <c r="I43" s="99" t="s">
        <v>278</v>
      </c>
      <c r="J43" s="87" t="s">
        <v>31</v>
      </c>
      <c r="K43" s="87"/>
      <c r="L43" s="88">
        <v>10400</v>
      </c>
      <c r="M43" s="87"/>
      <c r="N43" s="87"/>
      <c r="O43" s="302" t="s">
        <v>31</v>
      </c>
      <c r="P43" s="87"/>
      <c r="Q43" s="87"/>
      <c r="R43" s="87"/>
      <c r="S43" s="356"/>
      <c r="T43" s="87"/>
      <c r="U43" s="99" t="s">
        <v>279</v>
      </c>
      <c r="V43" s="99"/>
      <c r="W43" s="99" t="s">
        <v>280</v>
      </c>
      <c r="X43" s="185"/>
      <c r="Y43" s="206"/>
      <c r="Z43" s="101" t="s">
        <v>33</v>
      </c>
    </row>
    <row r="44" spans="1:146" ht="45" customHeight="1">
      <c r="A44" s="76" t="s">
        <v>263</v>
      </c>
      <c r="B44" s="76"/>
      <c r="C44" s="29" t="s">
        <v>264</v>
      </c>
      <c r="D44" s="29">
        <v>1992</v>
      </c>
      <c r="E44" s="29">
        <v>1996</v>
      </c>
      <c r="F44" s="29" t="s">
        <v>149</v>
      </c>
      <c r="G44" s="31" t="s">
        <v>150</v>
      </c>
      <c r="H44" s="29" t="s">
        <v>149</v>
      </c>
      <c r="I44" s="31" t="s">
        <v>151</v>
      </c>
      <c r="J44" s="86" t="s">
        <v>31</v>
      </c>
      <c r="K44" s="87"/>
      <c r="L44" s="32">
        <v>155787</v>
      </c>
      <c r="M44" s="29" t="s">
        <v>31</v>
      </c>
      <c r="N44" s="29"/>
      <c r="O44" s="29"/>
      <c r="P44" s="29"/>
      <c r="Q44" s="29"/>
      <c r="R44" s="29"/>
      <c r="S44" s="356"/>
      <c r="T44" s="52"/>
      <c r="U44" s="60" t="s">
        <v>265</v>
      </c>
      <c r="V44" s="92" t="s">
        <v>266</v>
      </c>
      <c r="W44" s="31" t="s">
        <v>267</v>
      </c>
      <c r="Y44" s="64"/>
      <c r="Z44" s="27" t="s">
        <v>33</v>
      </c>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row>
    <row r="45" spans="1:146" s="147" customFormat="1" ht="45" customHeight="1">
      <c r="A45" s="47" t="s">
        <v>420</v>
      </c>
      <c r="B45" s="28"/>
      <c r="C45" s="31" t="s">
        <v>421</v>
      </c>
      <c r="D45" s="29">
        <v>1993</v>
      </c>
      <c r="E45" s="29">
        <v>1996</v>
      </c>
      <c r="F45" s="29" t="s">
        <v>422</v>
      </c>
      <c r="G45" s="31" t="s">
        <v>254</v>
      </c>
      <c r="H45" s="87" t="s">
        <v>423</v>
      </c>
      <c r="I45" s="31" t="s">
        <v>57</v>
      </c>
      <c r="J45" s="29" t="s">
        <v>31</v>
      </c>
      <c r="K45" s="29"/>
      <c r="L45" s="32">
        <v>909781</v>
      </c>
      <c r="M45" s="29" t="s">
        <v>31</v>
      </c>
      <c r="N45" s="29"/>
      <c r="O45" s="29"/>
      <c r="P45" s="80" t="s">
        <v>31</v>
      </c>
      <c r="Q45" s="29"/>
      <c r="R45" s="29" t="s">
        <v>31</v>
      </c>
      <c r="S45" s="304" t="s">
        <v>424</v>
      </c>
      <c r="T45" s="56"/>
      <c r="U45" s="29"/>
      <c r="V45" s="29"/>
      <c r="W45" s="29"/>
      <c r="X45" s="178" t="s">
        <v>1807</v>
      </c>
      <c r="Y45" s="69" t="s">
        <v>426</v>
      </c>
      <c r="Z45" s="27" t="s">
        <v>33</v>
      </c>
    </row>
    <row r="46" spans="1:146" s="317" customFormat="1" ht="45" customHeight="1">
      <c r="A46" s="149" t="s">
        <v>1789</v>
      </c>
      <c r="B46" s="313"/>
      <c r="C46" s="314" t="s">
        <v>296</v>
      </c>
      <c r="D46" s="315">
        <v>1993</v>
      </c>
      <c r="E46" s="315">
        <v>1998</v>
      </c>
      <c r="F46" s="315"/>
      <c r="G46" s="314" t="s">
        <v>290</v>
      </c>
      <c r="H46" s="315"/>
      <c r="I46" s="315" t="s">
        <v>57</v>
      </c>
      <c r="J46" s="315" t="s">
        <v>31</v>
      </c>
      <c r="K46" s="315"/>
      <c r="L46" s="316"/>
      <c r="M46" s="319" t="s">
        <v>31</v>
      </c>
      <c r="N46" s="315" t="s">
        <v>31</v>
      </c>
      <c r="O46" s="315"/>
      <c r="P46" s="315"/>
      <c r="Q46" s="315"/>
      <c r="R46" s="315"/>
      <c r="S46" s="369" t="s">
        <v>1790</v>
      </c>
      <c r="T46" s="370"/>
      <c r="U46" s="314" t="s">
        <v>297</v>
      </c>
      <c r="V46" s="315" t="s">
        <v>298</v>
      </c>
      <c r="W46" s="315" t="s">
        <v>299</v>
      </c>
      <c r="X46" s="325"/>
      <c r="Y46" s="329"/>
      <c r="Z46" s="317" t="s">
        <v>33</v>
      </c>
    </row>
    <row r="47" spans="1:146" ht="45" customHeight="1">
      <c r="A47" s="149" t="s">
        <v>312</v>
      </c>
      <c r="B47" s="143"/>
      <c r="C47" s="150" t="s">
        <v>313</v>
      </c>
      <c r="D47" s="145">
        <v>1993</v>
      </c>
      <c r="E47" s="145">
        <v>1998</v>
      </c>
      <c r="F47" s="145"/>
      <c r="G47" s="144" t="s">
        <v>289</v>
      </c>
      <c r="H47" s="145"/>
      <c r="I47" s="145" t="s">
        <v>57</v>
      </c>
      <c r="J47" s="145" t="s">
        <v>31</v>
      </c>
      <c r="K47" s="145"/>
      <c r="L47" s="146">
        <v>5402009</v>
      </c>
      <c r="M47" s="145"/>
      <c r="N47" s="145" t="s">
        <v>31</v>
      </c>
      <c r="O47" s="145"/>
      <c r="P47" s="145"/>
      <c r="Q47" s="150" t="s">
        <v>31</v>
      </c>
      <c r="R47" s="145"/>
      <c r="S47" s="348" t="s">
        <v>315</v>
      </c>
      <c r="T47" s="283"/>
      <c r="U47" s="144" t="s">
        <v>316</v>
      </c>
      <c r="V47" s="145" t="s">
        <v>317</v>
      </c>
      <c r="W47" s="145" t="s">
        <v>318</v>
      </c>
      <c r="X47" s="182"/>
      <c r="Y47" s="165" t="s">
        <v>1625</v>
      </c>
      <c r="Z47" s="147" t="s">
        <v>33</v>
      </c>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row>
    <row r="48" spans="1:146" s="101" customFormat="1" ht="45" customHeight="1">
      <c r="A48" s="148" t="s">
        <v>300</v>
      </c>
      <c r="B48" s="28"/>
      <c r="C48" s="29" t="s">
        <v>301</v>
      </c>
      <c r="D48" s="29">
        <v>1993</v>
      </c>
      <c r="E48" s="29">
        <v>1994</v>
      </c>
      <c r="F48" s="87"/>
      <c r="G48" s="31" t="s">
        <v>36</v>
      </c>
      <c r="H48" s="29"/>
      <c r="I48" s="31" t="s">
        <v>278</v>
      </c>
      <c r="J48" s="29" t="s">
        <v>31</v>
      </c>
      <c r="K48" s="29"/>
      <c r="L48" s="32">
        <v>17100</v>
      </c>
      <c r="M48" s="29"/>
      <c r="N48" s="29"/>
      <c r="O48" s="29" t="s">
        <v>31</v>
      </c>
      <c r="P48" s="29"/>
      <c r="Q48" s="29"/>
      <c r="R48" s="29" t="s">
        <v>31</v>
      </c>
      <c r="S48" s="354"/>
      <c r="T48" s="56"/>
      <c r="U48" s="31" t="s">
        <v>302</v>
      </c>
      <c r="V48" s="31" t="s">
        <v>303</v>
      </c>
      <c r="W48" s="31" t="s">
        <v>304</v>
      </c>
      <c r="X48" s="181"/>
      <c r="Y48" s="64"/>
      <c r="Z48" s="27" t="s">
        <v>33</v>
      </c>
    </row>
    <row r="49" spans="1:146" s="147" customFormat="1" ht="45" customHeight="1">
      <c r="A49" s="28" t="s">
        <v>305</v>
      </c>
      <c r="B49" s="28"/>
      <c r="C49" s="29" t="s">
        <v>306</v>
      </c>
      <c r="D49" s="29">
        <v>1993</v>
      </c>
      <c r="E49" s="29">
        <v>1995</v>
      </c>
      <c r="F49" s="29" t="s">
        <v>149</v>
      </c>
      <c r="G49" s="31" t="s">
        <v>150</v>
      </c>
      <c r="H49" s="29" t="s">
        <v>149</v>
      </c>
      <c r="I49" s="31" t="s">
        <v>307</v>
      </c>
      <c r="J49" s="29" t="s">
        <v>31</v>
      </c>
      <c r="K49" s="29"/>
      <c r="L49" s="32">
        <v>1084335</v>
      </c>
      <c r="M49" s="29" t="s">
        <v>31</v>
      </c>
      <c r="N49" s="29"/>
      <c r="O49" s="29"/>
      <c r="P49" s="29" t="s">
        <v>31</v>
      </c>
      <c r="Q49" s="29"/>
      <c r="R49" s="29"/>
      <c r="S49" s="347" t="s">
        <v>308</v>
      </c>
      <c r="T49" s="36"/>
      <c r="U49" s="31" t="s">
        <v>309</v>
      </c>
      <c r="V49" s="31" t="s">
        <v>310</v>
      </c>
      <c r="W49" s="31" t="s">
        <v>311</v>
      </c>
      <c r="X49" s="179"/>
      <c r="Y49" s="64"/>
      <c r="Z49" s="27" t="s">
        <v>33</v>
      </c>
    </row>
    <row r="50" spans="1:146" s="147" customFormat="1" ht="45" customHeight="1">
      <c r="A50" s="143" t="s">
        <v>332</v>
      </c>
      <c r="B50" s="143"/>
      <c r="C50" s="145" t="s">
        <v>320</v>
      </c>
      <c r="D50" s="145">
        <v>1994</v>
      </c>
      <c r="E50" s="145">
        <v>1999</v>
      </c>
      <c r="F50" s="145"/>
      <c r="G50" s="144" t="s">
        <v>200</v>
      </c>
      <c r="H50" s="145"/>
      <c r="I50" s="145" t="s">
        <v>57</v>
      </c>
      <c r="J50" s="145" t="s">
        <v>31</v>
      </c>
      <c r="K50" s="145"/>
      <c r="L50" s="146">
        <v>4252305</v>
      </c>
      <c r="M50" s="145" t="s">
        <v>31</v>
      </c>
      <c r="N50" s="145"/>
      <c r="O50" s="145"/>
      <c r="P50" s="145" t="s">
        <v>31</v>
      </c>
      <c r="Q50" s="145"/>
      <c r="R50" s="145"/>
      <c r="S50" s="323" t="s">
        <v>1758</v>
      </c>
      <c r="T50" s="210"/>
      <c r="U50" s="145" t="s">
        <v>333</v>
      </c>
      <c r="V50" s="145" t="s">
        <v>334</v>
      </c>
      <c r="W50" s="145" t="s">
        <v>335</v>
      </c>
      <c r="X50" s="183"/>
      <c r="Y50" s="204"/>
      <c r="Z50" s="147" t="s">
        <v>33</v>
      </c>
    </row>
    <row r="51" spans="1:146" ht="45" customHeight="1">
      <c r="A51" s="47" t="s">
        <v>326</v>
      </c>
      <c r="B51" s="28"/>
      <c r="C51" s="29" t="s">
        <v>327</v>
      </c>
      <c r="D51" s="29">
        <v>1994</v>
      </c>
      <c r="E51" s="29">
        <v>1997</v>
      </c>
      <c r="F51" s="87"/>
      <c r="G51" s="212" t="s">
        <v>226</v>
      </c>
      <c r="H51" s="212"/>
      <c r="I51" s="29" t="s">
        <v>57</v>
      </c>
      <c r="J51" s="29" t="s">
        <v>31</v>
      </c>
      <c r="K51" s="29"/>
      <c r="L51" s="32">
        <v>427109</v>
      </c>
      <c r="M51" s="29" t="s">
        <v>31</v>
      </c>
      <c r="N51" s="29"/>
      <c r="O51" s="29"/>
      <c r="P51" s="29" t="s">
        <v>31</v>
      </c>
      <c r="Q51" s="29"/>
      <c r="R51" s="29"/>
      <c r="S51" s="305" t="s">
        <v>328</v>
      </c>
      <c r="T51" s="29"/>
      <c r="U51" s="29" t="s">
        <v>329</v>
      </c>
      <c r="V51" s="29" t="s">
        <v>330</v>
      </c>
      <c r="W51" s="29" t="s">
        <v>331</v>
      </c>
      <c r="X51" s="179"/>
      <c r="Y51" s="64"/>
      <c r="Z51" s="27" t="s">
        <v>33</v>
      </c>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c r="CV51" s="27"/>
      <c r="CW51" s="27"/>
      <c r="CX51" s="27"/>
      <c r="CY51" s="27"/>
      <c r="CZ51" s="27"/>
      <c r="DA51" s="27"/>
      <c r="DB51" s="27"/>
      <c r="DC51" s="27"/>
      <c r="DD51" s="27"/>
      <c r="DE51" s="27"/>
      <c r="DF51" s="27"/>
      <c r="DG51" s="27"/>
      <c r="DH51" s="27"/>
      <c r="DI51" s="27"/>
      <c r="DJ51" s="27"/>
      <c r="DK51" s="27"/>
      <c r="DL51" s="27"/>
      <c r="DM51" s="27"/>
      <c r="DN51" s="27"/>
      <c r="DO51" s="27"/>
      <c r="DP51" s="27"/>
      <c r="DQ51" s="27"/>
      <c r="DR51" s="27"/>
      <c r="DS51" s="27"/>
      <c r="DT51" s="27"/>
      <c r="DU51" s="27"/>
      <c r="DV51" s="27"/>
      <c r="DW51" s="27"/>
      <c r="DX51" s="27"/>
      <c r="DY51" s="27"/>
      <c r="DZ51" s="27"/>
      <c r="EA51" s="27"/>
      <c r="EB51" s="27"/>
      <c r="EC51" s="27"/>
      <c r="ED51" s="27"/>
      <c r="EE51" s="27"/>
      <c r="EF51" s="27"/>
      <c r="EG51" s="27"/>
      <c r="EH51" s="27"/>
      <c r="EI51" s="27"/>
      <c r="EJ51" s="27"/>
      <c r="EK51" s="27"/>
      <c r="EL51" s="27"/>
      <c r="EM51" s="27"/>
      <c r="EN51" s="27"/>
      <c r="EO51" s="27"/>
      <c r="EP51" s="27"/>
    </row>
    <row r="52" spans="1:146" s="147" customFormat="1" ht="45" customHeight="1">
      <c r="A52" s="155" t="s">
        <v>319</v>
      </c>
      <c r="B52" s="155"/>
      <c r="C52" s="156" t="s">
        <v>320</v>
      </c>
      <c r="D52" s="156">
        <v>1994</v>
      </c>
      <c r="E52" s="156">
        <v>1998</v>
      </c>
      <c r="F52" s="145"/>
      <c r="G52" s="157" t="s">
        <v>289</v>
      </c>
      <c r="H52" s="156"/>
      <c r="I52" s="156" t="s">
        <v>57</v>
      </c>
      <c r="J52" s="156" t="s">
        <v>31</v>
      </c>
      <c r="K52" s="156" t="s">
        <v>321</v>
      </c>
      <c r="L52" s="158">
        <v>4252305</v>
      </c>
      <c r="M52" s="156" t="s">
        <v>31</v>
      </c>
      <c r="N52" s="159"/>
      <c r="O52" s="159"/>
      <c r="P52" s="159"/>
      <c r="Q52" s="159"/>
      <c r="R52" s="159"/>
      <c r="S52" s="323" t="s">
        <v>322</v>
      </c>
      <c r="T52" s="159"/>
      <c r="U52" s="160" t="s">
        <v>323</v>
      </c>
      <c r="V52" s="159" t="s">
        <v>324</v>
      </c>
      <c r="W52" s="159" t="s">
        <v>325</v>
      </c>
      <c r="X52" s="256" t="s">
        <v>1808</v>
      </c>
      <c r="Y52" s="162" t="s">
        <v>1639</v>
      </c>
      <c r="Z52" s="147" t="s">
        <v>33</v>
      </c>
    </row>
    <row r="53" spans="1:146" ht="45" customHeight="1">
      <c r="A53" s="148" t="s">
        <v>340</v>
      </c>
      <c r="B53" s="28"/>
      <c r="C53" s="86" t="s">
        <v>1634</v>
      </c>
      <c r="D53" s="29">
        <v>1994</v>
      </c>
      <c r="E53" s="29">
        <v>1994</v>
      </c>
      <c r="F53" s="87" t="s">
        <v>71</v>
      </c>
      <c r="G53" s="31" t="s">
        <v>47</v>
      </c>
      <c r="H53" s="99" t="s">
        <v>72</v>
      </c>
      <c r="I53" s="29" t="s">
        <v>73</v>
      </c>
      <c r="J53" s="29" t="s">
        <v>31</v>
      </c>
      <c r="K53" s="29"/>
      <c r="L53" s="83"/>
      <c r="M53" s="29" t="s">
        <v>31</v>
      </c>
      <c r="N53" s="29" t="s">
        <v>31</v>
      </c>
      <c r="O53" s="29"/>
      <c r="P53" s="29"/>
      <c r="Q53" s="29"/>
      <c r="R53" s="29"/>
      <c r="S53" s="305" t="s">
        <v>341</v>
      </c>
      <c r="T53" s="93"/>
      <c r="U53" s="31"/>
      <c r="V53" s="31"/>
      <c r="W53" s="31"/>
      <c r="X53" s="197" t="s">
        <v>1809</v>
      </c>
      <c r="Y53" s="198" t="s">
        <v>1635</v>
      </c>
      <c r="Z53" s="27" t="s">
        <v>33</v>
      </c>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row>
    <row r="54" spans="1:146" ht="45" customHeight="1">
      <c r="A54" s="148" t="s">
        <v>1627</v>
      </c>
      <c r="B54" s="28"/>
      <c r="C54" s="29" t="s">
        <v>336</v>
      </c>
      <c r="D54" s="29">
        <v>1994</v>
      </c>
      <c r="E54" s="29">
        <v>1996</v>
      </c>
      <c r="F54" s="29" t="s">
        <v>149</v>
      </c>
      <c r="G54" s="31" t="s">
        <v>157</v>
      </c>
      <c r="H54" s="29" t="s">
        <v>337</v>
      </c>
      <c r="I54" s="29" t="s">
        <v>338</v>
      </c>
      <c r="J54" s="29" t="s">
        <v>31</v>
      </c>
      <c r="K54" s="29"/>
      <c r="L54" s="32">
        <v>299893</v>
      </c>
      <c r="M54" s="29"/>
      <c r="N54" s="29" t="s">
        <v>31</v>
      </c>
      <c r="O54" s="29"/>
      <c r="P54" s="29"/>
      <c r="Q54" s="29"/>
      <c r="R54" s="29"/>
      <c r="S54" s="304" t="s">
        <v>339</v>
      </c>
      <c r="T54" s="36"/>
      <c r="U54" s="29"/>
      <c r="V54" s="29"/>
      <c r="W54" s="29"/>
      <c r="X54" s="167"/>
      <c r="Z54" s="27" t="s">
        <v>33</v>
      </c>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row>
    <row r="55" spans="1:146" s="58" customFormat="1" ht="45" customHeight="1">
      <c r="A55" s="47" t="s">
        <v>351</v>
      </c>
      <c r="B55" s="28"/>
      <c r="C55" s="29" t="s">
        <v>352</v>
      </c>
      <c r="D55" s="29">
        <v>1995</v>
      </c>
      <c r="E55" s="29">
        <v>1996</v>
      </c>
      <c r="F55" s="87"/>
      <c r="G55" s="31" t="s">
        <v>271</v>
      </c>
      <c r="H55" s="29"/>
      <c r="I55" s="80" t="s">
        <v>57</v>
      </c>
      <c r="J55" s="29" t="s">
        <v>31</v>
      </c>
      <c r="K55" s="29"/>
      <c r="L55" s="32">
        <v>42000</v>
      </c>
      <c r="M55" s="29" t="s">
        <v>31</v>
      </c>
      <c r="N55" s="29"/>
      <c r="O55" s="29"/>
      <c r="P55" s="29"/>
      <c r="Q55" s="29" t="s">
        <v>31</v>
      </c>
      <c r="R55" s="29"/>
      <c r="S55" s="347" t="s">
        <v>353</v>
      </c>
      <c r="T55" s="36"/>
      <c r="U55" s="31" t="s">
        <v>354</v>
      </c>
      <c r="V55" s="31" t="s">
        <v>61</v>
      </c>
      <c r="W55" s="31" t="s">
        <v>355</v>
      </c>
      <c r="X55" s="167"/>
      <c r="Y55" s="64"/>
      <c r="Z55" s="27" t="s">
        <v>33</v>
      </c>
    </row>
    <row r="56" spans="1:146" ht="45" customHeight="1">
      <c r="A56" s="47" t="s">
        <v>371</v>
      </c>
      <c r="B56" s="28"/>
      <c r="C56" s="87" t="s">
        <v>372</v>
      </c>
      <c r="D56" s="29">
        <v>1995</v>
      </c>
      <c r="E56" s="29">
        <v>1995</v>
      </c>
      <c r="F56" s="80" t="s">
        <v>868</v>
      </c>
      <c r="G56" s="31" t="s">
        <v>271</v>
      </c>
      <c r="H56" s="308" t="s">
        <v>373</v>
      </c>
      <c r="I56" s="31" t="s">
        <v>57</v>
      </c>
      <c r="J56" s="29" t="s">
        <v>31</v>
      </c>
      <c r="K56" s="29"/>
      <c r="L56" s="32"/>
      <c r="M56" s="80" t="s">
        <v>31</v>
      </c>
      <c r="N56" s="29" t="s">
        <v>31</v>
      </c>
      <c r="O56" s="29"/>
      <c r="P56" s="29"/>
      <c r="Q56" s="29"/>
      <c r="R56" s="29"/>
      <c r="S56" s="304" t="s">
        <v>374</v>
      </c>
      <c r="T56" s="41"/>
      <c r="U56" s="29"/>
      <c r="V56" s="29"/>
      <c r="W56" s="29"/>
      <c r="X56" s="178" t="s">
        <v>375</v>
      </c>
      <c r="Y56" s="69" t="s">
        <v>376</v>
      </c>
      <c r="Z56" s="27" t="s">
        <v>33</v>
      </c>
    </row>
    <row r="57" spans="1:146" ht="45" customHeight="1">
      <c r="A57" s="47" t="s">
        <v>382</v>
      </c>
      <c r="B57" s="28"/>
      <c r="C57" s="87" t="s">
        <v>383</v>
      </c>
      <c r="D57" s="29">
        <v>1995</v>
      </c>
      <c r="E57" s="29">
        <v>1995</v>
      </c>
      <c r="F57" s="29" t="s">
        <v>270</v>
      </c>
      <c r="G57" s="31" t="s">
        <v>271</v>
      </c>
      <c r="H57" s="303" t="s">
        <v>272</v>
      </c>
      <c r="I57" s="31" t="s">
        <v>57</v>
      </c>
      <c r="J57" s="29" t="s">
        <v>31</v>
      </c>
      <c r="K57" s="29"/>
      <c r="L57" s="32">
        <v>92477</v>
      </c>
      <c r="M57" s="80" t="s">
        <v>31</v>
      </c>
      <c r="N57" s="29" t="s">
        <v>31</v>
      </c>
      <c r="O57" s="29"/>
      <c r="P57" s="29"/>
      <c r="Q57" s="29"/>
      <c r="R57" s="29"/>
      <c r="S57" s="304" t="s">
        <v>384</v>
      </c>
      <c r="T57" s="41"/>
      <c r="U57" s="29"/>
      <c r="V57" s="29"/>
      <c r="W57" s="29"/>
      <c r="X57" s="178"/>
      <c r="Z57" s="151" t="s">
        <v>33</v>
      </c>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27"/>
      <c r="CN57" s="27"/>
      <c r="CO57" s="27"/>
      <c r="CP57" s="27"/>
      <c r="CQ57" s="27"/>
      <c r="CR57" s="27"/>
      <c r="CS57" s="27"/>
      <c r="CT57" s="27"/>
      <c r="CU57" s="27"/>
      <c r="CV57" s="27"/>
      <c r="CW57" s="27"/>
      <c r="CX57" s="27"/>
      <c r="CY57" s="27"/>
      <c r="CZ57" s="27"/>
      <c r="DA57" s="27"/>
      <c r="DB57" s="27"/>
      <c r="DC57" s="27"/>
      <c r="DD57" s="27"/>
      <c r="DE57" s="27"/>
      <c r="DF57" s="27"/>
      <c r="DG57" s="27"/>
      <c r="DH57" s="27"/>
      <c r="DI57" s="27"/>
      <c r="DJ57" s="27"/>
      <c r="DK57" s="27"/>
      <c r="DL57" s="27"/>
      <c r="DM57" s="27"/>
      <c r="DN57" s="27"/>
      <c r="DO57" s="27"/>
      <c r="DP57" s="27"/>
      <c r="DQ57" s="27"/>
      <c r="DR57" s="27"/>
      <c r="DS57" s="27"/>
      <c r="DT57" s="27"/>
      <c r="DU57" s="27"/>
      <c r="DV57" s="27"/>
      <c r="DW57" s="27"/>
      <c r="DX57" s="27"/>
      <c r="DY57" s="27"/>
      <c r="DZ57" s="27"/>
      <c r="EA57" s="27"/>
      <c r="EB57" s="27"/>
      <c r="EC57" s="27"/>
      <c r="ED57" s="27"/>
      <c r="EE57" s="27"/>
      <c r="EF57" s="27"/>
      <c r="EG57" s="27"/>
      <c r="EH57" s="27"/>
      <c r="EI57" s="27"/>
      <c r="EJ57" s="27"/>
      <c r="EK57" s="27"/>
      <c r="EL57" s="27"/>
      <c r="EM57" s="27"/>
      <c r="EN57" s="27"/>
      <c r="EO57" s="27"/>
      <c r="EP57" s="27"/>
    </row>
    <row r="58" spans="1:146" ht="45" customHeight="1">
      <c r="A58" s="47" t="s">
        <v>385</v>
      </c>
      <c r="B58" s="28"/>
      <c r="C58" s="87" t="s">
        <v>386</v>
      </c>
      <c r="D58" s="29">
        <v>1995</v>
      </c>
      <c r="E58" s="29">
        <v>1995</v>
      </c>
      <c r="F58" s="29" t="s">
        <v>270</v>
      </c>
      <c r="G58" s="31" t="s">
        <v>271</v>
      </c>
      <c r="H58" s="303" t="s">
        <v>272</v>
      </c>
      <c r="I58" s="31" t="s">
        <v>57</v>
      </c>
      <c r="J58" s="29" t="s">
        <v>31</v>
      </c>
      <c r="K58" s="29"/>
      <c r="L58" s="32">
        <v>122946</v>
      </c>
      <c r="M58" s="80" t="s">
        <v>31</v>
      </c>
      <c r="N58" s="29" t="s">
        <v>31</v>
      </c>
      <c r="O58" s="29"/>
      <c r="P58" s="29"/>
      <c r="Q58" s="29"/>
      <c r="R58" s="29"/>
      <c r="S58" s="305" t="s">
        <v>387</v>
      </c>
      <c r="T58" s="41"/>
      <c r="U58" s="29"/>
      <c r="V58" s="29"/>
      <c r="W58" s="29"/>
      <c r="X58" s="178"/>
      <c r="Z58" s="151" t="s">
        <v>33</v>
      </c>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row>
    <row r="59" spans="1:146" ht="45" customHeight="1">
      <c r="A59" s="47" t="s">
        <v>388</v>
      </c>
      <c r="B59" s="28"/>
      <c r="C59" s="29" t="s">
        <v>389</v>
      </c>
      <c r="D59" s="29">
        <v>1995</v>
      </c>
      <c r="E59" s="29">
        <v>2000</v>
      </c>
      <c r="F59" s="29" t="s">
        <v>270</v>
      </c>
      <c r="G59" s="31" t="s">
        <v>271</v>
      </c>
      <c r="H59" s="303" t="s">
        <v>272</v>
      </c>
      <c r="I59" s="29" t="s">
        <v>57</v>
      </c>
      <c r="J59" s="31" t="s">
        <v>390</v>
      </c>
      <c r="K59" s="29" t="s">
        <v>31</v>
      </c>
      <c r="L59" s="32">
        <v>3724373</v>
      </c>
      <c r="M59" s="29"/>
      <c r="N59" s="29" t="s">
        <v>31</v>
      </c>
      <c r="O59" s="29"/>
      <c r="P59" s="29"/>
      <c r="Q59" s="29"/>
      <c r="R59" s="29" t="s">
        <v>391</v>
      </c>
      <c r="S59" s="305" t="s">
        <v>392</v>
      </c>
      <c r="T59" s="29"/>
      <c r="U59" s="31" t="s">
        <v>393</v>
      </c>
      <c r="V59" s="29" t="s">
        <v>394</v>
      </c>
      <c r="W59" s="29" t="s">
        <v>395</v>
      </c>
      <c r="X59" s="180" t="s">
        <v>1810</v>
      </c>
      <c r="Y59" s="69" t="s">
        <v>397</v>
      </c>
      <c r="Z59" s="27" t="s">
        <v>33</v>
      </c>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row>
    <row r="60" spans="1:146" ht="45" customHeight="1">
      <c r="A60" s="154" t="s">
        <v>1636</v>
      </c>
      <c r="B60" s="28"/>
      <c r="C60" s="29" t="s">
        <v>398</v>
      </c>
      <c r="D60" s="29">
        <v>1995</v>
      </c>
      <c r="E60" s="29">
        <v>1995</v>
      </c>
      <c r="F60" s="29" t="s">
        <v>399</v>
      </c>
      <c r="G60" s="31" t="s">
        <v>271</v>
      </c>
      <c r="H60" s="308" t="s">
        <v>400</v>
      </c>
      <c r="I60" s="31" t="s">
        <v>57</v>
      </c>
      <c r="J60" s="29" t="s">
        <v>31</v>
      </c>
      <c r="K60" s="29"/>
      <c r="L60" s="83"/>
      <c r="M60" s="29" t="s">
        <v>31</v>
      </c>
      <c r="N60" s="29"/>
      <c r="O60" s="29"/>
      <c r="P60" s="29"/>
      <c r="Q60" s="29"/>
      <c r="R60" s="29" t="s">
        <v>31</v>
      </c>
      <c r="S60" s="304" t="s">
        <v>401</v>
      </c>
      <c r="T60" s="36"/>
      <c r="U60" s="29"/>
      <c r="V60" s="29"/>
      <c r="W60" s="29"/>
      <c r="X60" s="174" t="s">
        <v>1811</v>
      </c>
      <c r="Y60" s="69" t="s">
        <v>403</v>
      </c>
      <c r="Z60" s="27" t="s">
        <v>33</v>
      </c>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2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row>
    <row r="61" spans="1:146" ht="45" customHeight="1">
      <c r="A61" s="28" t="s">
        <v>343</v>
      </c>
      <c r="B61" s="28"/>
      <c r="C61" s="82"/>
      <c r="D61" s="29">
        <v>1995</v>
      </c>
      <c r="E61" s="29">
        <v>1995</v>
      </c>
      <c r="F61" s="87"/>
      <c r="G61" s="31" t="s">
        <v>226</v>
      </c>
      <c r="H61" s="31"/>
      <c r="I61" s="29" t="s">
        <v>344</v>
      </c>
      <c r="J61" s="29"/>
      <c r="K61" s="29" t="s">
        <v>31</v>
      </c>
      <c r="L61" s="83"/>
      <c r="M61" s="29" t="s">
        <v>31</v>
      </c>
      <c r="N61" s="29"/>
      <c r="O61" s="29" t="s">
        <v>31</v>
      </c>
      <c r="P61" s="29"/>
      <c r="Q61" s="29"/>
      <c r="R61" s="29"/>
      <c r="S61" s="304" t="s">
        <v>345</v>
      </c>
      <c r="T61" s="36"/>
      <c r="U61" s="29"/>
      <c r="V61" s="29"/>
      <c r="W61" s="29"/>
      <c r="X61" s="167"/>
      <c r="Y61" s="64"/>
      <c r="Z61" s="27" t="s">
        <v>33</v>
      </c>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2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row>
    <row r="62" spans="1:146" ht="45" customHeight="1">
      <c r="A62" s="47" t="s">
        <v>356</v>
      </c>
      <c r="B62" s="28"/>
      <c r="C62" s="29" t="s">
        <v>347</v>
      </c>
      <c r="D62" s="29">
        <v>1995</v>
      </c>
      <c r="E62" s="29">
        <v>1995</v>
      </c>
      <c r="F62" s="87" t="s">
        <v>243</v>
      </c>
      <c r="G62" s="31" t="s">
        <v>226</v>
      </c>
      <c r="H62" s="29" t="s">
        <v>244</v>
      </c>
      <c r="I62" s="213" t="s">
        <v>1663</v>
      </c>
      <c r="J62" s="29" t="s">
        <v>31</v>
      </c>
      <c r="K62" s="29"/>
      <c r="L62" s="32">
        <v>88996</v>
      </c>
      <c r="M62" s="29" t="s">
        <v>31</v>
      </c>
      <c r="N62" s="29"/>
      <c r="O62" s="29"/>
      <c r="P62" s="29"/>
      <c r="Q62" s="29"/>
      <c r="R62" s="29"/>
      <c r="S62" s="347" t="s">
        <v>357</v>
      </c>
      <c r="T62" s="36"/>
      <c r="U62" s="31" t="s">
        <v>358</v>
      </c>
      <c r="V62" s="31" t="s">
        <v>359</v>
      </c>
      <c r="W62" s="31" t="s">
        <v>360</v>
      </c>
      <c r="X62" s="167"/>
      <c r="Y62" s="64"/>
      <c r="Z62" s="27" t="s">
        <v>33</v>
      </c>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27"/>
      <c r="CW62" s="27"/>
      <c r="CX62" s="27"/>
      <c r="CY62" s="27"/>
      <c r="CZ62" s="27"/>
      <c r="DA62" s="27"/>
      <c r="DB62" s="27"/>
      <c r="DC62" s="27"/>
      <c r="DD62" s="27"/>
      <c r="DE62" s="27"/>
      <c r="DF62" s="27"/>
      <c r="DG62" s="27"/>
      <c r="DH62" s="27"/>
      <c r="DI62" s="27"/>
      <c r="DJ62" s="27"/>
      <c r="DK62" s="27"/>
      <c r="DL62" s="27"/>
      <c r="DM62" s="27"/>
      <c r="DN62" s="27"/>
      <c r="DO62" s="27"/>
      <c r="DP62" s="27"/>
      <c r="DQ62" s="27"/>
      <c r="DR62" s="27"/>
      <c r="DS62" s="27"/>
      <c r="DT62" s="27"/>
      <c r="DU62" s="27"/>
      <c r="DV62" s="27"/>
      <c r="DW62" s="27"/>
      <c r="DX62" s="27"/>
      <c r="DY62" s="27"/>
      <c r="DZ62" s="27"/>
      <c r="EA62" s="27"/>
      <c r="EB62" s="27"/>
      <c r="EC62" s="27"/>
      <c r="ED62" s="27"/>
      <c r="EE62" s="27"/>
      <c r="EF62" s="27"/>
      <c r="EG62" s="27"/>
      <c r="EH62" s="27"/>
      <c r="EI62" s="27"/>
      <c r="EJ62" s="27"/>
      <c r="EK62" s="27"/>
      <c r="EL62" s="27"/>
      <c r="EM62" s="27"/>
      <c r="EN62" s="27"/>
      <c r="EO62" s="27"/>
      <c r="EP62" s="27"/>
    </row>
    <row r="63" spans="1:146" ht="45" customHeight="1">
      <c r="A63" s="46" t="s">
        <v>346</v>
      </c>
      <c r="B63" s="42"/>
      <c r="C63" s="29" t="s">
        <v>347</v>
      </c>
      <c r="D63" s="29">
        <v>1995</v>
      </c>
      <c r="E63" s="29">
        <v>1995</v>
      </c>
      <c r="F63" s="87"/>
      <c r="G63" s="31" t="s">
        <v>290</v>
      </c>
      <c r="H63" s="29" t="s">
        <v>290</v>
      </c>
      <c r="I63" s="213" t="s">
        <v>1663</v>
      </c>
      <c r="J63" s="29" t="s">
        <v>31</v>
      </c>
      <c r="K63" s="29"/>
      <c r="L63" s="32">
        <v>88996</v>
      </c>
      <c r="M63" s="29" t="s">
        <v>31</v>
      </c>
      <c r="N63" s="29"/>
      <c r="O63" s="29"/>
      <c r="P63" s="29"/>
      <c r="Q63" s="29"/>
      <c r="R63" s="29" t="s">
        <v>31</v>
      </c>
      <c r="S63" s="304" t="s">
        <v>348</v>
      </c>
      <c r="T63" s="36"/>
      <c r="U63" s="29" t="s">
        <v>349</v>
      </c>
      <c r="V63" s="29"/>
      <c r="W63" s="29" t="s">
        <v>350</v>
      </c>
      <c r="X63" s="167"/>
      <c r="Z63" s="27" t="s">
        <v>33</v>
      </c>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row>
    <row r="64" spans="1:146" ht="45" customHeight="1">
      <c r="A64" s="143" t="s">
        <v>287</v>
      </c>
      <c r="B64" s="143"/>
      <c r="C64" s="192" t="s">
        <v>288</v>
      </c>
      <c r="D64" s="145">
        <v>1995</v>
      </c>
      <c r="E64" s="145">
        <v>2001</v>
      </c>
      <c r="F64" s="145"/>
      <c r="G64" s="144" t="s">
        <v>289</v>
      </c>
      <c r="H64" s="145" t="s">
        <v>290</v>
      </c>
      <c r="I64" s="145" t="s">
        <v>57</v>
      </c>
      <c r="J64" s="145" t="s">
        <v>31</v>
      </c>
      <c r="K64" s="145"/>
      <c r="L64" s="164" t="s">
        <v>291</v>
      </c>
      <c r="M64" s="145" t="s">
        <v>31</v>
      </c>
      <c r="N64" s="145"/>
      <c r="O64" s="145"/>
      <c r="P64" s="145"/>
      <c r="Q64" s="145" t="s">
        <v>31</v>
      </c>
      <c r="R64" s="145"/>
      <c r="S64" s="348" t="s">
        <v>292</v>
      </c>
      <c r="T64" s="210"/>
      <c r="U64" s="144" t="s">
        <v>293</v>
      </c>
      <c r="V64" s="145" t="s">
        <v>294</v>
      </c>
      <c r="W64" s="145" t="s">
        <v>295</v>
      </c>
      <c r="X64" s="211" t="s">
        <v>1812</v>
      </c>
      <c r="Y64" s="161" t="s">
        <v>1626</v>
      </c>
      <c r="Z64" s="147" t="s">
        <v>33</v>
      </c>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row>
    <row r="65" spans="1:146" ht="45" customHeight="1">
      <c r="A65" s="47" t="s">
        <v>361</v>
      </c>
      <c r="B65" s="28"/>
      <c r="C65" s="29" t="s">
        <v>362</v>
      </c>
      <c r="D65" s="29">
        <v>1995</v>
      </c>
      <c r="E65" s="29">
        <v>1995</v>
      </c>
      <c r="F65" s="29" t="s">
        <v>363</v>
      </c>
      <c r="G65" s="31" t="s">
        <v>47</v>
      </c>
      <c r="H65" s="29" t="s">
        <v>364</v>
      </c>
      <c r="I65" s="29" t="s">
        <v>57</v>
      </c>
      <c r="J65" s="29" t="s">
        <v>31</v>
      </c>
      <c r="K65" s="29"/>
      <c r="L65" s="32">
        <v>37920</v>
      </c>
      <c r="M65" s="29" t="s">
        <v>31</v>
      </c>
      <c r="N65" s="29"/>
      <c r="O65" s="29"/>
      <c r="P65" s="29"/>
      <c r="Q65" s="29"/>
      <c r="R65" s="29"/>
      <c r="S65" s="304" t="s">
        <v>365</v>
      </c>
      <c r="T65" s="41"/>
      <c r="U65" s="29" t="s">
        <v>366</v>
      </c>
      <c r="V65" s="29" t="s">
        <v>367</v>
      </c>
      <c r="W65" s="29" t="s">
        <v>368</v>
      </c>
      <c r="X65" s="178" t="s">
        <v>1813</v>
      </c>
      <c r="Y65" s="64" t="s">
        <v>370</v>
      </c>
      <c r="Z65" s="27" t="s">
        <v>33</v>
      </c>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2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row>
    <row r="66" spans="1:146" ht="45" customHeight="1">
      <c r="A66" s="47" t="s">
        <v>377</v>
      </c>
      <c r="B66" s="28"/>
      <c r="C66" s="87" t="s">
        <v>378</v>
      </c>
      <c r="D66" s="29">
        <v>1995</v>
      </c>
      <c r="E66" s="29">
        <v>1996</v>
      </c>
      <c r="F66" s="29" t="s">
        <v>379</v>
      </c>
      <c r="G66" s="31" t="s">
        <v>380</v>
      </c>
      <c r="H66" s="87" t="s">
        <v>185</v>
      </c>
      <c r="I66" s="31" t="s">
        <v>57</v>
      </c>
      <c r="J66" s="29" t="s">
        <v>31</v>
      </c>
      <c r="K66" s="29"/>
      <c r="L66" s="32">
        <v>87846</v>
      </c>
      <c r="M66" s="80" t="s">
        <v>31</v>
      </c>
      <c r="N66" s="29" t="s">
        <v>31</v>
      </c>
      <c r="O66" s="29"/>
      <c r="P66" s="29"/>
      <c r="Q66" s="29"/>
      <c r="R66" s="29"/>
      <c r="S66" s="304" t="s">
        <v>381</v>
      </c>
      <c r="T66" s="41"/>
      <c r="U66" s="29"/>
      <c r="V66" s="29"/>
      <c r="W66" s="29"/>
      <c r="X66" s="178"/>
      <c r="Z66" s="27" t="s">
        <v>33</v>
      </c>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row>
    <row r="67" spans="1:146" s="101" customFormat="1" ht="45" customHeight="1">
      <c r="A67" s="154" t="s">
        <v>1624</v>
      </c>
      <c r="B67" s="28"/>
      <c r="C67" s="29" t="s">
        <v>406</v>
      </c>
      <c r="D67" s="29">
        <v>1996</v>
      </c>
      <c r="E67" s="29">
        <v>1997</v>
      </c>
      <c r="F67" s="29" t="s">
        <v>253</v>
      </c>
      <c r="G67" s="31" t="s">
        <v>271</v>
      </c>
      <c r="H67" s="87" t="s">
        <v>255</v>
      </c>
      <c r="I67" s="29" t="s">
        <v>57</v>
      </c>
      <c r="J67" s="29" t="s">
        <v>31</v>
      </c>
      <c r="K67" s="29"/>
      <c r="L67" s="32">
        <v>879973</v>
      </c>
      <c r="M67" s="29"/>
      <c r="N67" s="29" t="s">
        <v>31</v>
      </c>
      <c r="O67" s="29"/>
      <c r="P67" s="29"/>
      <c r="Q67" s="29"/>
      <c r="R67" s="29"/>
      <c r="S67" s="304" t="s">
        <v>407</v>
      </c>
      <c r="T67" s="36"/>
      <c r="U67" s="31" t="s">
        <v>408</v>
      </c>
      <c r="V67" s="31" t="s">
        <v>409</v>
      </c>
      <c r="W67" s="31" t="s">
        <v>410</v>
      </c>
      <c r="X67" s="171"/>
      <c r="Y67" s="64"/>
      <c r="Z67" s="27" t="s">
        <v>33</v>
      </c>
    </row>
    <row r="68" spans="1:146" ht="45" customHeight="1">
      <c r="A68" s="47" t="s">
        <v>411</v>
      </c>
      <c r="B68" s="47"/>
      <c r="C68" s="87" t="s">
        <v>412</v>
      </c>
      <c r="D68" s="87">
        <v>1996</v>
      </c>
      <c r="E68" s="87">
        <v>1996</v>
      </c>
      <c r="F68" s="87" t="s">
        <v>253</v>
      </c>
      <c r="G68" s="99" t="s">
        <v>271</v>
      </c>
      <c r="H68" s="87" t="s">
        <v>255</v>
      </c>
      <c r="I68" s="99" t="s">
        <v>57</v>
      </c>
      <c r="J68" s="87" t="s">
        <v>31</v>
      </c>
      <c r="K68" s="87"/>
      <c r="L68" s="88">
        <v>109978</v>
      </c>
      <c r="M68" s="86" t="s">
        <v>31</v>
      </c>
      <c r="N68" s="87" t="s">
        <v>31</v>
      </c>
      <c r="O68" s="87"/>
      <c r="P68" s="87"/>
      <c r="Q68" s="87"/>
      <c r="R68" s="87"/>
      <c r="S68" s="352" t="s">
        <v>413</v>
      </c>
      <c r="T68" s="104"/>
      <c r="U68" s="87"/>
      <c r="V68" s="87"/>
      <c r="W68" s="87"/>
      <c r="X68" s="187"/>
      <c r="Y68" s="203"/>
      <c r="Z68" s="101" t="s">
        <v>33</v>
      </c>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27"/>
      <c r="CW68" s="27"/>
      <c r="CX68" s="27"/>
      <c r="CY68" s="27"/>
      <c r="CZ68" s="27"/>
      <c r="DA68" s="27"/>
      <c r="DB68" s="27"/>
      <c r="DC68" s="27"/>
      <c r="DD68" s="27"/>
      <c r="DE68" s="27"/>
      <c r="DF68" s="27"/>
      <c r="DG68" s="27"/>
      <c r="DH68" s="27"/>
      <c r="DI68" s="27"/>
      <c r="DJ68" s="27"/>
      <c r="DK68" s="27"/>
      <c r="DL68" s="27"/>
      <c r="DM68" s="27"/>
      <c r="DN68" s="27"/>
      <c r="DO68" s="27"/>
      <c r="DP68" s="27"/>
      <c r="DQ68" s="27"/>
      <c r="DR68" s="27"/>
      <c r="DS68" s="27"/>
      <c r="DT68" s="27"/>
      <c r="DU68" s="27"/>
      <c r="DV68" s="27"/>
      <c r="DW68" s="27"/>
      <c r="DX68" s="27"/>
      <c r="DY68" s="27"/>
      <c r="DZ68" s="27"/>
      <c r="EA68" s="27"/>
      <c r="EB68" s="27"/>
      <c r="EC68" s="27"/>
      <c r="ED68" s="27"/>
      <c r="EE68" s="27"/>
      <c r="EF68" s="27"/>
      <c r="EG68" s="27"/>
      <c r="EH68" s="27"/>
      <c r="EI68" s="27"/>
      <c r="EJ68" s="27"/>
      <c r="EK68" s="27"/>
      <c r="EL68" s="27"/>
      <c r="EM68" s="27"/>
      <c r="EN68" s="27"/>
      <c r="EO68" s="27"/>
      <c r="EP68" s="27"/>
    </row>
    <row r="69" spans="1:146" ht="45" customHeight="1">
      <c r="A69" s="47" t="s">
        <v>439</v>
      </c>
      <c r="B69" s="28"/>
      <c r="C69" s="80" t="s">
        <v>1637</v>
      </c>
      <c r="D69" s="29">
        <v>1996</v>
      </c>
      <c r="E69" s="29">
        <v>1997</v>
      </c>
      <c r="F69" s="29" t="s">
        <v>440</v>
      </c>
      <c r="G69" s="31" t="s">
        <v>226</v>
      </c>
      <c r="H69" s="87" t="s">
        <v>441</v>
      </c>
      <c r="I69" s="31" t="s">
        <v>57</v>
      </c>
      <c r="J69" s="29" t="s">
        <v>31</v>
      </c>
      <c r="K69" s="29"/>
      <c r="L69" s="32">
        <v>1860000</v>
      </c>
      <c r="M69" s="29"/>
      <c r="N69" s="29"/>
      <c r="O69" s="29" t="s">
        <v>31</v>
      </c>
      <c r="P69" s="29"/>
      <c r="Q69" s="29"/>
      <c r="R69" s="29" t="s">
        <v>31</v>
      </c>
      <c r="S69" s="354"/>
      <c r="T69" s="29"/>
      <c r="U69" s="29"/>
      <c r="V69" s="29"/>
      <c r="W69" s="29"/>
      <c r="X69" s="171"/>
      <c r="Z69" s="151" t="s">
        <v>33</v>
      </c>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row>
    <row r="70" spans="1:146" s="101" customFormat="1" ht="45" customHeight="1">
      <c r="A70" s="47" t="s">
        <v>414</v>
      </c>
      <c r="B70" s="28"/>
      <c r="C70" s="29" t="s">
        <v>415</v>
      </c>
      <c r="D70" s="29">
        <v>1996</v>
      </c>
      <c r="E70" s="29">
        <v>2000</v>
      </c>
      <c r="F70" s="87"/>
      <c r="G70" s="31" t="s">
        <v>289</v>
      </c>
      <c r="H70" s="303"/>
      <c r="I70" s="29" t="s">
        <v>57</v>
      </c>
      <c r="J70" s="29" t="s">
        <v>31</v>
      </c>
      <c r="K70" s="29"/>
      <c r="L70" s="32">
        <v>3498238</v>
      </c>
      <c r="M70" s="29"/>
      <c r="N70" s="29"/>
      <c r="O70" s="29"/>
      <c r="P70" s="29" t="s">
        <v>31</v>
      </c>
      <c r="Q70" s="29"/>
      <c r="R70" s="29" t="s">
        <v>31</v>
      </c>
      <c r="S70" s="304" t="s">
        <v>416</v>
      </c>
      <c r="T70" s="29"/>
      <c r="U70" s="31" t="s">
        <v>333</v>
      </c>
      <c r="V70" s="29" t="s">
        <v>334</v>
      </c>
      <c r="W70" s="29" t="s">
        <v>417</v>
      </c>
      <c r="X70" s="180" t="s">
        <v>1814</v>
      </c>
      <c r="Y70" s="69" t="s">
        <v>419</v>
      </c>
      <c r="Z70" s="27" t="s">
        <v>33</v>
      </c>
    </row>
    <row r="71" spans="1:146" ht="45" customHeight="1">
      <c r="A71" s="47" t="s">
        <v>427</v>
      </c>
      <c r="B71" s="47"/>
      <c r="C71" s="212" t="s">
        <v>1638</v>
      </c>
      <c r="D71" s="87">
        <v>1996</v>
      </c>
      <c r="E71" s="87">
        <v>1996</v>
      </c>
      <c r="F71" s="87" t="s">
        <v>363</v>
      </c>
      <c r="G71" s="212" t="s">
        <v>36</v>
      </c>
      <c r="H71" s="87" t="s">
        <v>364</v>
      </c>
      <c r="I71" s="87" t="s">
        <v>57</v>
      </c>
      <c r="J71" s="87" t="s">
        <v>31</v>
      </c>
      <c r="K71" s="87"/>
      <c r="L71" s="83"/>
      <c r="M71" s="86" t="s">
        <v>31</v>
      </c>
      <c r="N71" s="86" t="s">
        <v>31</v>
      </c>
      <c r="O71" s="87"/>
      <c r="P71" s="87"/>
      <c r="Q71" s="87"/>
      <c r="R71" s="87"/>
      <c r="S71" s="343" t="s">
        <v>428</v>
      </c>
      <c r="T71" s="105"/>
      <c r="U71" s="99"/>
      <c r="V71" s="99"/>
      <c r="W71" s="99"/>
      <c r="X71" s="186" t="s">
        <v>1815</v>
      </c>
      <c r="Y71" s="205" t="s">
        <v>430</v>
      </c>
      <c r="Z71" s="101" t="s">
        <v>33</v>
      </c>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row>
    <row r="72" spans="1:146" ht="45" customHeight="1">
      <c r="A72" s="47" t="s">
        <v>431</v>
      </c>
      <c r="B72" s="28"/>
      <c r="C72" s="29" t="s">
        <v>432</v>
      </c>
      <c r="D72" s="29">
        <v>1996</v>
      </c>
      <c r="E72" s="29">
        <v>1996</v>
      </c>
      <c r="F72" s="29" t="s">
        <v>433</v>
      </c>
      <c r="G72" s="31" t="s">
        <v>47</v>
      </c>
      <c r="H72" s="29" t="s">
        <v>434</v>
      </c>
      <c r="I72" s="29" t="s">
        <v>104</v>
      </c>
      <c r="J72" s="29" t="s">
        <v>31</v>
      </c>
      <c r="K72" s="29"/>
      <c r="L72" s="32">
        <v>11000</v>
      </c>
      <c r="M72" s="80" t="s">
        <v>31</v>
      </c>
      <c r="N72" s="80" t="s">
        <v>31</v>
      </c>
      <c r="O72" s="29"/>
      <c r="P72" s="29"/>
      <c r="Q72" s="29"/>
      <c r="R72" s="29"/>
      <c r="S72" s="304" t="s">
        <v>435</v>
      </c>
      <c r="T72" s="36"/>
      <c r="U72" s="31" t="s">
        <v>436</v>
      </c>
      <c r="V72" s="31" t="s">
        <v>437</v>
      </c>
      <c r="W72" s="31" t="s">
        <v>438</v>
      </c>
      <c r="X72" s="167"/>
      <c r="Z72" s="27" t="s">
        <v>33</v>
      </c>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row>
    <row r="73" spans="1:146" ht="45" customHeight="1">
      <c r="A73" s="47" t="s">
        <v>442</v>
      </c>
      <c r="B73" s="28"/>
      <c r="C73" s="29" t="s">
        <v>443</v>
      </c>
      <c r="D73" s="29">
        <v>1997</v>
      </c>
      <c r="E73" s="29">
        <v>1998</v>
      </c>
      <c r="F73" s="29" t="s">
        <v>444</v>
      </c>
      <c r="G73" s="31" t="s">
        <v>226</v>
      </c>
      <c r="H73" s="29" t="s">
        <v>445</v>
      </c>
      <c r="I73" s="29" t="s">
        <v>446</v>
      </c>
      <c r="J73" s="29" t="s">
        <v>31</v>
      </c>
      <c r="K73" s="29"/>
      <c r="L73" s="32">
        <v>357666</v>
      </c>
      <c r="M73" s="29"/>
      <c r="N73" s="29"/>
      <c r="O73" s="29" t="s">
        <v>31</v>
      </c>
      <c r="P73" s="29"/>
      <c r="Q73" s="29"/>
      <c r="R73" s="29"/>
      <c r="S73" s="304" t="s">
        <v>447</v>
      </c>
      <c r="T73" s="36"/>
      <c r="U73" s="29" t="s">
        <v>448</v>
      </c>
      <c r="V73" s="29" t="s">
        <v>449</v>
      </c>
      <c r="W73" s="29" t="s">
        <v>450</v>
      </c>
      <c r="X73" s="170"/>
      <c r="Y73" s="64"/>
      <c r="Z73" s="27" t="s">
        <v>33</v>
      </c>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row>
    <row r="74" spans="1:146" ht="45" customHeight="1">
      <c r="A74" s="47" t="s">
        <v>469</v>
      </c>
      <c r="B74" s="28"/>
      <c r="C74" s="80" t="s">
        <v>470</v>
      </c>
      <c r="D74" s="29">
        <v>1997</v>
      </c>
      <c r="E74" s="29">
        <v>1998</v>
      </c>
      <c r="F74" s="29" t="s">
        <v>471</v>
      </c>
      <c r="G74" s="213" t="s">
        <v>226</v>
      </c>
      <c r="H74" s="87" t="s">
        <v>472</v>
      </c>
      <c r="I74" s="80" t="s">
        <v>1615</v>
      </c>
      <c r="J74" s="86" t="s">
        <v>31</v>
      </c>
      <c r="K74" s="86"/>
      <c r="L74" s="32">
        <v>70000</v>
      </c>
      <c r="M74" s="80" t="s">
        <v>31</v>
      </c>
      <c r="N74" s="29"/>
      <c r="O74" s="29"/>
      <c r="P74" s="29"/>
      <c r="Q74" s="29"/>
      <c r="R74" s="29"/>
      <c r="S74" s="304" t="s">
        <v>473</v>
      </c>
      <c r="T74" s="29"/>
      <c r="U74" s="31" t="s">
        <v>474</v>
      </c>
      <c r="V74" s="31" t="s">
        <v>475</v>
      </c>
      <c r="W74" s="31" t="s">
        <v>476</v>
      </c>
      <c r="Z74" s="27" t="s">
        <v>33</v>
      </c>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row>
    <row r="75" spans="1:146" ht="45" customHeight="1">
      <c r="A75" s="110" t="s">
        <v>461</v>
      </c>
      <c r="B75" s="59"/>
      <c r="C75" s="29" t="s">
        <v>462</v>
      </c>
      <c r="D75" s="29">
        <v>1997</v>
      </c>
      <c r="E75" s="29">
        <v>2003</v>
      </c>
      <c r="F75" s="80" t="s">
        <v>1749</v>
      </c>
      <c r="G75" s="213" t="s">
        <v>290</v>
      </c>
      <c r="H75" s="86" t="s">
        <v>1748</v>
      </c>
      <c r="I75" s="29" t="s">
        <v>57</v>
      </c>
      <c r="J75" s="29" t="s">
        <v>31</v>
      </c>
      <c r="K75" s="29"/>
      <c r="L75" s="152">
        <v>1513179</v>
      </c>
      <c r="M75" s="29"/>
      <c r="N75" s="29" t="s">
        <v>31</v>
      </c>
      <c r="O75" s="29"/>
      <c r="P75" s="29"/>
      <c r="Q75" s="29"/>
      <c r="R75" s="29"/>
      <c r="S75" s="357" t="s">
        <v>1720</v>
      </c>
      <c r="T75" s="29"/>
      <c r="U75" s="29" t="s">
        <v>464</v>
      </c>
      <c r="V75" s="29" t="s">
        <v>465</v>
      </c>
      <c r="W75" s="29" t="s">
        <v>466</v>
      </c>
      <c r="X75" s="180" t="s">
        <v>1816</v>
      </c>
      <c r="Y75" s="64" t="s">
        <v>468</v>
      </c>
      <c r="Z75" s="27" t="s">
        <v>33</v>
      </c>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row>
    <row r="76" spans="1:146" s="147" customFormat="1" ht="45" customHeight="1">
      <c r="A76" s="46" t="s">
        <v>457</v>
      </c>
      <c r="B76" s="42"/>
      <c r="C76" s="82"/>
      <c r="D76" s="29">
        <v>1997</v>
      </c>
      <c r="E76" s="87">
        <v>1997</v>
      </c>
      <c r="F76" s="29" t="s">
        <v>458</v>
      </c>
      <c r="G76" s="31" t="s">
        <v>36</v>
      </c>
      <c r="H76" s="87" t="s">
        <v>459</v>
      </c>
      <c r="I76" s="80" t="s">
        <v>57</v>
      </c>
      <c r="J76" s="86" t="s">
        <v>31</v>
      </c>
      <c r="K76" s="87"/>
      <c r="L76" s="83"/>
      <c r="M76" s="80" t="s">
        <v>31</v>
      </c>
      <c r="N76" s="80" t="s">
        <v>31</v>
      </c>
      <c r="O76" s="29"/>
      <c r="P76" s="29"/>
      <c r="Q76" s="29"/>
      <c r="R76" s="29"/>
      <c r="S76" s="304" t="s">
        <v>460</v>
      </c>
      <c r="T76" s="29"/>
      <c r="U76" s="29"/>
      <c r="V76" s="29"/>
      <c r="W76" s="29"/>
      <c r="X76" s="171"/>
      <c r="Y76" s="69"/>
      <c r="Z76" s="27" t="s">
        <v>33</v>
      </c>
    </row>
    <row r="77" spans="1:146" ht="45" customHeight="1">
      <c r="A77" s="143" t="s">
        <v>451</v>
      </c>
      <c r="B77" s="143"/>
      <c r="C77" s="156" t="s">
        <v>452</v>
      </c>
      <c r="D77" s="145">
        <v>1997</v>
      </c>
      <c r="E77" s="145">
        <v>2002</v>
      </c>
      <c r="F77" s="145" t="s">
        <v>90</v>
      </c>
      <c r="G77" s="144" t="s">
        <v>47</v>
      </c>
      <c r="H77" s="145" t="s">
        <v>91</v>
      </c>
      <c r="I77" s="145" t="s">
        <v>57</v>
      </c>
      <c r="J77" s="145" t="s">
        <v>31</v>
      </c>
      <c r="K77" s="145"/>
      <c r="L77" s="146">
        <v>3000000</v>
      </c>
      <c r="M77" s="145"/>
      <c r="N77" s="145"/>
      <c r="O77" s="150" t="s">
        <v>31</v>
      </c>
      <c r="P77" s="145"/>
      <c r="Q77" s="145"/>
      <c r="R77" s="145" t="s">
        <v>31</v>
      </c>
      <c r="S77" s="348" t="s">
        <v>453</v>
      </c>
      <c r="T77" s="257"/>
      <c r="U77" s="144" t="s">
        <v>454</v>
      </c>
      <c r="V77" s="145" t="s">
        <v>455</v>
      </c>
      <c r="W77" s="144" t="s">
        <v>456</v>
      </c>
      <c r="X77" s="182" t="s">
        <v>1817</v>
      </c>
      <c r="Y77" s="161" t="s">
        <v>490</v>
      </c>
      <c r="Z77" s="147" t="s">
        <v>33</v>
      </c>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27"/>
      <c r="BJ77" s="27"/>
      <c r="BK77" s="27"/>
      <c r="BL77" s="27"/>
      <c r="BM77" s="27"/>
      <c r="BN77" s="27"/>
      <c r="BO77" s="27"/>
      <c r="BP77" s="27"/>
      <c r="BQ77" s="27"/>
      <c r="BR77" s="27"/>
      <c r="BS77" s="27"/>
      <c r="BT77" s="27"/>
      <c r="BU77" s="27"/>
      <c r="BV77" s="27"/>
      <c r="BW77" s="27"/>
      <c r="BX77" s="27"/>
      <c r="BY77" s="27"/>
      <c r="BZ77" s="27"/>
      <c r="CA77" s="27"/>
      <c r="CB77" s="27"/>
      <c r="CC77" s="27"/>
      <c r="CD77" s="27"/>
      <c r="CE77" s="27"/>
      <c r="CF77" s="27"/>
      <c r="CG77" s="27"/>
      <c r="CH77" s="27"/>
      <c r="CI77" s="27"/>
      <c r="CJ77" s="27"/>
      <c r="CK77" s="27"/>
      <c r="CL77" s="27"/>
      <c r="CM77" s="27"/>
      <c r="CN77" s="27"/>
      <c r="CO77" s="27"/>
      <c r="CP77" s="27"/>
      <c r="CQ77" s="27"/>
      <c r="CR77" s="27"/>
      <c r="CS77" s="27"/>
      <c r="CT77" s="27"/>
      <c r="CU77" s="27"/>
      <c r="CV77" s="27"/>
      <c r="CW77" s="27"/>
      <c r="CX77" s="27"/>
      <c r="CY77" s="27"/>
      <c r="CZ77" s="27"/>
      <c r="DA77" s="27"/>
      <c r="DB77" s="27"/>
      <c r="DC77" s="27"/>
      <c r="DD77" s="27"/>
      <c r="DE77" s="27"/>
      <c r="DF77" s="27"/>
      <c r="DG77" s="27"/>
      <c r="DH77" s="27"/>
      <c r="DI77" s="27"/>
      <c r="DJ77" s="27"/>
      <c r="DK77" s="27"/>
      <c r="DL77" s="27"/>
      <c r="DM77" s="27"/>
      <c r="DN77" s="27"/>
      <c r="DO77" s="27"/>
      <c r="DP77" s="27"/>
      <c r="DQ77" s="27"/>
      <c r="DR77" s="27"/>
      <c r="DS77" s="27"/>
      <c r="DT77" s="27"/>
      <c r="DU77" s="27"/>
      <c r="DV77" s="27"/>
      <c r="DW77" s="27"/>
      <c r="DX77" s="27"/>
      <c r="DY77" s="27"/>
      <c r="DZ77" s="27"/>
      <c r="EA77" s="27"/>
      <c r="EB77" s="27"/>
      <c r="EC77" s="27"/>
      <c r="ED77" s="27"/>
      <c r="EE77" s="27"/>
      <c r="EF77" s="27"/>
      <c r="EG77" s="27"/>
      <c r="EH77" s="27"/>
      <c r="EI77" s="27"/>
      <c r="EJ77" s="27"/>
      <c r="EK77" s="27"/>
      <c r="EL77" s="27"/>
      <c r="EM77" s="27"/>
      <c r="EN77" s="27"/>
      <c r="EO77" s="27"/>
      <c r="EP77" s="27"/>
    </row>
    <row r="78" spans="1:146" ht="45" customHeight="1">
      <c r="A78" s="107" t="s">
        <v>1772</v>
      </c>
      <c r="B78" s="40"/>
      <c r="C78" s="80" t="s">
        <v>499</v>
      </c>
      <c r="D78" s="29">
        <v>1998</v>
      </c>
      <c r="E78" s="29">
        <v>1999</v>
      </c>
      <c r="F78" s="87" t="s">
        <v>253</v>
      </c>
      <c r="G78" s="31" t="s">
        <v>271</v>
      </c>
      <c r="H78" s="87" t="s">
        <v>255</v>
      </c>
      <c r="I78" s="29" t="s">
        <v>57</v>
      </c>
      <c r="J78" s="29" t="s">
        <v>500</v>
      </c>
      <c r="K78" s="29" t="s">
        <v>31</v>
      </c>
      <c r="L78" s="32">
        <v>2700000</v>
      </c>
      <c r="M78" s="29" t="s">
        <v>31</v>
      </c>
      <c r="N78" s="29"/>
      <c r="O78" s="29"/>
      <c r="P78" s="29"/>
      <c r="Q78" s="29"/>
      <c r="R78" s="29"/>
      <c r="S78" s="347" t="s">
        <v>501</v>
      </c>
      <c r="T78" s="87"/>
      <c r="U78" s="31" t="s">
        <v>502</v>
      </c>
      <c r="V78" s="31" t="s">
        <v>503</v>
      </c>
      <c r="W78" s="31" t="s">
        <v>504</v>
      </c>
      <c r="X78" s="171"/>
      <c r="Y78" s="64"/>
      <c r="Z78" s="27" t="s">
        <v>33</v>
      </c>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27"/>
      <c r="BJ78" s="27"/>
      <c r="BK78" s="27"/>
      <c r="BL78" s="27"/>
      <c r="BM78" s="27"/>
      <c r="BN78" s="27"/>
      <c r="BO78" s="27"/>
      <c r="BP78" s="27"/>
      <c r="BQ78" s="27"/>
      <c r="BR78" s="27"/>
      <c r="BS78" s="27"/>
      <c r="BT78" s="27"/>
      <c r="BU78" s="27"/>
      <c r="BV78" s="27"/>
      <c r="BW78" s="27"/>
      <c r="BX78" s="27"/>
      <c r="BY78" s="27"/>
      <c r="BZ78" s="27"/>
      <c r="CA78" s="27"/>
      <c r="CB78" s="27"/>
      <c r="CC78" s="27"/>
      <c r="CD78" s="27"/>
      <c r="CE78" s="27"/>
      <c r="CF78" s="27"/>
      <c r="CG78" s="27"/>
      <c r="CH78" s="27"/>
      <c r="CI78" s="27"/>
      <c r="CJ78" s="27"/>
      <c r="CK78" s="27"/>
      <c r="CL78" s="27"/>
      <c r="CM78" s="27"/>
      <c r="CN78" s="27"/>
      <c r="CO78" s="27"/>
      <c r="CP78" s="27"/>
      <c r="CQ78" s="27"/>
      <c r="CR78" s="27"/>
      <c r="CS78" s="27"/>
      <c r="CT78" s="27"/>
      <c r="CU78" s="27"/>
      <c r="CV78" s="27"/>
      <c r="CW78" s="27"/>
      <c r="CX78" s="27"/>
      <c r="CY78" s="27"/>
      <c r="CZ78" s="27"/>
      <c r="DA78" s="27"/>
      <c r="DB78" s="27"/>
      <c r="DC78" s="27"/>
      <c r="DD78" s="27"/>
      <c r="DE78" s="27"/>
      <c r="DF78" s="27"/>
      <c r="DG78" s="27"/>
      <c r="DH78" s="27"/>
      <c r="DI78" s="27"/>
      <c r="DJ78" s="27"/>
      <c r="DK78" s="27"/>
      <c r="DL78" s="27"/>
      <c r="DM78" s="27"/>
      <c r="DN78" s="27"/>
      <c r="DO78" s="27"/>
      <c r="DP78" s="27"/>
      <c r="DQ78" s="27"/>
      <c r="DR78" s="27"/>
      <c r="DS78" s="27"/>
      <c r="DT78" s="27"/>
      <c r="DU78" s="27"/>
      <c r="DV78" s="27"/>
      <c r="DW78" s="27"/>
      <c r="DX78" s="27"/>
      <c r="DY78" s="27"/>
      <c r="DZ78" s="27"/>
      <c r="EA78" s="27"/>
      <c r="EB78" s="27"/>
      <c r="EC78" s="27"/>
      <c r="ED78" s="27"/>
      <c r="EE78" s="27"/>
      <c r="EF78" s="27"/>
      <c r="EG78" s="27"/>
      <c r="EH78" s="27"/>
      <c r="EI78" s="27"/>
      <c r="EJ78" s="27"/>
      <c r="EK78" s="27"/>
      <c r="EL78" s="27"/>
      <c r="EM78" s="27"/>
      <c r="EN78" s="27"/>
      <c r="EO78" s="27"/>
      <c r="EP78" s="27"/>
    </row>
    <row r="79" spans="1:146" ht="45" customHeight="1">
      <c r="A79" s="47" t="s">
        <v>486</v>
      </c>
      <c r="B79" s="28"/>
      <c r="C79" s="80" t="s">
        <v>487</v>
      </c>
      <c r="D79" s="29">
        <v>1998</v>
      </c>
      <c r="E79" s="29">
        <v>2001</v>
      </c>
      <c r="F79" s="87"/>
      <c r="G79" s="31" t="s">
        <v>226</v>
      </c>
      <c r="H79" s="212"/>
      <c r="I79" s="29" t="s">
        <v>57</v>
      </c>
      <c r="J79" s="39" t="s">
        <v>31</v>
      </c>
      <c r="K79" s="29"/>
      <c r="L79" s="83"/>
      <c r="M79" s="29"/>
      <c r="N79" s="29"/>
      <c r="O79" s="29"/>
      <c r="P79" s="80" t="s">
        <v>31</v>
      </c>
      <c r="Q79" s="29"/>
      <c r="R79" s="29"/>
      <c r="S79" s="304" t="s">
        <v>1616</v>
      </c>
      <c r="T79" s="29"/>
      <c r="U79" s="29"/>
      <c r="V79" s="29"/>
      <c r="W79" s="29"/>
      <c r="X79" s="180" t="s">
        <v>1818</v>
      </c>
      <c r="Y79" s="64" t="s">
        <v>489</v>
      </c>
      <c r="Z79" s="27" t="s">
        <v>33</v>
      </c>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27"/>
      <c r="BJ79" s="27"/>
      <c r="BK79" s="27"/>
      <c r="BL79" s="27"/>
      <c r="BM79" s="27"/>
      <c r="BN79" s="27"/>
      <c r="BO79" s="27"/>
      <c r="BP79" s="27"/>
      <c r="BQ79" s="27"/>
      <c r="BR79" s="27"/>
      <c r="BS79" s="27"/>
      <c r="BT79" s="27"/>
      <c r="BU79" s="27"/>
      <c r="BV79" s="27"/>
      <c r="BW79" s="27"/>
      <c r="BX79" s="27"/>
      <c r="BY79" s="27"/>
      <c r="BZ79" s="27"/>
      <c r="CA79" s="27"/>
      <c r="CB79" s="27"/>
      <c r="CC79" s="27"/>
      <c r="CD79" s="27"/>
      <c r="CE79" s="27"/>
      <c r="CF79" s="27"/>
      <c r="CG79" s="27"/>
      <c r="CH79" s="27"/>
      <c r="CI79" s="27"/>
      <c r="CJ79" s="27"/>
      <c r="CK79" s="27"/>
      <c r="CL79" s="27"/>
      <c r="CM79" s="27"/>
      <c r="CN79" s="27"/>
      <c r="CO79" s="27"/>
      <c r="CP79" s="27"/>
      <c r="CQ79" s="27"/>
      <c r="CR79" s="27"/>
      <c r="CS79" s="27"/>
      <c r="CT79" s="27"/>
      <c r="CU79" s="27"/>
      <c r="CV79" s="27"/>
      <c r="CW79" s="27"/>
      <c r="CX79" s="27"/>
      <c r="CY79" s="27"/>
      <c r="CZ79" s="27"/>
      <c r="DA79" s="27"/>
      <c r="DB79" s="27"/>
      <c r="DC79" s="27"/>
      <c r="DD79" s="27"/>
      <c r="DE79" s="27"/>
      <c r="DF79" s="27"/>
      <c r="DG79" s="27"/>
      <c r="DH79" s="27"/>
      <c r="DI79" s="27"/>
      <c r="DJ79" s="27"/>
      <c r="DK79" s="27"/>
      <c r="DL79" s="27"/>
      <c r="DM79" s="27"/>
      <c r="DN79" s="27"/>
      <c r="DO79" s="27"/>
      <c r="DP79" s="27"/>
      <c r="DQ79" s="27"/>
      <c r="DR79" s="27"/>
      <c r="DS79" s="27"/>
      <c r="DT79" s="27"/>
      <c r="DU79" s="27"/>
      <c r="DV79" s="27"/>
      <c r="DW79" s="27"/>
      <c r="DX79" s="27"/>
      <c r="DY79" s="27"/>
      <c r="DZ79" s="27"/>
      <c r="EA79" s="27"/>
      <c r="EB79" s="27"/>
      <c r="EC79" s="27"/>
      <c r="ED79" s="27"/>
      <c r="EE79" s="27"/>
      <c r="EF79" s="27"/>
      <c r="EG79" s="27"/>
      <c r="EH79" s="27"/>
      <c r="EI79" s="27"/>
      <c r="EJ79" s="27"/>
      <c r="EK79" s="27"/>
      <c r="EL79" s="27"/>
      <c r="EM79" s="27"/>
      <c r="EN79" s="27"/>
      <c r="EO79" s="27"/>
      <c r="EP79" s="27"/>
    </row>
    <row r="80" spans="1:146" ht="45" customHeight="1">
      <c r="A80" s="47" t="s">
        <v>493</v>
      </c>
      <c r="B80" s="28"/>
      <c r="C80" s="29" t="s">
        <v>494</v>
      </c>
      <c r="D80" s="29">
        <v>1998</v>
      </c>
      <c r="E80" s="29">
        <v>2003</v>
      </c>
      <c r="F80" s="87" t="s">
        <v>495</v>
      </c>
      <c r="G80" s="99" t="s">
        <v>226</v>
      </c>
      <c r="H80" s="99"/>
      <c r="I80" s="80" t="s">
        <v>57</v>
      </c>
      <c r="J80" s="29" t="s">
        <v>31</v>
      </c>
      <c r="K80" s="29"/>
      <c r="L80" s="83"/>
      <c r="M80" s="29" t="s">
        <v>31</v>
      </c>
      <c r="N80" s="29"/>
      <c r="O80" s="29"/>
      <c r="P80" s="29" t="s">
        <v>31</v>
      </c>
      <c r="Q80" s="29"/>
      <c r="R80" s="29"/>
      <c r="S80" s="304" t="s">
        <v>496</v>
      </c>
      <c r="T80" s="36"/>
      <c r="U80" s="29"/>
      <c r="V80" s="29"/>
      <c r="W80" s="29"/>
      <c r="X80" s="174" t="s">
        <v>1819</v>
      </c>
      <c r="Y80" s="64" t="s">
        <v>498</v>
      </c>
      <c r="Z80" s="27" t="s">
        <v>33</v>
      </c>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27"/>
      <c r="BJ80" s="27"/>
      <c r="BK80" s="27"/>
      <c r="BL80" s="27"/>
      <c r="BM80" s="27"/>
      <c r="BN80" s="27"/>
      <c r="BO80" s="27"/>
      <c r="BP80" s="27"/>
      <c r="BQ80" s="27"/>
      <c r="BR80" s="27"/>
      <c r="BS80" s="27"/>
      <c r="BT80" s="27"/>
      <c r="BU80" s="27"/>
      <c r="BV80" s="27"/>
      <c r="BW80" s="27"/>
      <c r="BX80" s="27"/>
      <c r="BY80" s="27"/>
      <c r="BZ80" s="27"/>
      <c r="CA80" s="27"/>
      <c r="CB80" s="27"/>
      <c r="CC80" s="27"/>
      <c r="CD80" s="27"/>
      <c r="CE80" s="27"/>
      <c r="CF80" s="27"/>
      <c r="CG80" s="27"/>
      <c r="CH80" s="27"/>
      <c r="CI80" s="27"/>
      <c r="CJ80" s="27"/>
      <c r="CK80" s="27"/>
      <c r="CL80" s="27"/>
      <c r="CM80" s="27"/>
      <c r="CN80" s="27"/>
      <c r="CO80" s="27"/>
      <c r="CP80" s="27"/>
      <c r="CQ80" s="27"/>
      <c r="CR80" s="27"/>
      <c r="CS80" s="27"/>
      <c r="CT80" s="27"/>
      <c r="CU80" s="27"/>
      <c r="CV80" s="27"/>
      <c r="CW80" s="27"/>
      <c r="CX80" s="27"/>
      <c r="CY80" s="27"/>
      <c r="CZ80" s="27"/>
      <c r="DA80" s="27"/>
      <c r="DB80" s="27"/>
      <c r="DC80" s="27"/>
      <c r="DD80" s="27"/>
      <c r="DE80" s="27"/>
      <c r="DF80" s="27"/>
      <c r="DG80" s="27"/>
      <c r="DH80" s="27"/>
      <c r="DI80" s="27"/>
      <c r="DJ80" s="27"/>
      <c r="DK80" s="27"/>
      <c r="DL80" s="27"/>
      <c r="DM80" s="27"/>
      <c r="DN80" s="27"/>
      <c r="DO80" s="27"/>
      <c r="DP80" s="27"/>
      <c r="DQ80" s="27"/>
      <c r="DR80" s="27"/>
      <c r="DS80" s="27"/>
      <c r="DT80" s="27"/>
      <c r="DU80" s="27"/>
      <c r="DV80" s="27"/>
      <c r="DW80" s="27"/>
      <c r="DX80" s="27"/>
      <c r="DY80" s="27"/>
      <c r="DZ80" s="27"/>
      <c r="EA80" s="27"/>
      <c r="EB80" s="27"/>
      <c r="EC80" s="27"/>
      <c r="ED80" s="27"/>
      <c r="EE80" s="27"/>
      <c r="EF80" s="27"/>
      <c r="EG80" s="27"/>
      <c r="EH80" s="27"/>
      <c r="EI80" s="27"/>
      <c r="EJ80" s="27"/>
      <c r="EK80" s="27"/>
      <c r="EL80" s="27"/>
      <c r="EM80" s="27"/>
      <c r="EN80" s="27"/>
      <c r="EO80" s="27"/>
      <c r="EP80" s="27"/>
    </row>
    <row r="81" spans="1:146" s="317" customFormat="1" ht="45" customHeight="1">
      <c r="A81" s="313" t="s">
        <v>524</v>
      </c>
      <c r="B81" s="313"/>
      <c r="C81" s="315" t="s">
        <v>525</v>
      </c>
      <c r="D81" s="315">
        <v>1998</v>
      </c>
      <c r="E81" s="315">
        <v>2000</v>
      </c>
      <c r="F81" s="315"/>
      <c r="G81" s="314" t="s">
        <v>289</v>
      </c>
      <c r="H81" s="315"/>
      <c r="I81" s="315" t="s">
        <v>57</v>
      </c>
      <c r="J81" s="315" t="s">
        <v>31</v>
      </c>
      <c r="K81" s="315"/>
      <c r="L81" s="316">
        <v>3880653</v>
      </c>
      <c r="M81" s="315"/>
      <c r="N81" s="315" t="s">
        <v>31</v>
      </c>
      <c r="O81" s="315"/>
      <c r="P81" s="315"/>
      <c r="Q81" s="319" t="s">
        <v>31</v>
      </c>
      <c r="R81" s="315"/>
      <c r="S81" s="348" t="s">
        <v>526</v>
      </c>
      <c r="T81" s="315"/>
      <c r="U81" s="314" t="s">
        <v>527</v>
      </c>
      <c r="V81" s="315" t="s">
        <v>317</v>
      </c>
      <c r="W81" s="315" t="s">
        <v>318</v>
      </c>
      <c r="X81" s="325"/>
      <c r="Y81" s="342"/>
      <c r="Z81" s="317" t="s">
        <v>33</v>
      </c>
    </row>
    <row r="82" spans="1:146" ht="45" customHeight="1">
      <c r="A82" s="46" t="s">
        <v>479</v>
      </c>
      <c r="B82" s="42"/>
      <c r="C82" s="29" t="s">
        <v>480</v>
      </c>
      <c r="D82" s="29">
        <v>1998</v>
      </c>
      <c r="E82" s="29">
        <v>1998</v>
      </c>
      <c r="F82" s="29" t="s">
        <v>481</v>
      </c>
      <c r="G82" s="31" t="s">
        <v>36</v>
      </c>
      <c r="H82" s="29" t="s">
        <v>482</v>
      </c>
      <c r="I82" s="80" t="s">
        <v>609</v>
      </c>
      <c r="J82" s="29" t="s">
        <v>31</v>
      </c>
      <c r="K82" s="29"/>
      <c r="L82" s="32">
        <v>58165</v>
      </c>
      <c r="M82" s="29" t="s">
        <v>31</v>
      </c>
      <c r="N82" s="29"/>
      <c r="O82" s="29"/>
      <c r="P82" s="29"/>
      <c r="Q82" s="29"/>
      <c r="R82" s="29"/>
      <c r="S82" s="304" t="s">
        <v>483</v>
      </c>
      <c r="T82" s="29"/>
      <c r="U82" s="29" t="s">
        <v>484</v>
      </c>
      <c r="V82" s="29" t="s">
        <v>449</v>
      </c>
      <c r="W82" s="29" t="s">
        <v>485</v>
      </c>
      <c r="Y82" s="64"/>
      <c r="Z82" s="27" t="s">
        <v>33</v>
      </c>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27"/>
      <c r="BJ82" s="27"/>
      <c r="BK82" s="27"/>
      <c r="BL82" s="27"/>
      <c r="BM82" s="27"/>
      <c r="BN82" s="27"/>
      <c r="BO82" s="27"/>
      <c r="BP82" s="27"/>
      <c r="BQ82" s="27"/>
      <c r="BR82" s="27"/>
      <c r="BS82" s="27"/>
      <c r="BT82" s="27"/>
      <c r="BU82" s="27"/>
      <c r="BV82" s="27"/>
      <c r="BW82" s="27"/>
      <c r="BX82" s="27"/>
      <c r="BY82" s="27"/>
      <c r="BZ82" s="27"/>
      <c r="CA82" s="27"/>
      <c r="CB82" s="27"/>
      <c r="CC82" s="27"/>
      <c r="CD82" s="27"/>
      <c r="CE82" s="27"/>
      <c r="CF82" s="27"/>
      <c r="CG82" s="27"/>
      <c r="CH82" s="27"/>
      <c r="CI82" s="27"/>
      <c r="CJ82" s="27"/>
      <c r="CK82" s="27"/>
      <c r="CL82" s="27"/>
      <c r="CM82" s="27"/>
      <c r="CN82" s="27"/>
      <c r="CO82" s="27"/>
      <c r="CP82" s="27"/>
      <c r="CQ82" s="27"/>
      <c r="CR82" s="27"/>
      <c r="CS82" s="27"/>
      <c r="CT82" s="27"/>
      <c r="CU82" s="27"/>
      <c r="CV82" s="27"/>
      <c r="CW82" s="27"/>
      <c r="CX82" s="27"/>
      <c r="CY82" s="27"/>
      <c r="CZ82" s="27"/>
      <c r="DA82" s="27"/>
      <c r="DB82" s="27"/>
      <c r="DC82" s="27"/>
      <c r="DD82" s="27"/>
      <c r="DE82" s="27"/>
      <c r="DF82" s="27"/>
      <c r="DG82" s="27"/>
      <c r="DH82" s="27"/>
      <c r="DI82" s="27"/>
      <c r="DJ82" s="27"/>
      <c r="DK82" s="27"/>
      <c r="DL82" s="27"/>
      <c r="DM82" s="27"/>
      <c r="DN82" s="27"/>
      <c r="DO82" s="27"/>
      <c r="DP82" s="27"/>
      <c r="DQ82" s="27"/>
      <c r="DR82" s="27"/>
      <c r="DS82" s="27"/>
      <c r="DT82" s="27"/>
      <c r="DU82" s="27"/>
      <c r="DV82" s="27"/>
      <c r="DW82" s="27"/>
      <c r="DX82" s="27"/>
      <c r="DY82" s="27"/>
      <c r="DZ82" s="27"/>
      <c r="EA82" s="27"/>
      <c r="EB82" s="27"/>
      <c r="EC82" s="27"/>
      <c r="ED82" s="27"/>
      <c r="EE82" s="27"/>
      <c r="EF82" s="27"/>
      <c r="EG82" s="27"/>
      <c r="EH82" s="27"/>
      <c r="EI82" s="27"/>
      <c r="EJ82" s="27"/>
      <c r="EK82" s="27"/>
      <c r="EL82" s="27"/>
      <c r="EM82" s="27"/>
      <c r="EN82" s="27"/>
      <c r="EO82" s="27"/>
      <c r="EP82" s="27"/>
    </row>
    <row r="83" spans="1:146" ht="45" customHeight="1">
      <c r="A83" s="46" t="s">
        <v>506</v>
      </c>
      <c r="B83" s="42"/>
      <c r="C83" s="29" t="s">
        <v>507</v>
      </c>
      <c r="D83" s="29">
        <v>1998</v>
      </c>
      <c r="E83" s="29">
        <v>1999</v>
      </c>
      <c r="F83" s="87"/>
      <c r="G83" s="31" t="s">
        <v>36</v>
      </c>
      <c r="H83" s="29"/>
      <c r="I83" s="29" t="s">
        <v>168</v>
      </c>
      <c r="J83" s="29" t="s">
        <v>31</v>
      </c>
      <c r="K83" s="29"/>
      <c r="L83" s="32">
        <v>60500</v>
      </c>
      <c r="M83" s="29" t="s">
        <v>31</v>
      </c>
      <c r="N83" s="29"/>
      <c r="O83" s="80" t="s">
        <v>31</v>
      </c>
      <c r="P83" s="29"/>
      <c r="Q83" s="29"/>
      <c r="R83" s="29"/>
      <c r="S83" s="304" t="s">
        <v>508</v>
      </c>
      <c r="T83" s="36"/>
      <c r="U83" s="29" t="s">
        <v>509</v>
      </c>
      <c r="V83" s="93" t="s">
        <v>61</v>
      </c>
      <c r="W83" s="29" t="s">
        <v>510</v>
      </c>
      <c r="X83" s="167"/>
      <c r="Z83" s="27" t="s">
        <v>33</v>
      </c>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27"/>
      <c r="BJ83" s="27"/>
      <c r="BK83" s="27"/>
      <c r="BL83" s="27"/>
      <c r="BM83" s="27"/>
      <c r="BN83" s="27"/>
      <c r="BO83" s="27"/>
      <c r="BP83" s="27"/>
      <c r="BQ83" s="27"/>
      <c r="BR83" s="27"/>
      <c r="BS83" s="27"/>
      <c r="BT83" s="27"/>
      <c r="BU83" s="27"/>
      <c r="BV83" s="27"/>
      <c r="BW83" s="27"/>
      <c r="BX83" s="27"/>
      <c r="BY83" s="27"/>
      <c r="BZ83" s="27"/>
      <c r="CA83" s="27"/>
      <c r="CB83" s="27"/>
      <c r="CC83" s="27"/>
      <c r="CD83" s="27"/>
      <c r="CE83" s="27"/>
      <c r="CF83" s="27"/>
      <c r="CG83" s="27"/>
      <c r="CH83" s="27"/>
      <c r="CI83" s="27"/>
      <c r="CJ83" s="27"/>
      <c r="CK83" s="27"/>
      <c r="CL83" s="27"/>
      <c r="CM83" s="27"/>
      <c r="CN83" s="27"/>
      <c r="CO83" s="27"/>
      <c r="CP83" s="27"/>
      <c r="CQ83" s="27"/>
      <c r="CR83" s="27"/>
      <c r="CS83" s="27"/>
      <c r="CT83" s="27"/>
      <c r="CU83" s="27"/>
      <c r="CV83" s="27"/>
      <c r="CW83" s="27"/>
      <c r="CX83" s="27"/>
      <c r="CY83" s="27"/>
      <c r="CZ83" s="27"/>
      <c r="DA83" s="27"/>
      <c r="DB83" s="27"/>
      <c r="DC83" s="27"/>
      <c r="DD83" s="27"/>
      <c r="DE83" s="27"/>
      <c r="DF83" s="27"/>
      <c r="DG83" s="27"/>
      <c r="DH83" s="27"/>
      <c r="DI83" s="27"/>
      <c r="DJ83" s="27"/>
      <c r="DK83" s="27"/>
      <c r="DL83" s="27"/>
      <c r="DM83" s="27"/>
      <c r="DN83" s="27"/>
      <c r="DO83" s="27"/>
      <c r="DP83" s="27"/>
      <c r="DQ83" s="27"/>
      <c r="DR83" s="27"/>
      <c r="DS83" s="27"/>
      <c r="DT83" s="27"/>
      <c r="DU83" s="27"/>
      <c r="DV83" s="27"/>
      <c r="DW83" s="27"/>
      <c r="DX83" s="27"/>
      <c r="DY83" s="27"/>
      <c r="DZ83" s="27"/>
      <c r="EA83" s="27"/>
      <c r="EB83" s="27"/>
      <c r="EC83" s="27"/>
      <c r="ED83" s="27"/>
      <c r="EE83" s="27"/>
      <c r="EF83" s="27"/>
      <c r="EG83" s="27"/>
      <c r="EH83" s="27"/>
      <c r="EI83" s="27"/>
      <c r="EJ83" s="27"/>
      <c r="EK83" s="27"/>
      <c r="EL83" s="27"/>
      <c r="EM83" s="27"/>
      <c r="EN83" s="27"/>
      <c r="EO83" s="27"/>
      <c r="EP83" s="27"/>
    </row>
    <row r="84" spans="1:146" ht="45" customHeight="1">
      <c r="A84" s="193" t="s">
        <v>511</v>
      </c>
      <c r="B84" s="46"/>
      <c r="C84" s="82"/>
      <c r="D84" s="87">
        <v>1998</v>
      </c>
      <c r="E84" s="87">
        <v>1998</v>
      </c>
      <c r="F84" s="87" t="s">
        <v>512</v>
      </c>
      <c r="G84" s="99" t="s">
        <v>36</v>
      </c>
      <c r="H84" s="87" t="s">
        <v>56</v>
      </c>
      <c r="I84" s="87" t="s">
        <v>73</v>
      </c>
      <c r="J84" s="86" t="s">
        <v>31</v>
      </c>
      <c r="K84" s="87"/>
      <c r="L84" s="83"/>
      <c r="M84" s="302" t="s">
        <v>31</v>
      </c>
      <c r="N84" s="302" t="s">
        <v>31</v>
      </c>
      <c r="O84" s="87"/>
      <c r="P84" s="87"/>
      <c r="Q84" s="87"/>
      <c r="R84" s="87"/>
      <c r="S84" s="352" t="s">
        <v>513</v>
      </c>
      <c r="T84" s="87"/>
      <c r="U84" s="87"/>
      <c r="V84" s="87"/>
      <c r="W84" s="87"/>
      <c r="X84" s="187"/>
      <c r="Y84" s="206"/>
      <c r="Z84" s="101" t="s">
        <v>33</v>
      </c>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27"/>
      <c r="BJ84" s="27"/>
      <c r="BK84" s="27"/>
      <c r="BL84" s="27"/>
      <c r="BM84" s="27"/>
      <c r="BN84" s="27"/>
      <c r="BO84" s="27"/>
      <c r="BP84" s="27"/>
      <c r="BQ84" s="27"/>
      <c r="BR84" s="27"/>
      <c r="BS84" s="27"/>
      <c r="BT84" s="27"/>
      <c r="BU84" s="27"/>
      <c r="BV84" s="27"/>
      <c r="BW84" s="27"/>
      <c r="BX84" s="27"/>
      <c r="BY84" s="27"/>
      <c r="BZ84" s="27"/>
      <c r="CA84" s="27"/>
      <c r="CB84" s="27"/>
      <c r="CC84" s="27"/>
      <c r="CD84" s="27"/>
      <c r="CE84" s="27"/>
      <c r="CF84" s="27"/>
      <c r="CG84" s="27"/>
      <c r="CH84" s="27"/>
      <c r="CI84" s="27"/>
      <c r="CJ84" s="27"/>
      <c r="CK84" s="27"/>
      <c r="CL84" s="27"/>
      <c r="CM84" s="27"/>
      <c r="CN84" s="27"/>
      <c r="CO84" s="27"/>
      <c r="CP84" s="27"/>
      <c r="CQ84" s="27"/>
      <c r="CR84" s="27"/>
      <c r="CS84" s="27"/>
      <c r="CT84" s="27"/>
      <c r="CU84" s="27"/>
      <c r="CV84" s="27"/>
      <c r="CW84" s="27"/>
      <c r="CX84" s="27"/>
      <c r="CY84" s="27"/>
      <c r="CZ84" s="27"/>
      <c r="DA84" s="27"/>
      <c r="DB84" s="27"/>
      <c r="DC84" s="27"/>
      <c r="DD84" s="27"/>
      <c r="DE84" s="27"/>
      <c r="DF84" s="27"/>
      <c r="DG84" s="27"/>
      <c r="DH84" s="27"/>
      <c r="DI84" s="27"/>
      <c r="DJ84" s="27"/>
      <c r="DK84" s="27"/>
      <c r="DL84" s="27"/>
      <c r="DM84" s="27"/>
      <c r="DN84" s="27"/>
      <c r="DO84" s="27"/>
      <c r="DP84" s="27"/>
      <c r="DQ84" s="27"/>
      <c r="DR84" s="27"/>
      <c r="DS84" s="27"/>
      <c r="DT84" s="27"/>
      <c r="DU84" s="27"/>
      <c r="DV84" s="27"/>
      <c r="DW84" s="27"/>
      <c r="DX84" s="27"/>
      <c r="DY84" s="27"/>
      <c r="DZ84" s="27"/>
      <c r="EA84" s="27"/>
      <c r="EB84" s="27"/>
      <c r="EC84" s="27"/>
      <c r="ED84" s="27"/>
      <c r="EE84" s="27"/>
      <c r="EF84" s="27"/>
      <c r="EG84" s="27"/>
      <c r="EH84" s="27"/>
      <c r="EI84" s="27"/>
      <c r="EJ84" s="27"/>
      <c r="EK84" s="27"/>
      <c r="EL84" s="27"/>
      <c r="EM84" s="27"/>
      <c r="EN84" s="27"/>
      <c r="EO84" s="27"/>
      <c r="EP84" s="27"/>
    </row>
    <row r="85" spans="1:146" ht="45" customHeight="1">
      <c r="A85" s="107" t="s">
        <v>1619</v>
      </c>
      <c r="B85" s="40"/>
      <c r="C85" s="29" t="s">
        <v>519</v>
      </c>
      <c r="D85" s="29">
        <v>1998</v>
      </c>
      <c r="E85" s="29">
        <v>1998</v>
      </c>
      <c r="F85" s="86" t="s">
        <v>1618</v>
      </c>
      <c r="G85" s="31" t="s">
        <v>47</v>
      </c>
      <c r="H85" s="80" t="s">
        <v>1617</v>
      </c>
      <c r="I85" s="31" t="s">
        <v>520</v>
      </c>
      <c r="J85" s="86" t="s">
        <v>31</v>
      </c>
      <c r="K85" s="87"/>
      <c r="L85" s="88">
        <v>3000</v>
      </c>
      <c r="M85" s="29"/>
      <c r="N85" s="29" t="s">
        <v>31</v>
      </c>
      <c r="O85" s="29"/>
      <c r="P85" s="29"/>
      <c r="Q85" s="29"/>
      <c r="R85" s="29"/>
      <c r="S85" s="304" t="s">
        <v>521</v>
      </c>
      <c r="T85" s="29"/>
      <c r="U85" s="31" t="s">
        <v>522</v>
      </c>
      <c r="V85" s="31"/>
      <c r="W85" s="31" t="s">
        <v>523</v>
      </c>
      <c r="X85" s="171"/>
      <c r="Z85" s="27" t="s">
        <v>33</v>
      </c>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row>
    <row r="86" spans="1:146" ht="45" customHeight="1">
      <c r="A86" s="47" t="s">
        <v>514</v>
      </c>
      <c r="B86" s="47"/>
      <c r="C86" s="87" t="s">
        <v>515</v>
      </c>
      <c r="D86" s="87">
        <v>1998</v>
      </c>
      <c r="E86" s="87">
        <v>1998</v>
      </c>
      <c r="F86" s="87" t="s">
        <v>149</v>
      </c>
      <c r="G86" s="99" t="s">
        <v>157</v>
      </c>
      <c r="H86" s="87" t="s">
        <v>149</v>
      </c>
      <c r="I86" s="212" t="s">
        <v>1664</v>
      </c>
      <c r="J86" s="109" t="s">
        <v>516</v>
      </c>
      <c r="K86" s="108" t="s">
        <v>31</v>
      </c>
      <c r="L86" s="88">
        <v>24136</v>
      </c>
      <c r="M86" s="87" t="s">
        <v>31</v>
      </c>
      <c r="N86" s="87"/>
      <c r="O86" s="87"/>
      <c r="P86" s="87"/>
      <c r="Q86" s="87"/>
      <c r="R86" s="87"/>
      <c r="S86" s="354"/>
      <c r="T86" s="87"/>
      <c r="U86" s="99" t="s">
        <v>517</v>
      </c>
      <c r="V86" s="99"/>
      <c r="W86" s="99" t="s">
        <v>518</v>
      </c>
      <c r="X86" s="185"/>
      <c r="Y86" s="203"/>
      <c r="Z86" s="101" t="s">
        <v>33</v>
      </c>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27"/>
      <c r="BJ86" s="27"/>
      <c r="BK86" s="27"/>
      <c r="BL86" s="27"/>
      <c r="BM86" s="27"/>
      <c r="BN86" s="27"/>
      <c r="BO86" s="27"/>
      <c r="BP86" s="27"/>
      <c r="BQ86" s="27"/>
      <c r="BR86" s="27"/>
      <c r="BS86" s="27"/>
      <c r="BT86" s="27"/>
      <c r="BU86" s="27"/>
      <c r="BV86" s="27"/>
      <c r="BW86" s="27"/>
      <c r="BX86" s="27"/>
      <c r="BY86" s="27"/>
      <c r="BZ86" s="27"/>
      <c r="CA86" s="27"/>
      <c r="CB86" s="27"/>
      <c r="CC86" s="27"/>
      <c r="CD86" s="27"/>
      <c r="CE86" s="27"/>
      <c r="CF86" s="27"/>
      <c r="CG86" s="27"/>
      <c r="CH86" s="27"/>
      <c r="CI86" s="27"/>
      <c r="CJ86" s="27"/>
      <c r="CK86" s="27"/>
      <c r="CL86" s="27"/>
      <c r="CM86" s="27"/>
      <c r="CN86" s="27"/>
      <c r="CO86" s="27"/>
      <c r="CP86" s="27"/>
      <c r="CQ86" s="27"/>
      <c r="CR86" s="27"/>
      <c r="CS86" s="27"/>
      <c r="CT86" s="27"/>
      <c r="CU86" s="27"/>
      <c r="CV86" s="27"/>
      <c r="CW86" s="27"/>
      <c r="CX86" s="27"/>
      <c r="CY86" s="27"/>
      <c r="CZ86" s="27"/>
      <c r="DA86" s="27"/>
      <c r="DB86" s="27"/>
      <c r="DC86" s="27"/>
      <c r="DD86" s="27"/>
      <c r="DE86" s="27"/>
      <c r="DF86" s="27"/>
      <c r="DG86" s="27"/>
      <c r="DH86" s="27"/>
      <c r="DI86" s="27"/>
      <c r="DJ86" s="27"/>
      <c r="DK86" s="27"/>
      <c r="DL86" s="27"/>
      <c r="DM86" s="27"/>
      <c r="DN86" s="27"/>
      <c r="DO86" s="27"/>
      <c r="DP86" s="27"/>
      <c r="DQ86" s="27"/>
      <c r="DR86" s="27"/>
      <c r="DS86" s="27"/>
      <c r="DT86" s="27"/>
      <c r="DU86" s="27"/>
      <c r="DV86" s="27"/>
      <c r="DW86" s="27"/>
      <c r="DX86" s="27"/>
      <c r="DY86" s="27"/>
      <c r="DZ86" s="27"/>
      <c r="EA86" s="27"/>
      <c r="EB86" s="27"/>
      <c r="EC86" s="27"/>
      <c r="ED86" s="27"/>
      <c r="EE86" s="27"/>
      <c r="EF86" s="27"/>
      <c r="EG86" s="27"/>
      <c r="EH86" s="27"/>
      <c r="EI86" s="27"/>
      <c r="EJ86" s="27"/>
      <c r="EK86" s="27"/>
      <c r="EL86" s="27"/>
      <c r="EM86" s="27"/>
      <c r="EN86" s="27"/>
      <c r="EO86" s="27"/>
      <c r="EP86" s="27"/>
    </row>
    <row r="87" spans="1:146" ht="45" customHeight="1">
      <c r="A87" s="154" t="s">
        <v>1630</v>
      </c>
      <c r="B87" s="28"/>
      <c r="C87" s="86" t="s">
        <v>1631</v>
      </c>
      <c r="D87" s="29">
        <v>1999</v>
      </c>
      <c r="E87" s="29">
        <v>1999</v>
      </c>
      <c r="F87" s="80" t="s">
        <v>184</v>
      </c>
      <c r="G87" s="31" t="s">
        <v>36</v>
      </c>
      <c r="H87" s="80" t="s">
        <v>185</v>
      </c>
      <c r="I87" s="29" t="s">
        <v>57</v>
      </c>
      <c r="J87" s="39" t="s">
        <v>539</v>
      </c>
      <c r="K87" s="39" t="s">
        <v>31</v>
      </c>
      <c r="L87" s="32">
        <v>20337</v>
      </c>
      <c r="M87" s="29" t="s">
        <v>31</v>
      </c>
      <c r="N87" s="29"/>
      <c r="O87" s="29"/>
      <c r="P87" s="29"/>
      <c r="Q87" s="29"/>
      <c r="R87" s="80" t="s">
        <v>31</v>
      </c>
      <c r="S87" s="304" t="s">
        <v>540</v>
      </c>
      <c r="T87" s="29"/>
      <c r="U87" s="31" t="s">
        <v>541</v>
      </c>
      <c r="V87" s="31" t="s">
        <v>542</v>
      </c>
      <c r="W87" s="31" t="s">
        <v>543</v>
      </c>
      <c r="X87" s="180" t="s">
        <v>544</v>
      </c>
      <c r="Y87" s="64" t="s">
        <v>545</v>
      </c>
      <c r="Z87" s="27" t="s">
        <v>33</v>
      </c>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27"/>
      <c r="BJ87" s="27"/>
      <c r="BK87" s="27"/>
      <c r="BL87" s="27"/>
      <c r="BM87" s="27"/>
      <c r="BN87" s="27"/>
      <c r="BO87" s="27"/>
      <c r="BP87" s="27"/>
      <c r="BQ87" s="27"/>
      <c r="BR87" s="27"/>
      <c r="BS87" s="27"/>
      <c r="BT87" s="27"/>
      <c r="BU87" s="27"/>
      <c r="BV87" s="27"/>
      <c r="BW87" s="27"/>
      <c r="BX87" s="27"/>
      <c r="BY87" s="27"/>
      <c r="BZ87" s="27"/>
      <c r="CA87" s="27"/>
      <c r="CB87" s="27"/>
      <c r="CC87" s="27"/>
      <c r="CD87" s="27"/>
      <c r="CE87" s="27"/>
      <c r="CF87" s="27"/>
      <c r="CG87" s="27"/>
      <c r="CH87" s="27"/>
      <c r="CI87" s="27"/>
      <c r="CJ87" s="27"/>
      <c r="CK87" s="27"/>
      <c r="CL87" s="27"/>
      <c r="CM87" s="27"/>
      <c r="CN87" s="27"/>
      <c r="CO87" s="27"/>
      <c r="CP87" s="27"/>
      <c r="CQ87" s="27"/>
      <c r="CR87" s="27"/>
      <c r="CS87" s="27"/>
      <c r="CT87" s="27"/>
      <c r="CU87" s="27"/>
      <c r="CV87" s="27"/>
      <c r="CW87" s="27"/>
      <c r="CX87" s="27"/>
      <c r="CY87" s="27"/>
      <c r="CZ87" s="27"/>
      <c r="DA87" s="27"/>
      <c r="DB87" s="27"/>
      <c r="DC87" s="27"/>
      <c r="DD87" s="27"/>
      <c r="DE87" s="27"/>
      <c r="DF87" s="27"/>
      <c r="DG87" s="27"/>
      <c r="DH87" s="27"/>
      <c r="DI87" s="27"/>
      <c r="DJ87" s="27"/>
      <c r="DK87" s="27"/>
      <c r="DL87" s="27"/>
      <c r="DM87" s="27"/>
      <c r="DN87" s="27"/>
      <c r="DO87" s="27"/>
      <c r="DP87" s="27"/>
      <c r="DQ87" s="27"/>
      <c r="DR87" s="27"/>
      <c r="DS87" s="27"/>
      <c r="DT87" s="27"/>
      <c r="DU87" s="27"/>
      <c r="DV87" s="27"/>
      <c r="DW87" s="27"/>
      <c r="DX87" s="27"/>
      <c r="DY87" s="27"/>
      <c r="DZ87" s="27"/>
      <c r="EA87" s="27"/>
      <c r="EB87" s="27"/>
      <c r="EC87" s="27"/>
      <c r="ED87" s="27"/>
      <c r="EE87" s="27"/>
      <c r="EF87" s="27"/>
      <c r="EG87" s="27"/>
      <c r="EH87" s="27"/>
      <c r="EI87" s="27"/>
      <c r="EJ87" s="27"/>
      <c r="EK87" s="27"/>
      <c r="EL87" s="27"/>
      <c r="EM87" s="27"/>
      <c r="EN87" s="27"/>
      <c r="EO87" s="27"/>
      <c r="EP87" s="27"/>
    </row>
    <row r="88" spans="1:146" ht="45" customHeight="1">
      <c r="A88" s="46" t="s">
        <v>529</v>
      </c>
      <c r="B88" s="42"/>
      <c r="C88" s="82"/>
      <c r="D88" s="29">
        <v>1999</v>
      </c>
      <c r="E88" s="29">
        <v>1999</v>
      </c>
      <c r="F88" s="29" t="s">
        <v>282</v>
      </c>
      <c r="G88" s="31" t="s">
        <v>47</v>
      </c>
      <c r="H88" s="29" t="s">
        <v>283</v>
      </c>
      <c r="I88" s="80" t="s">
        <v>520</v>
      </c>
      <c r="J88" s="29"/>
      <c r="K88" s="29" t="s">
        <v>31</v>
      </c>
      <c r="L88" s="83"/>
      <c r="M88" s="29"/>
      <c r="N88" s="29"/>
      <c r="O88" s="80" t="s">
        <v>31</v>
      </c>
      <c r="P88" s="29"/>
      <c r="Q88" s="29"/>
      <c r="R88" s="29"/>
      <c r="S88" s="304" t="s">
        <v>1620</v>
      </c>
      <c r="T88" s="29"/>
      <c r="U88" s="29"/>
      <c r="V88" s="29"/>
      <c r="W88" s="29"/>
      <c r="X88" s="171"/>
      <c r="Y88" s="64"/>
      <c r="Z88" s="27" t="s">
        <v>33</v>
      </c>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27"/>
      <c r="BJ88" s="27"/>
      <c r="BK88" s="27"/>
      <c r="BL88" s="27"/>
      <c r="BM88" s="27"/>
      <c r="BN88" s="27"/>
      <c r="BO88" s="27"/>
      <c r="BP88" s="27"/>
      <c r="BQ88" s="27"/>
      <c r="BR88" s="27"/>
      <c r="BS88" s="27"/>
      <c r="BT88" s="27"/>
      <c r="BU88" s="27"/>
      <c r="BV88" s="27"/>
      <c r="BW88" s="27"/>
      <c r="BX88" s="27"/>
      <c r="BY88" s="27"/>
      <c r="BZ88" s="27"/>
      <c r="CA88" s="27"/>
      <c r="CB88" s="27"/>
      <c r="CC88" s="27"/>
      <c r="CD88" s="27"/>
      <c r="CE88" s="27"/>
      <c r="CF88" s="27"/>
      <c r="CG88" s="27"/>
      <c r="CH88" s="27"/>
      <c r="CI88" s="27"/>
      <c r="CJ88" s="27"/>
      <c r="CK88" s="27"/>
      <c r="CL88" s="27"/>
      <c r="CM88" s="27"/>
      <c r="CN88" s="27"/>
      <c r="CO88" s="27"/>
      <c r="CP88" s="27"/>
      <c r="CQ88" s="27"/>
      <c r="CR88" s="27"/>
      <c r="CS88" s="27"/>
      <c r="CT88" s="27"/>
      <c r="CU88" s="27"/>
      <c r="CV88" s="27"/>
      <c r="CW88" s="27"/>
      <c r="CX88" s="27"/>
      <c r="CY88" s="27"/>
      <c r="CZ88" s="27"/>
      <c r="DA88" s="27"/>
      <c r="DB88" s="27"/>
      <c r="DC88" s="27"/>
      <c r="DD88" s="27"/>
      <c r="DE88" s="27"/>
      <c r="DF88" s="27"/>
      <c r="DG88" s="27"/>
      <c r="DH88" s="27"/>
      <c r="DI88" s="27"/>
      <c r="DJ88" s="27"/>
      <c r="DK88" s="27"/>
      <c r="DL88" s="27"/>
      <c r="DM88" s="27"/>
      <c r="DN88" s="27"/>
      <c r="DO88" s="27"/>
      <c r="DP88" s="27"/>
      <c r="DQ88" s="27"/>
      <c r="DR88" s="27"/>
      <c r="DS88" s="27"/>
      <c r="DT88" s="27"/>
      <c r="DU88" s="27"/>
      <c r="DV88" s="27"/>
      <c r="DW88" s="27"/>
      <c r="DX88" s="27"/>
      <c r="DY88" s="27"/>
      <c r="DZ88" s="27"/>
      <c r="EA88" s="27"/>
      <c r="EB88" s="27"/>
      <c r="EC88" s="27"/>
      <c r="ED88" s="27"/>
      <c r="EE88" s="27"/>
      <c r="EF88" s="27"/>
      <c r="EG88" s="27"/>
      <c r="EH88" s="27"/>
      <c r="EI88" s="27"/>
      <c r="EJ88" s="27"/>
      <c r="EK88" s="27"/>
      <c r="EL88" s="27"/>
      <c r="EM88" s="27"/>
      <c r="EN88" s="27"/>
      <c r="EO88" s="27"/>
      <c r="EP88" s="27"/>
    </row>
    <row r="89" spans="1:146" ht="45" customHeight="1">
      <c r="A89" s="47" t="s">
        <v>531</v>
      </c>
      <c r="B89" s="28"/>
      <c r="C89" s="44" t="s">
        <v>532</v>
      </c>
      <c r="D89" s="39">
        <v>1999</v>
      </c>
      <c r="E89" s="39">
        <v>1999</v>
      </c>
      <c r="F89" s="82"/>
      <c r="G89" s="57" t="s">
        <v>47</v>
      </c>
      <c r="H89" s="31"/>
      <c r="I89" s="39" t="s">
        <v>57</v>
      </c>
      <c r="J89" s="39" t="s">
        <v>31</v>
      </c>
      <c r="K89" s="39"/>
      <c r="L89" s="163"/>
      <c r="M89" s="39"/>
      <c r="N89" s="39"/>
      <c r="O89" s="39"/>
      <c r="P89" s="39"/>
      <c r="Q89" s="39" t="s">
        <v>31</v>
      </c>
      <c r="R89" s="39"/>
      <c r="S89" s="304" t="s">
        <v>533</v>
      </c>
      <c r="T89" s="55"/>
      <c r="U89" s="39"/>
      <c r="V89" s="39"/>
      <c r="W89" s="39"/>
      <c r="X89" s="341"/>
      <c r="Y89" s="64"/>
      <c r="Z89" s="27" t="s">
        <v>33</v>
      </c>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27"/>
      <c r="BJ89" s="27"/>
      <c r="BK89" s="27"/>
      <c r="BL89" s="27"/>
      <c r="BM89" s="27"/>
      <c r="BN89" s="27"/>
      <c r="BO89" s="27"/>
      <c r="BP89" s="27"/>
      <c r="BQ89" s="27"/>
      <c r="BR89" s="27"/>
      <c r="BS89" s="27"/>
      <c r="BT89" s="27"/>
      <c r="BU89" s="27"/>
      <c r="BV89" s="27"/>
      <c r="BW89" s="27"/>
      <c r="BX89" s="27"/>
      <c r="BY89" s="27"/>
      <c r="BZ89" s="27"/>
      <c r="CA89" s="27"/>
      <c r="CB89" s="27"/>
      <c r="CC89" s="27"/>
      <c r="CD89" s="27"/>
      <c r="CE89" s="27"/>
      <c r="CF89" s="27"/>
      <c r="CG89" s="27"/>
      <c r="CH89" s="27"/>
      <c r="CI89" s="27"/>
      <c r="CJ89" s="27"/>
      <c r="CK89" s="27"/>
      <c r="CL89" s="27"/>
      <c r="CM89" s="27"/>
      <c r="CN89" s="27"/>
      <c r="CO89" s="27"/>
      <c r="CP89" s="27"/>
      <c r="CQ89" s="27"/>
      <c r="CR89" s="27"/>
      <c r="CS89" s="27"/>
      <c r="CT89" s="27"/>
      <c r="CU89" s="27"/>
      <c r="CV89" s="27"/>
      <c r="CW89" s="27"/>
      <c r="CX89" s="27"/>
      <c r="CY89" s="27"/>
      <c r="CZ89" s="27"/>
      <c r="DA89" s="27"/>
      <c r="DB89" s="27"/>
      <c r="DC89" s="27"/>
      <c r="DD89" s="27"/>
      <c r="DE89" s="27"/>
      <c r="DF89" s="27"/>
      <c r="DG89" s="27"/>
      <c r="DH89" s="27"/>
      <c r="DI89" s="27"/>
      <c r="DJ89" s="27"/>
      <c r="DK89" s="27"/>
      <c r="DL89" s="27"/>
      <c r="DM89" s="27"/>
      <c r="DN89" s="27"/>
      <c r="DO89" s="27"/>
      <c r="DP89" s="27"/>
      <c r="DQ89" s="27"/>
      <c r="DR89" s="27"/>
      <c r="DS89" s="27"/>
      <c r="DT89" s="27"/>
      <c r="DU89" s="27"/>
      <c r="DV89" s="27"/>
      <c r="DW89" s="27"/>
      <c r="DX89" s="27"/>
      <c r="DY89" s="27"/>
      <c r="DZ89" s="27"/>
      <c r="EA89" s="27"/>
      <c r="EB89" s="27"/>
      <c r="EC89" s="27"/>
      <c r="ED89" s="27"/>
      <c r="EE89" s="27"/>
      <c r="EF89" s="27"/>
      <c r="EG89" s="27"/>
      <c r="EH89" s="27"/>
      <c r="EI89" s="27"/>
      <c r="EJ89" s="27"/>
      <c r="EK89" s="27"/>
      <c r="EL89" s="27"/>
      <c r="EM89" s="27"/>
      <c r="EN89" s="27"/>
      <c r="EO89" s="27"/>
      <c r="EP89" s="27"/>
    </row>
    <row r="90" spans="1:146" ht="45" customHeight="1">
      <c r="A90" s="47" t="s">
        <v>536</v>
      </c>
      <c r="B90" s="28"/>
      <c r="C90" s="250" t="s">
        <v>537</v>
      </c>
      <c r="D90" s="29">
        <v>1999</v>
      </c>
      <c r="E90" s="29">
        <v>1999</v>
      </c>
      <c r="F90" s="29" t="s">
        <v>282</v>
      </c>
      <c r="G90" s="31" t="s">
        <v>47</v>
      </c>
      <c r="H90" s="29" t="s">
        <v>283</v>
      </c>
      <c r="I90" s="80" t="s">
        <v>57</v>
      </c>
      <c r="J90" s="39" t="s">
        <v>31</v>
      </c>
      <c r="K90" s="80" t="s">
        <v>1621</v>
      </c>
      <c r="L90" s="32">
        <v>10000</v>
      </c>
      <c r="M90" s="29" t="s">
        <v>31</v>
      </c>
      <c r="N90" s="29"/>
      <c r="O90" s="29"/>
      <c r="P90" s="29"/>
      <c r="Q90" s="80" t="s">
        <v>31</v>
      </c>
      <c r="R90" s="29"/>
      <c r="S90" s="304" t="s">
        <v>1623</v>
      </c>
      <c r="T90" s="29"/>
      <c r="U90" s="31" t="s">
        <v>93</v>
      </c>
      <c r="V90" s="31" t="s">
        <v>61</v>
      </c>
      <c r="W90" s="31" t="s">
        <v>62</v>
      </c>
      <c r="X90" s="328" t="s">
        <v>1820</v>
      </c>
      <c r="Y90" s="198" t="s">
        <v>1622</v>
      </c>
      <c r="Z90" s="27" t="s">
        <v>33</v>
      </c>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27"/>
      <c r="EB90" s="27"/>
      <c r="EC90" s="27"/>
      <c r="ED90" s="27"/>
      <c r="EE90" s="27"/>
      <c r="EF90" s="27"/>
      <c r="EG90" s="27"/>
      <c r="EH90" s="27"/>
      <c r="EI90" s="27"/>
      <c r="EJ90" s="27"/>
      <c r="EK90" s="27"/>
      <c r="EL90" s="27"/>
      <c r="EM90" s="27"/>
      <c r="EN90" s="27"/>
      <c r="EO90" s="27"/>
      <c r="EP90" s="27"/>
    </row>
    <row r="91" spans="1:146" ht="45" customHeight="1">
      <c r="A91" s="47" t="s">
        <v>566</v>
      </c>
      <c r="B91" s="28"/>
      <c r="C91" s="302" t="s">
        <v>1788</v>
      </c>
      <c r="D91" s="29">
        <v>2000</v>
      </c>
      <c r="E91" s="29">
        <v>2000</v>
      </c>
      <c r="F91" s="29" t="s">
        <v>567</v>
      </c>
      <c r="G91" s="31" t="s">
        <v>200</v>
      </c>
      <c r="H91" s="303" t="s">
        <v>568</v>
      </c>
      <c r="I91" s="303" t="s">
        <v>569</v>
      </c>
      <c r="J91" s="29" t="s">
        <v>31</v>
      </c>
      <c r="K91" s="29"/>
      <c r="L91" s="32">
        <v>79500</v>
      </c>
      <c r="M91" s="29"/>
      <c r="N91" s="29"/>
      <c r="O91" s="29" t="s">
        <v>31</v>
      </c>
      <c r="P91" s="29"/>
      <c r="Q91" s="29"/>
      <c r="R91" s="29" t="s">
        <v>31</v>
      </c>
      <c r="S91" s="304" t="s">
        <v>570</v>
      </c>
      <c r="T91" s="29"/>
      <c r="U91" s="31" t="s">
        <v>571</v>
      </c>
      <c r="V91" s="29" t="s">
        <v>572</v>
      </c>
      <c r="W91" s="29" t="s">
        <v>573</v>
      </c>
      <c r="X91" s="326"/>
      <c r="Z91" s="27" t="s">
        <v>33</v>
      </c>
      <c r="AA91" s="27"/>
      <c r="AB91" s="27"/>
      <c r="AC91" s="27"/>
      <c r="AD91" s="27"/>
      <c r="AE91" s="27"/>
      <c r="AF91" s="27"/>
      <c r="AG91" s="27"/>
      <c r="AH91" s="27"/>
      <c r="AI91" s="27"/>
      <c r="AJ91" s="27"/>
      <c r="AK91" s="27"/>
      <c r="AL91" s="27"/>
      <c r="AM91" s="27"/>
      <c r="AN91" s="27"/>
      <c r="AO91" s="27"/>
      <c r="AP91" s="27"/>
      <c r="AQ91" s="27"/>
      <c r="AR91" s="27"/>
      <c r="AS91" s="27"/>
      <c r="AT91" s="27"/>
      <c r="AU91" s="27"/>
      <c r="AV91" s="27"/>
      <c r="AW91" s="27"/>
      <c r="AX91" s="27"/>
      <c r="AY91" s="27"/>
      <c r="AZ91" s="27"/>
      <c r="BA91" s="27"/>
      <c r="BB91" s="27"/>
      <c r="BC91" s="27"/>
      <c r="BD91" s="27"/>
      <c r="BE91" s="27"/>
      <c r="BF91" s="27"/>
      <c r="BG91" s="27"/>
      <c r="BH91" s="27"/>
      <c r="BI91" s="27"/>
      <c r="BJ91" s="27"/>
      <c r="BK91" s="27"/>
      <c r="BL91" s="27"/>
      <c r="BM91" s="27"/>
      <c r="BN91" s="27"/>
      <c r="BO91" s="27"/>
      <c r="BP91" s="27"/>
      <c r="BQ91" s="27"/>
      <c r="BR91" s="27"/>
      <c r="BS91" s="27"/>
      <c r="BT91" s="27"/>
      <c r="BU91" s="27"/>
      <c r="BV91" s="27"/>
      <c r="BW91" s="27"/>
      <c r="BX91" s="27"/>
      <c r="BY91" s="27"/>
      <c r="BZ91" s="27"/>
      <c r="CA91" s="27"/>
      <c r="CB91" s="27"/>
      <c r="CC91" s="27"/>
      <c r="CD91" s="27"/>
      <c r="CE91" s="27"/>
      <c r="CF91" s="27"/>
      <c r="CG91" s="27"/>
      <c r="CH91" s="27"/>
      <c r="CI91" s="27"/>
      <c r="CJ91" s="27"/>
      <c r="CK91" s="27"/>
      <c r="CL91" s="27"/>
      <c r="CM91" s="27"/>
      <c r="CN91" s="27"/>
      <c r="CO91" s="27"/>
      <c r="CP91" s="27"/>
      <c r="CQ91" s="27"/>
      <c r="CR91" s="27"/>
      <c r="CS91" s="27"/>
      <c r="CT91" s="27"/>
      <c r="CU91" s="27"/>
      <c r="CV91" s="27"/>
      <c r="CW91" s="27"/>
      <c r="CX91" s="27"/>
      <c r="CY91" s="27"/>
      <c r="CZ91" s="27"/>
      <c r="DA91" s="27"/>
      <c r="DB91" s="27"/>
      <c r="DC91" s="27"/>
      <c r="DD91" s="27"/>
      <c r="DE91" s="27"/>
      <c r="DF91" s="27"/>
      <c r="DG91" s="27"/>
      <c r="DH91" s="27"/>
      <c r="DI91" s="27"/>
      <c r="DJ91" s="27"/>
      <c r="DK91" s="27"/>
      <c r="DL91" s="27"/>
      <c r="DM91" s="27"/>
      <c r="DN91" s="27"/>
      <c r="DO91" s="27"/>
      <c r="DP91" s="27"/>
      <c r="DQ91" s="27"/>
      <c r="DR91" s="27"/>
      <c r="DS91" s="27"/>
      <c r="DT91" s="27"/>
      <c r="DU91" s="27"/>
      <c r="DV91" s="27"/>
      <c r="DW91" s="27"/>
      <c r="DX91" s="27"/>
      <c r="DY91" s="27"/>
      <c r="DZ91" s="27"/>
      <c r="EA91" s="27"/>
      <c r="EB91" s="27"/>
      <c r="EC91" s="27"/>
      <c r="ED91" s="27"/>
      <c r="EE91" s="27"/>
      <c r="EF91" s="27"/>
      <c r="EG91" s="27"/>
      <c r="EH91" s="27"/>
      <c r="EI91" s="27"/>
      <c r="EJ91" s="27"/>
      <c r="EK91" s="27"/>
      <c r="EL91" s="27"/>
      <c r="EM91" s="27"/>
      <c r="EN91" s="27"/>
      <c r="EO91" s="27"/>
      <c r="EP91" s="27"/>
    </row>
    <row r="92" spans="1:146" ht="45" customHeight="1">
      <c r="A92" s="46" t="s">
        <v>575</v>
      </c>
      <c r="B92" s="42"/>
      <c r="C92" s="80" t="s">
        <v>1643</v>
      </c>
      <c r="D92" s="29">
        <v>2000</v>
      </c>
      <c r="E92" s="29">
        <v>2001</v>
      </c>
      <c r="F92" s="82"/>
      <c r="G92" s="31" t="s">
        <v>290</v>
      </c>
      <c r="H92" s="29" t="s">
        <v>290</v>
      </c>
      <c r="I92" s="29" t="s">
        <v>57</v>
      </c>
      <c r="J92" s="80" t="s">
        <v>31</v>
      </c>
      <c r="K92" s="29"/>
      <c r="L92" s="32">
        <v>137275</v>
      </c>
      <c r="M92" s="29"/>
      <c r="N92" s="29"/>
      <c r="O92" s="29"/>
      <c r="P92" s="29" t="s">
        <v>31</v>
      </c>
      <c r="Q92" s="29" t="s">
        <v>31</v>
      </c>
      <c r="R92" s="29" t="s">
        <v>31</v>
      </c>
      <c r="S92" s="304" t="s">
        <v>1642</v>
      </c>
      <c r="T92" s="29"/>
      <c r="U92" s="29"/>
      <c r="V92" s="29"/>
      <c r="W92" s="29"/>
      <c r="X92" s="341"/>
      <c r="Z92" s="27" t="s">
        <v>33</v>
      </c>
      <c r="AA92" s="27"/>
      <c r="AB92" s="27"/>
      <c r="AC92" s="27"/>
      <c r="AD92" s="27"/>
      <c r="AE92" s="27"/>
      <c r="AF92" s="27"/>
      <c r="AG92" s="27"/>
      <c r="AH92" s="27"/>
      <c r="AI92" s="27"/>
      <c r="AJ92" s="27"/>
      <c r="AK92" s="27"/>
      <c r="AL92" s="27"/>
      <c r="AM92" s="27"/>
      <c r="AN92" s="27"/>
      <c r="AO92" s="27"/>
      <c r="AP92" s="27"/>
      <c r="AQ92" s="27"/>
      <c r="AR92" s="27"/>
      <c r="AS92" s="27"/>
      <c r="AT92" s="27"/>
      <c r="AU92" s="27"/>
      <c r="AV92" s="27"/>
      <c r="AW92" s="27"/>
      <c r="AX92" s="27"/>
      <c r="AY92" s="27"/>
      <c r="AZ92" s="27"/>
      <c r="BA92" s="27"/>
      <c r="BB92" s="27"/>
      <c r="BC92" s="27"/>
      <c r="BD92" s="27"/>
      <c r="BE92" s="27"/>
      <c r="BF92" s="27"/>
      <c r="BG92" s="27"/>
      <c r="BH92" s="27"/>
      <c r="BI92" s="27"/>
      <c r="BJ92" s="27"/>
      <c r="BK92" s="27"/>
      <c r="BL92" s="27"/>
      <c r="BM92" s="27"/>
      <c r="BN92" s="27"/>
      <c r="BO92" s="27"/>
      <c r="BP92" s="27"/>
      <c r="BQ92" s="27"/>
      <c r="BR92" s="27"/>
      <c r="BS92" s="27"/>
      <c r="BT92" s="27"/>
      <c r="BU92" s="27"/>
      <c r="BV92" s="27"/>
      <c r="BW92" s="27"/>
      <c r="BX92" s="27"/>
      <c r="BY92" s="27"/>
      <c r="BZ92" s="27"/>
      <c r="CA92" s="27"/>
      <c r="CB92" s="27"/>
      <c r="CC92" s="27"/>
      <c r="CD92" s="27"/>
      <c r="CE92" s="27"/>
      <c r="CF92" s="27"/>
      <c r="CG92" s="27"/>
      <c r="CH92" s="27"/>
      <c r="CI92" s="27"/>
      <c r="CJ92" s="27"/>
      <c r="CK92" s="27"/>
      <c r="CL92" s="27"/>
      <c r="CM92" s="27"/>
      <c r="CN92" s="27"/>
      <c r="CO92" s="27"/>
      <c r="CP92" s="27"/>
      <c r="CQ92" s="27"/>
      <c r="CR92" s="27"/>
      <c r="CS92" s="27"/>
      <c r="CT92" s="27"/>
      <c r="CU92" s="27"/>
      <c r="CV92" s="27"/>
      <c r="CW92" s="27"/>
      <c r="CX92" s="27"/>
      <c r="CY92" s="27"/>
      <c r="CZ92" s="27"/>
      <c r="DA92" s="27"/>
      <c r="DB92" s="27"/>
      <c r="DC92" s="27"/>
      <c r="DD92" s="27"/>
      <c r="DE92" s="27"/>
      <c r="DF92" s="27"/>
      <c r="DG92" s="27"/>
      <c r="DH92" s="27"/>
      <c r="DI92" s="27"/>
      <c r="DJ92" s="27"/>
      <c r="DK92" s="27"/>
      <c r="DL92" s="27"/>
      <c r="DM92" s="27"/>
      <c r="DN92" s="27"/>
      <c r="DO92" s="27"/>
      <c r="DP92" s="27"/>
      <c r="DQ92" s="27"/>
      <c r="DR92" s="27"/>
      <c r="DS92" s="27"/>
      <c r="DT92" s="27"/>
      <c r="DU92" s="27"/>
      <c r="DV92" s="27"/>
      <c r="DW92" s="27"/>
      <c r="DX92" s="27"/>
      <c r="DY92" s="27"/>
      <c r="DZ92" s="27"/>
      <c r="EA92" s="27"/>
      <c r="EB92" s="27"/>
      <c r="EC92" s="27"/>
      <c r="ED92" s="27"/>
      <c r="EE92" s="27"/>
      <c r="EF92" s="27"/>
      <c r="EG92" s="27"/>
      <c r="EH92" s="27"/>
      <c r="EI92" s="27"/>
      <c r="EJ92" s="27"/>
      <c r="EK92" s="27"/>
      <c r="EL92" s="27"/>
      <c r="EM92" s="27"/>
      <c r="EN92" s="27"/>
      <c r="EO92" s="27"/>
      <c r="EP92" s="27"/>
    </row>
    <row r="93" spans="1:146" ht="45" customHeight="1">
      <c r="A93" s="149" t="s">
        <v>1632</v>
      </c>
      <c r="B93" s="143"/>
      <c r="C93" s="145" t="s">
        <v>598</v>
      </c>
      <c r="D93" s="145">
        <v>2000</v>
      </c>
      <c r="E93" s="145">
        <v>2005</v>
      </c>
      <c r="F93" s="145"/>
      <c r="G93" s="144" t="s">
        <v>289</v>
      </c>
      <c r="H93" s="145" t="s">
        <v>290</v>
      </c>
      <c r="I93" s="145" t="s">
        <v>57</v>
      </c>
      <c r="J93" s="145" t="s">
        <v>31</v>
      </c>
      <c r="K93" s="145"/>
      <c r="L93" s="146"/>
      <c r="M93" s="145"/>
      <c r="N93" s="145"/>
      <c r="O93" s="145"/>
      <c r="P93" s="145"/>
      <c r="Q93" s="145"/>
      <c r="R93" s="145"/>
      <c r="S93" s="348"/>
      <c r="T93" s="145"/>
      <c r="U93" s="144"/>
      <c r="V93" s="145"/>
      <c r="W93" s="145"/>
      <c r="X93" s="325"/>
      <c r="Y93" s="204"/>
      <c r="Z93" s="147" t="s">
        <v>33</v>
      </c>
      <c r="AA93" s="27"/>
      <c r="AB93" s="27"/>
      <c r="AC93" s="27"/>
      <c r="AD93" s="27"/>
      <c r="AE93" s="27"/>
      <c r="AF93" s="27"/>
      <c r="AG93" s="27"/>
      <c r="AH93" s="27"/>
      <c r="AI93" s="27"/>
      <c r="AJ93" s="27"/>
      <c r="AK93" s="27"/>
      <c r="AL93" s="27"/>
      <c r="AM93" s="27"/>
      <c r="AN93" s="27"/>
      <c r="AO93" s="27"/>
      <c r="AP93" s="27"/>
      <c r="AQ93" s="27"/>
      <c r="AR93" s="27"/>
      <c r="AS93" s="27"/>
      <c r="AT93" s="27"/>
      <c r="AU93" s="27"/>
      <c r="AV93" s="27"/>
      <c r="AW93" s="27"/>
      <c r="AX93" s="27"/>
      <c r="AY93" s="27"/>
      <c r="AZ93" s="27"/>
      <c r="BA93" s="27"/>
      <c r="BB93" s="27"/>
      <c r="BC93" s="27"/>
      <c r="BD93" s="27"/>
      <c r="BE93" s="27"/>
      <c r="BF93" s="27"/>
      <c r="BG93" s="27"/>
      <c r="BH93" s="27"/>
      <c r="BI93" s="27"/>
      <c r="BJ93" s="27"/>
      <c r="BK93" s="27"/>
      <c r="BL93" s="27"/>
      <c r="BM93" s="27"/>
      <c r="BN93" s="27"/>
      <c r="BO93" s="27"/>
      <c r="BP93" s="27"/>
      <c r="BQ93" s="27"/>
      <c r="BR93" s="27"/>
      <c r="BS93" s="27"/>
      <c r="BT93" s="27"/>
      <c r="BU93" s="27"/>
      <c r="BV93" s="27"/>
      <c r="BW93" s="27"/>
      <c r="BX93" s="27"/>
      <c r="BY93" s="27"/>
      <c r="BZ93" s="27"/>
      <c r="CA93" s="27"/>
      <c r="CB93" s="27"/>
      <c r="CC93" s="27"/>
      <c r="CD93" s="27"/>
      <c r="CE93" s="27"/>
      <c r="CF93" s="27"/>
      <c r="CG93" s="27"/>
      <c r="CH93" s="27"/>
      <c r="CI93" s="27"/>
      <c r="CJ93" s="27"/>
      <c r="CK93" s="27"/>
      <c r="CL93" s="27"/>
      <c r="CM93" s="27"/>
      <c r="CN93" s="27"/>
      <c r="CO93" s="27"/>
      <c r="CP93" s="27"/>
      <c r="CQ93" s="27"/>
      <c r="CR93" s="27"/>
      <c r="CS93" s="27"/>
      <c r="CT93" s="27"/>
      <c r="CU93" s="27"/>
      <c r="CV93" s="27"/>
      <c r="CW93" s="27"/>
      <c r="CX93" s="27"/>
      <c r="CY93" s="27"/>
      <c r="CZ93" s="27"/>
      <c r="DA93" s="27"/>
      <c r="DB93" s="27"/>
      <c r="DC93" s="27"/>
      <c r="DD93" s="27"/>
      <c r="DE93" s="27"/>
      <c r="DF93" s="27"/>
      <c r="DG93" s="27"/>
      <c r="DH93" s="27"/>
      <c r="DI93" s="27"/>
      <c r="DJ93" s="27"/>
      <c r="DK93" s="27"/>
      <c r="DL93" s="27"/>
      <c r="DM93" s="27"/>
      <c r="DN93" s="27"/>
      <c r="DO93" s="27"/>
      <c r="DP93" s="27"/>
      <c r="DQ93" s="27"/>
      <c r="DR93" s="27"/>
      <c r="DS93" s="27"/>
      <c r="DT93" s="27"/>
      <c r="DU93" s="27"/>
      <c r="DV93" s="27"/>
      <c r="DW93" s="27"/>
      <c r="DX93" s="27"/>
      <c r="DY93" s="27"/>
      <c r="DZ93" s="27"/>
      <c r="EA93" s="27"/>
      <c r="EB93" s="27"/>
      <c r="EC93" s="27"/>
      <c r="ED93" s="27"/>
      <c r="EE93" s="27"/>
      <c r="EF93" s="27"/>
      <c r="EG93" s="27"/>
      <c r="EH93" s="27"/>
      <c r="EI93" s="27"/>
      <c r="EJ93" s="27"/>
      <c r="EK93" s="27"/>
      <c r="EL93" s="27"/>
      <c r="EM93" s="27"/>
      <c r="EN93" s="27"/>
      <c r="EO93" s="27"/>
      <c r="EP93" s="27"/>
    </row>
    <row r="94" spans="1:146" s="101" customFormat="1" ht="45" customHeight="1">
      <c r="A94" s="194" t="s">
        <v>561</v>
      </c>
      <c r="B94" s="33"/>
      <c r="C94" s="82"/>
      <c r="D94" s="52">
        <v>2000</v>
      </c>
      <c r="E94" s="52">
        <v>2000</v>
      </c>
      <c r="F94" s="52" t="s">
        <v>111</v>
      </c>
      <c r="G94" s="60" t="s">
        <v>47</v>
      </c>
      <c r="H94" s="87" t="s">
        <v>95</v>
      </c>
      <c r="I94" s="31" t="s">
        <v>168</v>
      </c>
      <c r="J94" s="29"/>
      <c r="K94" s="29"/>
      <c r="L94" s="32">
        <v>32450</v>
      </c>
      <c r="M94" s="29" t="s">
        <v>31</v>
      </c>
      <c r="N94" s="29"/>
      <c r="O94" s="29"/>
      <c r="P94" s="29" t="s">
        <v>31</v>
      </c>
      <c r="Q94" s="29"/>
      <c r="R94" s="29"/>
      <c r="S94" s="351" t="s">
        <v>562</v>
      </c>
      <c r="T94" s="52"/>
      <c r="U94" s="31" t="s">
        <v>563</v>
      </c>
      <c r="V94" s="29" t="s">
        <v>564</v>
      </c>
      <c r="W94" s="29" t="s">
        <v>565</v>
      </c>
      <c r="X94" s="326"/>
      <c r="Y94" s="64"/>
      <c r="Z94" s="27" t="s">
        <v>33</v>
      </c>
    </row>
    <row r="95" spans="1:146" s="317" customFormat="1" ht="45" customHeight="1">
      <c r="A95" s="364" t="s">
        <v>552</v>
      </c>
      <c r="B95" s="364"/>
      <c r="C95" s="319" t="s">
        <v>547</v>
      </c>
      <c r="D95" s="365">
        <v>2000</v>
      </c>
      <c r="E95" s="365">
        <v>2002</v>
      </c>
      <c r="F95" s="365" t="s">
        <v>184</v>
      </c>
      <c r="G95" s="366" t="s">
        <v>47</v>
      </c>
      <c r="H95" s="315" t="s">
        <v>185</v>
      </c>
      <c r="I95" s="315" t="s">
        <v>57</v>
      </c>
      <c r="J95" s="315" t="s">
        <v>31</v>
      </c>
      <c r="K95" s="315"/>
      <c r="L95" s="316">
        <v>10094735</v>
      </c>
      <c r="M95" s="315"/>
      <c r="N95" s="315" t="s">
        <v>31</v>
      </c>
      <c r="O95" s="315"/>
      <c r="P95" s="315"/>
      <c r="Q95" s="315"/>
      <c r="R95" s="315"/>
      <c r="S95" s="367" t="s">
        <v>553</v>
      </c>
      <c r="T95" s="365"/>
      <c r="U95" s="315" t="s">
        <v>554</v>
      </c>
      <c r="V95" s="315" t="s">
        <v>555</v>
      </c>
      <c r="W95" s="315" t="s">
        <v>556</v>
      </c>
      <c r="X95" s="368" t="s">
        <v>1821</v>
      </c>
      <c r="Y95" s="329" t="s">
        <v>558</v>
      </c>
      <c r="Z95" s="317" t="s">
        <v>33</v>
      </c>
    </row>
    <row r="96" spans="1:146" ht="45" customHeight="1">
      <c r="A96" s="320" t="s">
        <v>1770</v>
      </c>
      <c r="B96" s="28"/>
      <c r="C96" s="29" t="s">
        <v>576</v>
      </c>
      <c r="D96" s="29">
        <v>2000</v>
      </c>
      <c r="E96" s="29">
        <v>2000</v>
      </c>
      <c r="F96" s="29" t="s">
        <v>71</v>
      </c>
      <c r="G96" s="31" t="s">
        <v>47</v>
      </c>
      <c r="H96" s="99" t="s">
        <v>72</v>
      </c>
      <c r="I96" s="31" t="s">
        <v>57</v>
      </c>
      <c r="J96" s="29" t="s">
        <v>31</v>
      </c>
      <c r="K96" s="29"/>
      <c r="L96" s="83"/>
      <c r="M96" s="300" t="s">
        <v>31</v>
      </c>
      <c r="N96" s="29" t="s">
        <v>31</v>
      </c>
      <c r="O96" s="29"/>
      <c r="P96" s="29"/>
      <c r="Q96" s="29"/>
      <c r="R96" s="29"/>
      <c r="S96" s="352" t="s">
        <v>1776</v>
      </c>
      <c r="T96" s="29"/>
      <c r="U96" s="29"/>
      <c r="V96" s="29"/>
      <c r="W96" s="29"/>
      <c r="X96" s="327" t="s">
        <v>1822</v>
      </c>
      <c r="Y96" s="69" t="s">
        <v>551</v>
      </c>
      <c r="Z96" s="27" t="s">
        <v>33</v>
      </c>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row>
    <row r="97" spans="1:146" ht="45" customHeight="1">
      <c r="A97" s="47" t="s">
        <v>608</v>
      </c>
      <c r="B97" s="28"/>
      <c r="C97" s="82"/>
      <c r="D97" s="29">
        <v>2001</v>
      </c>
      <c r="E97" s="29">
        <v>2002</v>
      </c>
      <c r="F97" s="86" t="s">
        <v>1750</v>
      </c>
      <c r="G97" s="31" t="s">
        <v>226</v>
      </c>
      <c r="H97" s="213" t="s">
        <v>1660</v>
      </c>
      <c r="I97" s="31" t="s">
        <v>609</v>
      </c>
      <c r="J97" s="29" t="s">
        <v>31</v>
      </c>
      <c r="K97" s="29"/>
      <c r="L97" s="83"/>
      <c r="M97" s="29"/>
      <c r="N97" s="80" t="s">
        <v>31</v>
      </c>
      <c r="O97" s="29"/>
      <c r="P97" s="29"/>
      <c r="Q97" s="29"/>
      <c r="R97" s="29"/>
      <c r="S97" s="304" t="s">
        <v>610</v>
      </c>
      <c r="T97" s="29"/>
      <c r="U97" s="31" t="s">
        <v>611</v>
      </c>
      <c r="V97" s="31" t="s">
        <v>449</v>
      </c>
      <c r="W97" s="31" t="s">
        <v>612</v>
      </c>
      <c r="X97" s="371"/>
      <c r="Y97" s="201"/>
      <c r="Z97" s="27" t="s">
        <v>33</v>
      </c>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row>
    <row r="98" spans="1:146" ht="45" customHeight="1">
      <c r="A98" s="320" t="s">
        <v>618</v>
      </c>
      <c r="B98" s="318" t="s">
        <v>1780</v>
      </c>
      <c r="C98" s="303" t="s">
        <v>1644</v>
      </c>
      <c r="D98" s="29">
        <v>2001</v>
      </c>
      <c r="E98" s="29">
        <v>2004</v>
      </c>
      <c r="F98" s="29" t="s">
        <v>444</v>
      </c>
      <c r="G98" s="31" t="s">
        <v>226</v>
      </c>
      <c r="H98" s="303" t="s">
        <v>445</v>
      </c>
      <c r="I98" s="29" t="s">
        <v>57</v>
      </c>
      <c r="J98" s="29" t="s">
        <v>619</v>
      </c>
      <c r="K98" s="29" t="s">
        <v>31</v>
      </c>
      <c r="L98" s="374">
        <v>1058122</v>
      </c>
      <c r="M98" s="29"/>
      <c r="N98" s="29"/>
      <c r="O98" s="80" t="s">
        <v>31</v>
      </c>
      <c r="P98" s="29"/>
      <c r="Q98" s="29"/>
      <c r="R98" s="80" t="s">
        <v>31</v>
      </c>
      <c r="S98" s="304" t="s">
        <v>620</v>
      </c>
      <c r="T98" s="29"/>
      <c r="U98" s="31" t="s">
        <v>621</v>
      </c>
      <c r="V98" s="31" t="s">
        <v>622</v>
      </c>
      <c r="W98" s="31" t="s">
        <v>623</v>
      </c>
      <c r="X98" s="341"/>
      <c r="Z98" s="27" t="s">
        <v>33</v>
      </c>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row>
    <row r="99" spans="1:146" ht="45" customHeight="1">
      <c r="A99" s="47" t="s">
        <v>624</v>
      </c>
      <c r="B99" s="318" t="s">
        <v>1783</v>
      </c>
      <c r="C99" s="303" t="s">
        <v>1644</v>
      </c>
      <c r="D99" s="29">
        <v>2001</v>
      </c>
      <c r="E99" s="29">
        <v>2002</v>
      </c>
      <c r="F99" s="29" t="s">
        <v>625</v>
      </c>
      <c r="G99" s="31" t="s">
        <v>226</v>
      </c>
      <c r="H99" s="308" t="s">
        <v>626</v>
      </c>
      <c r="I99" s="29" t="s">
        <v>57</v>
      </c>
      <c r="J99" s="300" t="s">
        <v>619</v>
      </c>
      <c r="K99" s="29" t="s">
        <v>31</v>
      </c>
      <c r="L99" s="306">
        <v>1058266</v>
      </c>
      <c r="M99" s="29"/>
      <c r="N99" s="29"/>
      <c r="O99" s="29"/>
      <c r="P99" s="29"/>
      <c r="Q99" s="29"/>
      <c r="R99" s="29" t="s">
        <v>31</v>
      </c>
      <c r="S99" s="304" t="s">
        <v>627</v>
      </c>
      <c r="T99" s="29"/>
      <c r="U99" s="31" t="s">
        <v>584</v>
      </c>
      <c r="V99" s="31" t="s">
        <v>61</v>
      </c>
      <c r="W99" s="31" t="s">
        <v>62</v>
      </c>
      <c r="X99" s="327" t="s">
        <v>628</v>
      </c>
      <c r="Y99" s="69" t="s">
        <v>629</v>
      </c>
      <c r="Z99" s="27" t="s">
        <v>33</v>
      </c>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row>
    <row r="100" spans="1:146" ht="45" customHeight="1">
      <c r="A100" s="47" t="s">
        <v>631</v>
      </c>
      <c r="B100" s="28"/>
      <c r="C100" s="29" t="s">
        <v>632</v>
      </c>
      <c r="D100" s="29">
        <v>2001</v>
      </c>
      <c r="E100" s="29">
        <v>2001</v>
      </c>
      <c r="F100" s="29" t="s">
        <v>633</v>
      </c>
      <c r="G100" s="31" t="s">
        <v>226</v>
      </c>
      <c r="H100" s="303" t="s">
        <v>634</v>
      </c>
      <c r="I100" s="29" t="s">
        <v>57</v>
      </c>
      <c r="J100" s="29" t="s">
        <v>539</v>
      </c>
      <c r="K100" s="29" t="s">
        <v>31</v>
      </c>
      <c r="L100" s="32">
        <v>12240</v>
      </c>
      <c r="M100" s="29"/>
      <c r="N100" s="29"/>
      <c r="O100" s="80" t="s">
        <v>31</v>
      </c>
      <c r="P100" s="29"/>
      <c r="Q100" s="29"/>
      <c r="R100" s="80" t="s">
        <v>31</v>
      </c>
      <c r="S100" s="304" t="s">
        <v>635</v>
      </c>
      <c r="T100" s="29"/>
      <c r="U100" s="31" t="s">
        <v>636</v>
      </c>
      <c r="V100" s="29"/>
      <c r="W100" s="29" t="s">
        <v>637</v>
      </c>
      <c r="X100" s="327" t="s">
        <v>638</v>
      </c>
      <c r="Y100" s="69" t="s">
        <v>639</v>
      </c>
      <c r="Z100" s="27" t="s">
        <v>33</v>
      </c>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row>
    <row r="101" spans="1:146" ht="45" customHeight="1">
      <c r="A101" s="375" t="s">
        <v>1785</v>
      </c>
      <c r="B101" s="258" t="s">
        <v>1641</v>
      </c>
      <c r="C101" s="29" t="s">
        <v>598</v>
      </c>
      <c r="D101" s="39">
        <v>2001</v>
      </c>
      <c r="E101" s="39">
        <v>2001</v>
      </c>
      <c r="F101" s="300" t="s">
        <v>1787</v>
      </c>
      <c r="G101" s="31" t="s">
        <v>404</v>
      </c>
      <c r="H101" s="302" t="s">
        <v>1786</v>
      </c>
      <c r="I101" s="29" t="s">
        <v>57</v>
      </c>
      <c r="J101" s="213" t="s">
        <v>1753</v>
      </c>
      <c r="K101" s="29" t="s">
        <v>31</v>
      </c>
      <c r="L101" s="88">
        <v>85855</v>
      </c>
      <c r="M101" s="29" t="s">
        <v>31</v>
      </c>
      <c r="N101" s="29"/>
      <c r="O101" s="29"/>
      <c r="P101" s="29"/>
      <c r="Q101" s="29"/>
      <c r="R101" s="29"/>
      <c r="S101" s="347" t="s">
        <v>599</v>
      </c>
      <c r="T101" s="96"/>
      <c r="U101" s="29" t="s">
        <v>584</v>
      </c>
      <c r="V101" s="29" t="s">
        <v>600</v>
      </c>
      <c r="W101" s="29" t="s">
        <v>601</v>
      </c>
      <c r="X101" s="327" t="s">
        <v>1823</v>
      </c>
      <c r="Y101" s="64" t="s">
        <v>603</v>
      </c>
      <c r="Z101" s="27" t="s">
        <v>33</v>
      </c>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row>
    <row r="102" spans="1:146" ht="45" customHeight="1">
      <c r="A102" s="154" t="s">
        <v>1754</v>
      </c>
      <c r="B102" s="148" t="s">
        <v>1641</v>
      </c>
      <c r="C102" s="29" t="s">
        <v>598</v>
      </c>
      <c r="D102" s="39">
        <v>2001</v>
      </c>
      <c r="E102" s="39">
        <v>2001</v>
      </c>
      <c r="F102" s="80" t="s">
        <v>1756</v>
      </c>
      <c r="G102" s="213" t="s">
        <v>254</v>
      </c>
      <c r="H102" s="302" t="s">
        <v>1755</v>
      </c>
      <c r="I102" s="213" t="s">
        <v>57</v>
      </c>
      <c r="J102" s="213" t="s">
        <v>1753</v>
      </c>
      <c r="K102" s="80" t="s">
        <v>31</v>
      </c>
      <c r="L102" s="88">
        <v>31074</v>
      </c>
      <c r="M102" s="300" t="s">
        <v>31</v>
      </c>
      <c r="N102" s="29"/>
      <c r="O102" s="29"/>
      <c r="P102" s="29"/>
      <c r="Q102" s="29"/>
      <c r="R102" s="300" t="s">
        <v>31</v>
      </c>
      <c r="S102" s="304"/>
      <c r="T102" s="284"/>
      <c r="U102" s="29"/>
      <c r="V102" s="29"/>
      <c r="W102" s="29"/>
      <c r="X102" s="327"/>
      <c r="Y102" s="64"/>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row>
    <row r="103" spans="1:146" ht="45" customHeight="1">
      <c r="A103" s="47" t="s">
        <v>577</v>
      </c>
      <c r="B103" s="28"/>
      <c r="C103" s="29" t="s">
        <v>578</v>
      </c>
      <c r="D103" s="29">
        <v>2001</v>
      </c>
      <c r="E103" s="29">
        <v>2001</v>
      </c>
      <c r="F103" s="82"/>
      <c r="G103" s="99" t="s">
        <v>225</v>
      </c>
      <c r="H103" s="99" t="s">
        <v>225</v>
      </c>
      <c r="I103" s="31" t="s">
        <v>57</v>
      </c>
      <c r="J103" s="29" t="s">
        <v>31</v>
      </c>
      <c r="K103" s="29"/>
      <c r="L103" s="32"/>
      <c r="M103" s="29" t="s">
        <v>31</v>
      </c>
      <c r="N103" s="29"/>
      <c r="O103" s="29"/>
      <c r="P103" s="80" t="s">
        <v>31</v>
      </c>
      <c r="Q103" s="29"/>
      <c r="R103" s="29"/>
      <c r="S103" s="304" t="s">
        <v>579</v>
      </c>
      <c r="T103" s="29"/>
      <c r="U103" s="29"/>
      <c r="V103" s="29"/>
      <c r="W103" s="29"/>
      <c r="X103" s="372" t="s">
        <v>1824</v>
      </c>
      <c r="Y103" s="64" t="s">
        <v>580</v>
      </c>
      <c r="Z103" s="27" t="s">
        <v>33</v>
      </c>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row>
    <row r="104" spans="1:146" ht="45" customHeight="1">
      <c r="A104" s="47" t="s">
        <v>606</v>
      </c>
      <c r="B104" s="28"/>
      <c r="C104" s="376"/>
      <c r="D104" s="29">
        <v>2001</v>
      </c>
      <c r="E104" s="29">
        <v>2001</v>
      </c>
      <c r="F104" s="214" t="s">
        <v>90</v>
      </c>
      <c r="G104" s="31" t="s">
        <v>47</v>
      </c>
      <c r="H104" s="302" t="s">
        <v>491</v>
      </c>
      <c r="I104" s="213" t="s">
        <v>168</v>
      </c>
      <c r="J104" s="29" t="s">
        <v>31</v>
      </c>
      <c r="K104" s="29"/>
      <c r="L104" s="301"/>
      <c r="M104" s="29" t="s">
        <v>31</v>
      </c>
      <c r="N104" s="29"/>
      <c r="O104" s="29"/>
      <c r="P104" s="29"/>
      <c r="Q104" s="29"/>
      <c r="R104" s="80" t="s">
        <v>31</v>
      </c>
      <c r="S104" s="304" t="s">
        <v>607</v>
      </c>
      <c r="T104" s="29"/>
      <c r="U104" s="31"/>
      <c r="V104" s="31"/>
      <c r="W104" s="31"/>
      <c r="X104" s="371"/>
      <c r="Y104" s="201"/>
      <c r="Z104" s="27" t="s">
        <v>33</v>
      </c>
      <c r="AA104" s="27"/>
      <c r="AB104" s="27"/>
      <c r="AC104" s="27"/>
      <c r="AD104" s="27"/>
      <c r="AE104" s="27"/>
      <c r="AF104" s="27"/>
      <c r="AG104" s="27"/>
      <c r="AH104" s="27"/>
      <c r="AI104" s="27"/>
      <c r="AJ104" s="27"/>
      <c r="AK104" s="27"/>
      <c r="AL104" s="27"/>
      <c r="AM104" s="27"/>
      <c r="AN104" s="27"/>
      <c r="AO104" s="27"/>
      <c r="AP104" s="27"/>
      <c r="AQ104" s="27"/>
      <c r="AR104" s="27"/>
      <c r="AS104" s="27"/>
      <c r="AT104" s="27"/>
      <c r="AU104" s="27"/>
      <c r="AV104" s="27"/>
      <c r="AW104" s="27"/>
      <c r="AX104" s="27"/>
      <c r="AY104" s="27"/>
      <c r="AZ104" s="27"/>
      <c r="BA104" s="27"/>
      <c r="BB104" s="27"/>
      <c r="BC104" s="27"/>
      <c r="BD104" s="27"/>
      <c r="BE104" s="27"/>
      <c r="BF104" s="27"/>
      <c r="BG104" s="27"/>
      <c r="BH104" s="27"/>
      <c r="BI104" s="27"/>
      <c r="BJ104" s="27"/>
      <c r="BK104" s="27"/>
      <c r="BL104" s="27"/>
      <c r="BM104" s="27"/>
      <c r="BN104" s="27"/>
      <c r="BO104" s="27"/>
      <c r="BP104" s="27"/>
      <c r="BQ104" s="27"/>
      <c r="BR104" s="27"/>
      <c r="BS104" s="27"/>
      <c r="BT104" s="27"/>
      <c r="BU104" s="27"/>
      <c r="BV104" s="27"/>
      <c r="BW104" s="27"/>
      <c r="BX104" s="27"/>
      <c r="BY104" s="27"/>
      <c r="BZ104" s="27"/>
      <c r="CA104" s="27"/>
      <c r="CB104" s="27"/>
      <c r="CC104" s="27"/>
      <c r="CD104" s="27"/>
      <c r="CE104" s="27"/>
      <c r="CF104" s="27"/>
      <c r="CG104" s="27"/>
      <c r="CH104" s="27"/>
      <c r="CI104" s="27"/>
      <c r="CJ104" s="27"/>
      <c r="CK104" s="27"/>
      <c r="CL104" s="27"/>
      <c r="CM104" s="27"/>
      <c r="CN104" s="27"/>
      <c r="CO104" s="27"/>
      <c r="CP104" s="27"/>
      <c r="CQ104" s="27"/>
      <c r="CR104" s="27"/>
      <c r="CS104" s="27"/>
      <c r="CT104" s="27"/>
      <c r="CU104" s="27"/>
      <c r="CV104" s="27"/>
      <c r="CW104" s="27"/>
      <c r="CX104" s="27"/>
      <c r="CY104" s="27"/>
      <c r="CZ104" s="27"/>
      <c r="DA104" s="27"/>
      <c r="DB104" s="27"/>
      <c r="DC104" s="27"/>
      <c r="DD104" s="27"/>
      <c r="DE104" s="27"/>
      <c r="DF104" s="27"/>
      <c r="DG104" s="27"/>
      <c r="DH104" s="27"/>
      <c r="DI104" s="27"/>
      <c r="DJ104" s="27"/>
      <c r="DK104" s="27"/>
      <c r="DL104" s="27"/>
      <c r="DM104" s="27"/>
      <c r="DN104" s="27"/>
      <c r="DO104" s="27"/>
      <c r="DP104" s="27"/>
      <c r="DQ104" s="27"/>
      <c r="DR104" s="27"/>
      <c r="DS104" s="27"/>
      <c r="DT104" s="27"/>
      <c r="DU104" s="27"/>
      <c r="DV104" s="27"/>
      <c r="DW104" s="27"/>
      <c r="DX104" s="27"/>
      <c r="DY104" s="27"/>
      <c r="DZ104" s="27"/>
      <c r="EA104" s="27"/>
      <c r="EB104" s="27"/>
      <c r="EC104" s="27"/>
      <c r="ED104" s="27"/>
      <c r="EE104" s="27"/>
      <c r="EF104" s="27"/>
      <c r="EG104" s="27"/>
      <c r="EH104" s="27"/>
      <c r="EI104" s="27"/>
      <c r="EJ104" s="27"/>
      <c r="EK104" s="27"/>
      <c r="EL104" s="27"/>
      <c r="EM104" s="27"/>
      <c r="EN104" s="27"/>
      <c r="EO104" s="27"/>
      <c r="EP104" s="27"/>
    </row>
    <row r="105" spans="1:146" ht="45" customHeight="1">
      <c r="A105" s="149" t="s">
        <v>1640</v>
      </c>
      <c r="B105" s="143"/>
      <c r="C105" s="145" t="s">
        <v>589</v>
      </c>
      <c r="D105" s="145">
        <v>2001</v>
      </c>
      <c r="E105" s="145">
        <v>2006</v>
      </c>
      <c r="F105" s="145"/>
      <c r="G105" s="144" t="s">
        <v>289</v>
      </c>
      <c r="H105" s="145" t="s">
        <v>290</v>
      </c>
      <c r="I105" s="150" t="s">
        <v>57</v>
      </c>
      <c r="J105" s="150" t="s">
        <v>321</v>
      </c>
      <c r="K105" s="150" t="s">
        <v>31</v>
      </c>
      <c r="L105" s="146">
        <v>9870148</v>
      </c>
      <c r="M105" s="145"/>
      <c r="N105" s="145"/>
      <c r="O105" s="145"/>
      <c r="P105" s="145"/>
      <c r="Q105" s="145" t="s">
        <v>31</v>
      </c>
      <c r="R105" s="145" t="s">
        <v>31</v>
      </c>
      <c r="S105" s="348" t="s">
        <v>590</v>
      </c>
      <c r="T105" s="257" t="s">
        <v>23</v>
      </c>
      <c r="U105" s="144" t="s">
        <v>93</v>
      </c>
      <c r="V105" s="145" t="s">
        <v>61</v>
      </c>
      <c r="W105" s="145" t="s">
        <v>62</v>
      </c>
      <c r="X105" s="325"/>
      <c r="Y105" s="267"/>
      <c r="Z105" s="147" t="s">
        <v>33</v>
      </c>
      <c r="AA105" s="27"/>
      <c r="AB105" s="27"/>
      <c r="AC105" s="27"/>
      <c r="AD105" s="27"/>
      <c r="AE105" s="27"/>
      <c r="AF105" s="27"/>
      <c r="AG105" s="27"/>
      <c r="AH105" s="27"/>
      <c r="AI105" s="27"/>
      <c r="AJ105" s="27"/>
      <c r="AK105" s="27"/>
      <c r="AL105" s="27"/>
      <c r="AM105" s="27"/>
      <c r="AN105" s="27"/>
      <c r="AO105" s="27"/>
      <c r="AP105" s="27"/>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c r="BU105" s="27"/>
      <c r="BV105" s="27"/>
      <c r="BW105" s="27"/>
      <c r="BX105" s="27"/>
      <c r="BY105" s="27"/>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c r="DA105" s="27"/>
      <c r="DB105" s="27"/>
      <c r="DC105" s="27"/>
      <c r="DD105" s="27"/>
      <c r="DE105" s="27"/>
      <c r="DF105" s="27"/>
      <c r="DG105" s="27"/>
      <c r="DH105" s="27"/>
      <c r="DI105" s="27"/>
      <c r="DJ105" s="27"/>
      <c r="DK105" s="27"/>
      <c r="DL105" s="27"/>
      <c r="DM105" s="27"/>
      <c r="DN105" s="27"/>
      <c r="DO105" s="27"/>
      <c r="DP105" s="27"/>
      <c r="DQ105" s="27"/>
      <c r="DR105" s="27"/>
      <c r="DS105" s="27"/>
      <c r="DT105" s="27"/>
      <c r="DU105" s="27"/>
      <c r="DV105" s="27"/>
      <c r="DW105" s="27"/>
      <c r="DX105" s="27"/>
      <c r="DY105" s="27"/>
      <c r="DZ105" s="27"/>
      <c r="EA105" s="27"/>
      <c r="EB105" s="27"/>
      <c r="EC105" s="27"/>
      <c r="ED105" s="27"/>
      <c r="EE105" s="27"/>
      <c r="EF105" s="27"/>
      <c r="EG105" s="27"/>
      <c r="EH105" s="27"/>
      <c r="EI105" s="27"/>
      <c r="EJ105" s="27"/>
      <c r="EK105" s="27"/>
      <c r="EL105" s="27"/>
      <c r="EM105" s="27"/>
      <c r="EN105" s="27"/>
      <c r="EO105" s="27"/>
      <c r="EP105" s="27"/>
    </row>
    <row r="106" spans="1:146" ht="45" customHeight="1">
      <c r="A106" s="47" t="s">
        <v>582</v>
      </c>
      <c r="B106" s="28"/>
      <c r="C106" s="29" t="s">
        <v>598</v>
      </c>
      <c r="D106" s="29">
        <v>2001</v>
      </c>
      <c r="E106" s="29">
        <v>2002</v>
      </c>
      <c r="F106" s="29" t="s">
        <v>71</v>
      </c>
      <c r="G106" s="31" t="s">
        <v>47</v>
      </c>
      <c r="H106" s="99" t="s">
        <v>72</v>
      </c>
      <c r="I106" s="29" t="s">
        <v>57</v>
      </c>
      <c r="J106" s="213" t="s">
        <v>733</v>
      </c>
      <c r="K106" s="80" t="s">
        <v>31</v>
      </c>
      <c r="L106" s="32">
        <v>168147</v>
      </c>
      <c r="M106" s="29" t="s">
        <v>31</v>
      </c>
      <c r="N106" s="29"/>
      <c r="O106" s="29"/>
      <c r="P106" s="29"/>
      <c r="Q106" s="29"/>
      <c r="R106" s="29"/>
      <c r="S106" s="304" t="s">
        <v>583</v>
      </c>
      <c r="T106" s="36"/>
      <c r="U106" s="29" t="s">
        <v>584</v>
      </c>
      <c r="V106" s="29" t="s">
        <v>585</v>
      </c>
      <c r="W106" s="29" t="s">
        <v>586</v>
      </c>
      <c r="X106" s="372" t="s">
        <v>1825</v>
      </c>
      <c r="Y106" s="64" t="s">
        <v>588</v>
      </c>
      <c r="Z106" s="27" t="s">
        <v>33</v>
      </c>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row>
    <row r="107" spans="1:146" ht="45" customHeight="1">
      <c r="A107" s="47" t="s">
        <v>604</v>
      </c>
      <c r="B107" s="154" t="s">
        <v>1641</v>
      </c>
      <c r="C107" s="29" t="s">
        <v>598</v>
      </c>
      <c r="D107" s="29">
        <v>2001</v>
      </c>
      <c r="E107" s="29">
        <v>2001</v>
      </c>
      <c r="F107" s="29" t="s">
        <v>184</v>
      </c>
      <c r="G107" s="31" t="s">
        <v>47</v>
      </c>
      <c r="H107" s="87" t="s">
        <v>185</v>
      </c>
      <c r="I107" s="29" t="s">
        <v>57</v>
      </c>
      <c r="J107" s="332" t="s">
        <v>733</v>
      </c>
      <c r="K107" s="300" t="s">
        <v>31</v>
      </c>
      <c r="L107" s="306">
        <v>55756</v>
      </c>
      <c r="M107" s="80" t="s">
        <v>31</v>
      </c>
      <c r="N107" s="29" t="s">
        <v>31</v>
      </c>
      <c r="O107" s="29"/>
      <c r="P107" s="29"/>
      <c r="Q107" s="29"/>
      <c r="R107" s="29"/>
      <c r="S107" s="304" t="s">
        <v>605</v>
      </c>
      <c r="T107" s="29"/>
      <c r="U107" s="31" t="s">
        <v>93</v>
      </c>
      <c r="V107" s="31" t="s">
        <v>61</v>
      </c>
      <c r="W107" s="31" t="s">
        <v>62</v>
      </c>
      <c r="X107" s="171"/>
      <c r="Y107" s="64"/>
      <c r="Z107" s="27" t="s">
        <v>33</v>
      </c>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row>
    <row r="108" spans="1:146" s="147" customFormat="1" ht="45" customHeight="1">
      <c r="A108" s="47" t="s">
        <v>613</v>
      </c>
      <c r="B108" s="28"/>
      <c r="C108" s="302" t="s">
        <v>1774</v>
      </c>
      <c r="D108" s="303">
        <v>2001</v>
      </c>
      <c r="E108" s="303">
        <v>2001</v>
      </c>
      <c r="F108" s="303" t="s">
        <v>184</v>
      </c>
      <c r="G108" s="308" t="s">
        <v>47</v>
      </c>
      <c r="H108" s="303" t="s">
        <v>185</v>
      </c>
      <c r="I108" s="302" t="s">
        <v>1775</v>
      </c>
      <c r="J108" s="29" t="s">
        <v>31</v>
      </c>
      <c r="K108" s="29"/>
      <c r="L108" s="306"/>
      <c r="M108" s="29"/>
      <c r="N108" s="29" t="s">
        <v>31</v>
      </c>
      <c r="O108" s="29"/>
      <c r="P108" s="29"/>
      <c r="Q108" s="29"/>
      <c r="R108" s="29"/>
      <c r="S108" s="304" t="s">
        <v>614</v>
      </c>
      <c r="T108" s="36"/>
      <c r="U108" s="31" t="s">
        <v>615</v>
      </c>
      <c r="V108" s="29" t="s">
        <v>616</v>
      </c>
      <c r="W108" s="29" t="s">
        <v>617</v>
      </c>
      <c r="X108" s="171"/>
      <c r="Y108" s="64"/>
      <c r="Z108" s="27" t="s">
        <v>33</v>
      </c>
    </row>
    <row r="109" spans="1:146" ht="45" customHeight="1">
      <c r="A109" s="46" t="s">
        <v>591</v>
      </c>
      <c r="B109" s="42"/>
      <c r="C109" s="29" t="s">
        <v>592</v>
      </c>
      <c r="D109" s="29">
        <v>2001</v>
      </c>
      <c r="E109" s="29">
        <v>2002</v>
      </c>
      <c r="F109" s="29" t="s">
        <v>149</v>
      </c>
      <c r="G109" s="31" t="s">
        <v>157</v>
      </c>
      <c r="H109" s="29" t="s">
        <v>337</v>
      </c>
      <c r="I109" s="82" t="s">
        <v>593</v>
      </c>
      <c r="J109" s="29" t="s">
        <v>31</v>
      </c>
      <c r="K109" s="29"/>
      <c r="L109" s="32">
        <v>75000</v>
      </c>
      <c r="M109" s="29" t="s">
        <v>31</v>
      </c>
      <c r="N109" s="29"/>
      <c r="O109" s="29"/>
      <c r="P109" s="29"/>
      <c r="Q109" s="29"/>
      <c r="R109" s="29" t="s">
        <v>31</v>
      </c>
      <c r="S109" s="304" t="s">
        <v>594</v>
      </c>
      <c r="T109" s="29"/>
      <c r="U109" s="31" t="s">
        <v>595</v>
      </c>
      <c r="V109" s="31" t="s">
        <v>596</v>
      </c>
      <c r="W109" s="29" t="s">
        <v>597</v>
      </c>
      <c r="X109" s="171"/>
      <c r="Z109" s="27" t="s">
        <v>33</v>
      </c>
      <c r="AA109" s="27"/>
      <c r="AB109" s="27"/>
      <c r="AC109" s="27"/>
      <c r="AD109" s="27"/>
      <c r="AE109" s="27"/>
      <c r="AF109" s="27"/>
      <c r="AG109" s="27"/>
      <c r="AH109" s="27"/>
      <c r="AI109" s="27"/>
      <c r="AJ109" s="27"/>
      <c r="AK109" s="27"/>
      <c r="AL109" s="27"/>
      <c r="AM109" s="27"/>
      <c r="AN109" s="27"/>
      <c r="AO109" s="27"/>
      <c r="AP109" s="27"/>
      <c r="AQ109" s="27"/>
      <c r="AR109" s="27"/>
      <c r="AS109" s="27"/>
      <c r="AT109" s="27"/>
      <c r="AU109" s="27"/>
      <c r="AV109" s="27"/>
      <c r="AW109" s="27"/>
      <c r="AX109" s="27"/>
      <c r="AY109" s="27"/>
      <c r="AZ109" s="27"/>
      <c r="BA109" s="27"/>
      <c r="BB109" s="27"/>
      <c r="BC109" s="27"/>
      <c r="BD109" s="27"/>
      <c r="BE109" s="27"/>
      <c r="BF109" s="27"/>
      <c r="BG109" s="27"/>
      <c r="BH109" s="27"/>
      <c r="BI109" s="27"/>
      <c r="BJ109" s="27"/>
      <c r="BK109" s="27"/>
      <c r="BL109" s="27"/>
      <c r="BM109" s="27"/>
      <c r="BN109" s="27"/>
      <c r="BO109" s="27"/>
      <c r="BP109" s="27"/>
      <c r="BQ109" s="27"/>
      <c r="BR109" s="27"/>
      <c r="BS109" s="27"/>
      <c r="BT109" s="27"/>
      <c r="BU109" s="27"/>
      <c r="BV109" s="27"/>
      <c r="BW109" s="27"/>
      <c r="BX109" s="27"/>
      <c r="BY109" s="27"/>
      <c r="BZ109" s="27"/>
      <c r="CA109" s="27"/>
      <c r="CB109" s="27"/>
      <c r="CC109" s="27"/>
      <c r="CD109" s="27"/>
      <c r="CE109" s="27"/>
      <c r="CF109" s="27"/>
      <c r="CG109" s="27"/>
      <c r="CH109" s="27"/>
      <c r="CI109" s="27"/>
      <c r="CJ109" s="27"/>
      <c r="CK109" s="27"/>
      <c r="CL109" s="27"/>
      <c r="CM109" s="27"/>
      <c r="CN109" s="27"/>
      <c r="CO109" s="27"/>
      <c r="CP109" s="27"/>
      <c r="CQ109" s="27"/>
      <c r="CR109" s="27"/>
      <c r="CS109" s="27"/>
      <c r="CT109" s="27"/>
      <c r="CU109" s="27"/>
      <c r="CV109" s="27"/>
      <c r="CW109" s="27"/>
      <c r="CX109" s="27"/>
      <c r="CY109" s="27"/>
      <c r="CZ109" s="27"/>
      <c r="DA109" s="27"/>
      <c r="DB109" s="27"/>
      <c r="DC109" s="27"/>
      <c r="DD109" s="27"/>
      <c r="DE109" s="27"/>
      <c r="DF109" s="27"/>
      <c r="DG109" s="27"/>
      <c r="DH109" s="27"/>
      <c r="DI109" s="27"/>
      <c r="DJ109" s="27"/>
      <c r="DK109" s="27"/>
      <c r="DL109" s="27"/>
      <c r="DM109" s="27"/>
      <c r="DN109" s="27"/>
      <c r="DO109" s="27"/>
      <c r="DP109" s="27"/>
      <c r="DQ109" s="27"/>
      <c r="DR109" s="27"/>
      <c r="DS109" s="27"/>
      <c r="DT109" s="27"/>
      <c r="DU109" s="27"/>
      <c r="DV109" s="27"/>
      <c r="DW109" s="27"/>
      <c r="DX109" s="27"/>
      <c r="DY109" s="27"/>
      <c r="DZ109" s="27"/>
      <c r="EA109" s="27"/>
      <c r="EB109" s="27"/>
      <c r="EC109" s="27"/>
      <c r="ED109" s="27"/>
      <c r="EE109" s="27"/>
      <c r="EF109" s="27"/>
      <c r="EG109" s="27"/>
      <c r="EH109" s="27"/>
      <c r="EI109" s="27"/>
      <c r="EJ109" s="27"/>
      <c r="EK109" s="27"/>
      <c r="EL109" s="27"/>
      <c r="EM109" s="27"/>
      <c r="EN109" s="27"/>
      <c r="EO109" s="27"/>
      <c r="EP109" s="27"/>
    </row>
    <row r="110" spans="1:146" s="101" customFormat="1" ht="45" customHeight="1">
      <c r="A110" s="154" t="s">
        <v>657</v>
      </c>
      <c r="B110" s="28"/>
      <c r="C110" s="82"/>
      <c r="D110" s="29">
        <v>2002</v>
      </c>
      <c r="E110" s="29">
        <v>2005</v>
      </c>
      <c r="F110" s="29" t="s">
        <v>658</v>
      </c>
      <c r="G110" s="31" t="s">
        <v>271</v>
      </c>
      <c r="H110" s="87" t="s">
        <v>659</v>
      </c>
      <c r="I110" s="29" t="s">
        <v>57</v>
      </c>
      <c r="J110" s="39" t="s">
        <v>619</v>
      </c>
      <c r="K110" s="29" t="s">
        <v>31</v>
      </c>
      <c r="L110" s="83"/>
      <c r="M110" s="29"/>
      <c r="N110" s="29"/>
      <c r="O110" s="29"/>
      <c r="P110" s="29"/>
      <c r="Q110" s="29"/>
      <c r="R110" s="29" t="s">
        <v>31</v>
      </c>
      <c r="S110" s="304" t="s">
        <v>660</v>
      </c>
      <c r="T110" s="29"/>
      <c r="U110" s="29"/>
      <c r="V110" s="29"/>
      <c r="W110" s="29"/>
      <c r="X110" s="171"/>
      <c r="Y110" s="64"/>
      <c r="Z110" s="27" t="s">
        <v>33</v>
      </c>
    </row>
    <row r="111" spans="1:146" ht="45" customHeight="1">
      <c r="A111" s="154" t="s">
        <v>1751</v>
      </c>
      <c r="B111" s="148" t="s">
        <v>1641</v>
      </c>
      <c r="C111" s="86" t="s">
        <v>598</v>
      </c>
      <c r="D111" s="29">
        <v>2002</v>
      </c>
      <c r="E111" s="29">
        <v>2002</v>
      </c>
      <c r="F111" s="29" t="s">
        <v>702</v>
      </c>
      <c r="G111" s="31" t="s">
        <v>271</v>
      </c>
      <c r="H111" s="87" t="s">
        <v>703</v>
      </c>
      <c r="I111" s="29" t="s">
        <v>57</v>
      </c>
      <c r="J111" s="213" t="s">
        <v>733</v>
      </c>
      <c r="K111" s="80" t="s">
        <v>31</v>
      </c>
      <c r="L111" s="88">
        <v>35872</v>
      </c>
      <c r="M111" s="29" t="s">
        <v>31</v>
      </c>
      <c r="N111" s="29"/>
      <c r="O111" s="29"/>
      <c r="P111" s="80" t="s">
        <v>31</v>
      </c>
      <c r="Q111" s="29"/>
      <c r="R111" s="29"/>
      <c r="S111" s="304" t="s">
        <v>706</v>
      </c>
      <c r="T111" s="29"/>
      <c r="U111" s="31" t="s">
        <v>584</v>
      </c>
      <c r="V111" s="31" t="s">
        <v>61</v>
      </c>
      <c r="W111" s="31" t="s">
        <v>62</v>
      </c>
      <c r="X111" s="174" t="s">
        <v>707</v>
      </c>
      <c r="Y111" s="69" t="s">
        <v>708</v>
      </c>
      <c r="Z111" s="27" t="s">
        <v>33</v>
      </c>
      <c r="AA111" s="27"/>
      <c r="AB111" s="27"/>
      <c r="AC111" s="27"/>
      <c r="AD111" s="27"/>
      <c r="AE111" s="27"/>
      <c r="AF111" s="27"/>
      <c r="AG111" s="27"/>
      <c r="AH111" s="27"/>
      <c r="AI111" s="27"/>
      <c r="AJ111" s="27"/>
      <c r="AK111" s="27"/>
      <c r="AL111" s="27"/>
      <c r="AM111" s="27"/>
      <c r="AN111" s="27"/>
      <c r="AO111" s="27"/>
      <c r="AP111" s="27"/>
      <c r="AQ111" s="27"/>
      <c r="AR111" s="27"/>
      <c r="AS111" s="27"/>
      <c r="AT111" s="27"/>
      <c r="AU111" s="27"/>
      <c r="AV111" s="27"/>
      <c r="AW111" s="27"/>
      <c r="AX111" s="27"/>
      <c r="AY111" s="27"/>
      <c r="AZ111" s="27"/>
      <c r="BA111" s="27"/>
      <c r="BB111" s="27"/>
      <c r="BC111" s="27"/>
      <c r="BD111" s="27"/>
      <c r="BE111" s="27"/>
      <c r="BF111" s="27"/>
      <c r="BG111" s="27"/>
      <c r="BH111" s="27"/>
      <c r="BI111" s="27"/>
      <c r="BJ111" s="27"/>
      <c r="BK111" s="27"/>
      <c r="BL111" s="27"/>
      <c r="BM111" s="27"/>
      <c r="BN111" s="27"/>
      <c r="BO111" s="27"/>
      <c r="BP111" s="27"/>
      <c r="BQ111" s="27"/>
      <c r="BR111" s="27"/>
      <c r="BS111" s="27"/>
      <c r="BT111" s="27"/>
      <c r="BU111" s="27"/>
      <c r="BV111" s="27"/>
      <c r="BW111" s="27"/>
      <c r="BX111" s="27"/>
      <c r="BY111" s="27"/>
      <c r="BZ111" s="27"/>
      <c r="CA111" s="27"/>
      <c r="CB111" s="27"/>
      <c r="CC111" s="27"/>
      <c r="CD111" s="27"/>
      <c r="CE111" s="27"/>
      <c r="CF111" s="27"/>
      <c r="CG111" s="27"/>
      <c r="CH111" s="27"/>
      <c r="CI111" s="27"/>
      <c r="CJ111" s="27"/>
      <c r="CK111" s="27"/>
      <c r="CL111" s="27"/>
      <c r="CM111" s="27"/>
      <c r="CN111" s="27"/>
      <c r="CO111" s="27"/>
      <c r="CP111" s="27"/>
      <c r="CQ111" s="27"/>
      <c r="CR111" s="27"/>
      <c r="CS111" s="27"/>
      <c r="CT111" s="27"/>
      <c r="CU111" s="27"/>
      <c r="CV111" s="27"/>
      <c r="CW111" s="27"/>
      <c r="CX111" s="27"/>
      <c r="CY111" s="27"/>
      <c r="CZ111" s="27"/>
      <c r="DA111" s="27"/>
      <c r="DB111" s="27"/>
      <c r="DC111" s="27"/>
      <c r="DD111" s="27"/>
      <c r="DE111" s="27"/>
      <c r="DF111" s="27"/>
      <c r="DG111" s="27"/>
      <c r="DH111" s="27"/>
      <c r="DI111" s="27"/>
      <c r="DJ111" s="27"/>
      <c r="DK111" s="27"/>
      <c r="DL111" s="27"/>
      <c r="DM111" s="27"/>
      <c r="DN111" s="27"/>
      <c r="DO111" s="27"/>
      <c r="DP111" s="27"/>
      <c r="DQ111" s="27"/>
      <c r="DR111" s="27"/>
      <c r="DS111" s="27"/>
      <c r="DT111" s="27"/>
      <c r="DU111" s="27"/>
      <c r="DV111" s="27"/>
      <c r="DW111" s="27"/>
      <c r="DX111" s="27"/>
      <c r="DY111" s="27"/>
      <c r="DZ111" s="27"/>
      <c r="EA111" s="27"/>
      <c r="EB111" s="27"/>
      <c r="EC111" s="27"/>
      <c r="ED111" s="27"/>
      <c r="EE111" s="27"/>
      <c r="EF111" s="27"/>
      <c r="EG111" s="27"/>
      <c r="EH111" s="27"/>
      <c r="EI111" s="27"/>
      <c r="EJ111" s="27"/>
      <c r="EK111" s="27"/>
      <c r="EL111" s="27"/>
      <c r="EM111" s="27"/>
      <c r="EN111" s="27"/>
      <c r="EO111" s="27"/>
      <c r="EP111" s="27"/>
    </row>
    <row r="112" spans="1:146" ht="45" customHeight="1">
      <c r="A112" s="320" t="s">
        <v>1800</v>
      </c>
      <c r="B112" s="318"/>
      <c r="C112" s="302" t="s">
        <v>1803</v>
      </c>
      <c r="D112" s="294">
        <v>2002</v>
      </c>
      <c r="E112" s="294">
        <v>2002</v>
      </c>
      <c r="F112" s="300" t="s">
        <v>1802</v>
      </c>
      <c r="G112" s="332" t="s">
        <v>226</v>
      </c>
      <c r="H112" s="302" t="s">
        <v>1801</v>
      </c>
      <c r="I112" s="332" t="s">
        <v>569</v>
      </c>
      <c r="J112" s="300" t="s">
        <v>31</v>
      </c>
      <c r="K112" s="300"/>
      <c r="L112" s="306">
        <v>83000</v>
      </c>
      <c r="M112" s="294"/>
      <c r="N112" s="294"/>
      <c r="O112" s="300" t="s">
        <v>31</v>
      </c>
      <c r="P112" s="300"/>
      <c r="Q112" s="294"/>
      <c r="R112" s="294"/>
      <c r="S112" s="304"/>
      <c r="T112" s="295"/>
      <c r="U112" s="294"/>
      <c r="V112" s="294"/>
      <c r="W112" s="294"/>
      <c r="X112" s="180"/>
      <c r="Z112" s="27"/>
      <c r="AA112" s="27"/>
      <c r="AB112" s="27"/>
      <c r="AC112" s="27"/>
      <c r="AD112" s="27"/>
      <c r="AE112" s="27"/>
      <c r="AF112" s="27"/>
      <c r="AG112" s="27"/>
      <c r="AH112" s="27"/>
      <c r="AI112" s="27"/>
      <c r="AJ112" s="27"/>
      <c r="AK112" s="27"/>
      <c r="AL112" s="27"/>
      <c r="AM112" s="27"/>
      <c r="AN112" s="27"/>
      <c r="AO112" s="27"/>
      <c r="AP112" s="27"/>
      <c r="AQ112" s="27"/>
      <c r="AR112" s="27"/>
      <c r="AS112" s="27"/>
      <c r="AT112" s="27"/>
      <c r="AU112" s="27"/>
      <c r="AV112" s="27"/>
      <c r="AW112" s="27"/>
      <c r="AX112" s="27"/>
      <c r="AY112" s="27"/>
      <c r="AZ112" s="27"/>
      <c r="BA112" s="27"/>
      <c r="BB112" s="27"/>
      <c r="BC112" s="27"/>
      <c r="BD112" s="27"/>
      <c r="BE112" s="27"/>
      <c r="BF112" s="27"/>
      <c r="BG112" s="27"/>
      <c r="BH112" s="27"/>
      <c r="BI112" s="27"/>
      <c r="BJ112" s="27"/>
      <c r="BK112" s="27"/>
      <c r="BL112" s="27"/>
      <c r="BM112" s="27"/>
      <c r="BN112" s="27"/>
      <c r="BO112" s="27"/>
      <c r="BP112" s="27"/>
      <c r="BQ112" s="27"/>
      <c r="BR112" s="27"/>
      <c r="BS112" s="27"/>
      <c r="BT112" s="27"/>
      <c r="BU112" s="27"/>
      <c r="BV112" s="27"/>
      <c r="BW112" s="27"/>
      <c r="BX112" s="27"/>
      <c r="BY112" s="27"/>
      <c r="BZ112" s="27"/>
      <c r="CA112" s="27"/>
      <c r="CB112" s="27"/>
      <c r="CC112" s="27"/>
      <c r="CD112" s="27"/>
      <c r="CE112" s="27"/>
      <c r="CF112" s="27"/>
      <c r="CG112" s="27"/>
      <c r="CH112" s="27"/>
      <c r="CI112" s="27"/>
      <c r="CJ112" s="27"/>
      <c r="CK112" s="27"/>
      <c r="CL112" s="27"/>
      <c r="CM112" s="27"/>
      <c r="CN112" s="27"/>
      <c r="CO112" s="27"/>
      <c r="CP112" s="27"/>
      <c r="CQ112" s="27"/>
      <c r="CR112" s="27"/>
      <c r="CS112" s="27"/>
      <c r="CT112" s="27"/>
      <c r="CU112" s="27"/>
      <c r="CV112" s="27"/>
      <c r="CW112" s="27"/>
      <c r="CX112" s="27"/>
      <c r="CY112" s="27"/>
      <c r="CZ112" s="27"/>
      <c r="DA112" s="27"/>
      <c r="DB112" s="27"/>
      <c r="DC112" s="27"/>
      <c r="DD112" s="27"/>
      <c r="DE112" s="27"/>
      <c r="DF112" s="27"/>
      <c r="DG112" s="27"/>
      <c r="DH112" s="27"/>
      <c r="DI112" s="27"/>
      <c r="DJ112" s="27"/>
      <c r="DK112" s="27"/>
      <c r="DL112" s="27"/>
      <c r="DM112" s="27"/>
      <c r="DN112" s="27"/>
      <c r="DO112" s="27"/>
      <c r="DP112" s="27"/>
      <c r="DQ112" s="27"/>
      <c r="DR112" s="27"/>
      <c r="DS112" s="27"/>
      <c r="DT112" s="27"/>
      <c r="DU112" s="27"/>
      <c r="DV112" s="27"/>
      <c r="DW112" s="27"/>
      <c r="DX112" s="27"/>
      <c r="DY112" s="27"/>
      <c r="DZ112" s="27"/>
      <c r="EA112" s="27"/>
      <c r="EB112" s="27"/>
      <c r="EC112" s="27"/>
      <c r="ED112" s="27"/>
      <c r="EE112" s="27"/>
      <c r="EF112" s="27"/>
      <c r="EG112" s="27"/>
      <c r="EH112" s="27"/>
      <c r="EI112" s="27"/>
      <c r="EJ112" s="27"/>
      <c r="EK112" s="27"/>
      <c r="EL112" s="27"/>
      <c r="EM112" s="27"/>
      <c r="EN112" s="27"/>
      <c r="EO112" s="27"/>
      <c r="EP112" s="27"/>
    </row>
    <row r="113" spans="1:146" ht="45" customHeight="1">
      <c r="A113" s="47" t="s">
        <v>701</v>
      </c>
      <c r="B113" s="148" t="s">
        <v>1641</v>
      </c>
      <c r="C113" s="86" t="s">
        <v>598</v>
      </c>
      <c r="D113" s="29">
        <v>2002</v>
      </c>
      <c r="E113" s="29">
        <v>2002</v>
      </c>
      <c r="F113" s="29" t="s">
        <v>702</v>
      </c>
      <c r="G113" s="31" t="s">
        <v>271</v>
      </c>
      <c r="H113" s="87" t="s">
        <v>703</v>
      </c>
      <c r="I113" s="29" t="s">
        <v>704</v>
      </c>
      <c r="J113" s="213" t="s">
        <v>733</v>
      </c>
      <c r="K113" s="80" t="s">
        <v>31</v>
      </c>
      <c r="L113" s="88">
        <v>18343</v>
      </c>
      <c r="M113" s="29" t="s">
        <v>31</v>
      </c>
      <c r="N113" s="29"/>
      <c r="O113" s="29"/>
      <c r="P113" s="29"/>
      <c r="Q113" s="29" t="s">
        <v>31</v>
      </c>
      <c r="R113" s="29"/>
      <c r="S113" s="304" t="s">
        <v>705</v>
      </c>
      <c r="T113" s="36"/>
      <c r="U113" s="57" t="s">
        <v>93</v>
      </c>
      <c r="V113" s="57" t="s">
        <v>61</v>
      </c>
      <c r="W113" s="57" t="s">
        <v>62</v>
      </c>
      <c r="Z113" s="27" t="s">
        <v>33</v>
      </c>
      <c r="AA113" s="27"/>
      <c r="AB113" s="27"/>
      <c r="AC113" s="27"/>
      <c r="AD113" s="27"/>
      <c r="AE113" s="27"/>
      <c r="AF113" s="27"/>
      <c r="AG113" s="27"/>
      <c r="AH113" s="27"/>
      <c r="AI113" s="27"/>
      <c r="AJ113" s="27"/>
      <c r="AK113" s="27"/>
      <c r="AL113" s="27"/>
      <c r="AM113" s="27"/>
      <c r="AN113" s="27"/>
      <c r="AO113" s="27"/>
      <c r="AP113" s="27"/>
      <c r="AQ113" s="27"/>
      <c r="AR113" s="27"/>
      <c r="AS113" s="27"/>
      <c r="AT113" s="27"/>
      <c r="AU113" s="27"/>
      <c r="AV113" s="27"/>
      <c r="AW113" s="27"/>
      <c r="AX113" s="27"/>
      <c r="AY113" s="27"/>
      <c r="AZ113" s="27"/>
      <c r="BA113" s="27"/>
      <c r="BB113" s="27"/>
      <c r="BC113" s="27"/>
      <c r="BD113" s="27"/>
      <c r="BE113" s="27"/>
      <c r="BF113" s="27"/>
      <c r="BG113" s="27"/>
      <c r="BH113" s="27"/>
      <c r="BI113" s="27"/>
      <c r="BJ113" s="27"/>
      <c r="BK113" s="27"/>
      <c r="BL113" s="27"/>
      <c r="BM113" s="27"/>
      <c r="BN113" s="27"/>
      <c r="BO113" s="27"/>
      <c r="BP113" s="27"/>
      <c r="BQ113" s="27"/>
      <c r="BR113" s="27"/>
      <c r="BS113" s="27"/>
      <c r="BT113" s="27"/>
      <c r="BU113" s="27"/>
      <c r="BV113" s="27"/>
      <c r="BW113" s="27"/>
      <c r="BX113" s="27"/>
      <c r="BY113" s="27"/>
      <c r="BZ113" s="27"/>
      <c r="CA113" s="27"/>
      <c r="CB113" s="27"/>
      <c r="CC113" s="27"/>
      <c r="CD113" s="27"/>
      <c r="CE113" s="27"/>
      <c r="CF113" s="27"/>
      <c r="CG113" s="27"/>
      <c r="CH113" s="27"/>
      <c r="CI113" s="27"/>
      <c r="CJ113" s="27"/>
      <c r="CK113" s="27"/>
      <c r="CL113" s="27"/>
      <c r="CM113" s="27"/>
      <c r="CN113" s="27"/>
      <c r="CO113" s="27"/>
      <c r="CP113" s="27"/>
      <c r="CQ113" s="27"/>
      <c r="CR113" s="27"/>
      <c r="CS113" s="27"/>
      <c r="CT113" s="27"/>
      <c r="CU113" s="27"/>
      <c r="CV113" s="27"/>
      <c r="CW113" s="27"/>
      <c r="CX113" s="27"/>
      <c r="CY113" s="27"/>
      <c r="CZ113" s="27"/>
      <c r="DA113" s="27"/>
      <c r="DB113" s="27"/>
      <c r="DC113" s="27"/>
      <c r="DD113" s="27"/>
      <c r="DE113" s="27"/>
      <c r="DF113" s="27"/>
      <c r="DG113" s="27"/>
      <c r="DH113" s="27"/>
      <c r="DI113" s="27"/>
      <c r="DJ113" s="27"/>
      <c r="DK113" s="27"/>
      <c r="DL113" s="27"/>
      <c r="DM113" s="27"/>
      <c r="DN113" s="27"/>
      <c r="DO113" s="27"/>
      <c r="DP113" s="27"/>
      <c r="DQ113" s="27"/>
      <c r="DR113" s="27"/>
      <c r="DS113" s="27"/>
      <c r="DT113" s="27"/>
      <c r="DU113" s="27"/>
      <c r="DV113" s="27"/>
      <c r="DW113" s="27"/>
      <c r="DX113" s="27"/>
      <c r="DY113" s="27"/>
      <c r="DZ113" s="27"/>
      <c r="EA113" s="27"/>
      <c r="EB113" s="27"/>
      <c r="EC113" s="27"/>
      <c r="ED113" s="27"/>
      <c r="EE113" s="27"/>
      <c r="EF113" s="27"/>
      <c r="EG113" s="27"/>
      <c r="EH113" s="27"/>
      <c r="EI113" s="27"/>
      <c r="EJ113" s="27"/>
      <c r="EK113" s="27"/>
      <c r="EL113" s="27"/>
      <c r="EM113" s="27"/>
      <c r="EN113" s="27"/>
      <c r="EO113" s="27"/>
      <c r="EP113" s="27"/>
    </row>
    <row r="114" spans="1:146" ht="45" customHeight="1">
      <c r="A114" s="107" t="s">
        <v>691</v>
      </c>
      <c r="B114" s="40"/>
      <c r="C114" s="39" t="s">
        <v>692</v>
      </c>
      <c r="D114" s="39">
        <v>2002</v>
      </c>
      <c r="E114" s="39">
        <v>2003</v>
      </c>
      <c r="F114" s="29" t="s">
        <v>693</v>
      </c>
      <c r="G114" s="57" t="s">
        <v>200</v>
      </c>
      <c r="H114" s="108" t="s">
        <v>694</v>
      </c>
      <c r="I114" s="57" t="s">
        <v>695</v>
      </c>
      <c r="J114" s="39" t="s">
        <v>696</v>
      </c>
      <c r="K114" s="39" t="s">
        <v>31</v>
      </c>
      <c r="L114" s="163"/>
      <c r="M114" s="39" t="s">
        <v>31</v>
      </c>
      <c r="N114" s="39"/>
      <c r="O114" s="39"/>
      <c r="P114" s="39"/>
      <c r="Q114" s="39" t="s">
        <v>31</v>
      </c>
      <c r="R114" s="39"/>
      <c r="S114" s="304" t="s">
        <v>697</v>
      </c>
      <c r="T114" s="44"/>
      <c r="U114" s="57" t="s">
        <v>698</v>
      </c>
      <c r="V114" s="57" t="s">
        <v>699</v>
      </c>
      <c r="W114" s="57" t="s">
        <v>700</v>
      </c>
      <c r="X114" s="171"/>
      <c r="Z114" s="27" t="s">
        <v>33</v>
      </c>
    </row>
    <row r="115" spans="1:146" ht="45" customHeight="1">
      <c r="A115" s="46" t="s">
        <v>661</v>
      </c>
      <c r="B115" s="42"/>
      <c r="C115" s="82"/>
      <c r="D115" s="29">
        <v>2002</v>
      </c>
      <c r="E115" s="29">
        <v>2007</v>
      </c>
      <c r="F115" s="87"/>
      <c r="G115" s="31" t="s">
        <v>226</v>
      </c>
      <c r="H115" s="212" t="s">
        <v>226</v>
      </c>
      <c r="I115" s="29" t="s">
        <v>662</v>
      </c>
      <c r="J115" s="80" t="s">
        <v>31</v>
      </c>
      <c r="K115" s="80" t="s">
        <v>665</v>
      </c>
      <c r="L115" s="83"/>
      <c r="M115" s="29" t="s">
        <v>31</v>
      </c>
      <c r="N115" s="29"/>
      <c r="O115" s="29"/>
      <c r="P115" s="80" t="s">
        <v>31</v>
      </c>
      <c r="Q115" s="29"/>
      <c r="R115" s="29"/>
      <c r="S115" s="347" t="s">
        <v>666</v>
      </c>
      <c r="T115" s="36"/>
      <c r="U115" s="29"/>
      <c r="V115" s="29"/>
      <c r="W115" s="29"/>
      <c r="X115" s="171"/>
      <c r="Z115" s="27" t="s">
        <v>33</v>
      </c>
      <c r="AA115" s="27"/>
      <c r="AB115" s="27"/>
      <c r="AC115" s="27"/>
      <c r="AD115" s="27"/>
      <c r="AE115" s="27"/>
      <c r="AF115" s="27"/>
      <c r="AG115" s="27"/>
      <c r="AH115" s="27"/>
      <c r="AI115" s="27"/>
      <c r="AJ115" s="27"/>
      <c r="AK115" s="27"/>
      <c r="AL115" s="27"/>
      <c r="AM115" s="27"/>
      <c r="AN115" s="27"/>
      <c r="AO115" s="27"/>
      <c r="AP115" s="27"/>
      <c r="AQ115" s="27"/>
      <c r="AR115" s="27"/>
      <c r="AS115" s="27"/>
      <c r="AT115" s="27"/>
      <c r="AU115" s="27"/>
      <c r="AV115" s="27"/>
      <c r="AW115" s="27"/>
      <c r="AX115" s="27"/>
      <c r="AY115" s="27"/>
      <c r="AZ115" s="27"/>
      <c r="BA115" s="27"/>
      <c r="BB115" s="27"/>
      <c r="BC115" s="27"/>
      <c r="BD115" s="27"/>
      <c r="BE115" s="27"/>
      <c r="BF115" s="27"/>
      <c r="BG115" s="27"/>
      <c r="BH115" s="27"/>
      <c r="BI115" s="27"/>
      <c r="BJ115" s="27"/>
      <c r="BK115" s="27"/>
      <c r="BL115" s="27"/>
      <c r="BM115" s="27"/>
      <c r="BN115" s="27"/>
      <c r="BO115" s="27"/>
      <c r="BP115" s="27"/>
      <c r="BQ115" s="27"/>
      <c r="BR115" s="27"/>
      <c r="BS115" s="27"/>
      <c r="BT115" s="27"/>
      <c r="BU115" s="27"/>
      <c r="BV115" s="27"/>
      <c r="BW115" s="27"/>
      <c r="BX115" s="27"/>
      <c r="BY115" s="27"/>
      <c r="BZ115" s="27"/>
      <c r="CA115" s="27"/>
      <c r="CB115" s="27"/>
      <c r="CC115" s="27"/>
      <c r="CD115" s="27"/>
      <c r="CE115" s="27"/>
      <c r="CF115" s="27"/>
      <c r="CG115" s="27"/>
      <c r="CH115" s="27"/>
      <c r="CI115" s="27"/>
      <c r="CJ115" s="27"/>
      <c r="CK115" s="27"/>
      <c r="CL115" s="27"/>
      <c r="CM115" s="27"/>
      <c r="CN115" s="27"/>
      <c r="CO115" s="27"/>
      <c r="CP115" s="27"/>
      <c r="CQ115" s="27"/>
      <c r="CR115" s="27"/>
      <c r="CS115" s="27"/>
      <c r="CT115" s="27"/>
      <c r="CU115" s="27"/>
      <c r="CV115" s="27"/>
      <c r="CW115" s="27"/>
      <c r="CX115" s="27"/>
      <c r="CY115" s="27"/>
      <c r="CZ115" s="27"/>
      <c r="DA115" s="27"/>
      <c r="DB115" s="27"/>
      <c r="DC115" s="27"/>
      <c r="DD115" s="27"/>
      <c r="DE115" s="27"/>
      <c r="DF115" s="27"/>
      <c r="DG115" s="27"/>
      <c r="DH115" s="27"/>
      <c r="DI115" s="27"/>
      <c r="DJ115" s="27"/>
      <c r="DK115" s="27"/>
      <c r="DL115" s="27"/>
      <c r="DM115" s="27"/>
      <c r="DN115" s="27"/>
      <c r="DO115" s="27"/>
      <c r="DP115" s="27"/>
      <c r="DQ115" s="27"/>
      <c r="DR115" s="27"/>
      <c r="DS115" s="27"/>
      <c r="DT115" s="27"/>
      <c r="DU115" s="27"/>
      <c r="DV115" s="27"/>
      <c r="DW115" s="27"/>
      <c r="DX115" s="27"/>
      <c r="DY115" s="27"/>
      <c r="DZ115" s="27"/>
      <c r="EA115" s="27"/>
      <c r="EB115" s="27"/>
      <c r="EC115" s="27"/>
      <c r="ED115" s="27"/>
      <c r="EE115" s="27"/>
      <c r="EF115" s="27"/>
      <c r="EG115" s="27"/>
      <c r="EH115" s="27"/>
      <c r="EI115" s="27"/>
      <c r="EJ115" s="27"/>
      <c r="EK115" s="27"/>
      <c r="EL115" s="27"/>
      <c r="EM115" s="27"/>
      <c r="EN115" s="27"/>
      <c r="EO115" s="27"/>
      <c r="EP115" s="27"/>
    </row>
    <row r="116" spans="1:146" ht="45" customHeight="1">
      <c r="A116" s="154" t="s">
        <v>1752</v>
      </c>
      <c r="B116" s="28"/>
      <c r="C116" s="29" t="s">
        <v>494</v>
      </c>
      <c r="D116" s="29">
        <v>2002</v>
      </c>
      <c r="E116" s="29">
        <v>2002</v>
      </c>
      <c r="F116" s="29" t="s">
        <v>667</v>
      </c>
      <c r="G116" s="99" t="s">
        <v>225</v>
      </c>
      <c r="H116" s="66"/>
      <c r="I116" s="31" t="s">
        <v>57</v>
      </c>
      <c r="J116" s="29" t="s">
        <v>31</v>
      </c>
      <c r="K116" s="29"/>
      <c r="L116" s="83"/>
      <c r="M116" s="29" t="s">
        <v>31</v>
      </c>
      <c r="N116" s="29"/>
      <c r="O116" s="29"/>
      <c r="P116" s="29"/>
      <c r="Q116" s="29"/>
      <c r="R116" s="29"/>
      <c r="S116" s="304" t="s">
        <v>668</v>
      </c>
      <c r="T116" s="29"/>
      <c r="U116" s="29"/>
      <c r="V116" s="29"/>
      <c r="W116" s="29"/>
      <c r="X116" s="180" t="s">
        <v>1826</v>
      </c>
      <c r="Y116" s="64" t="s">
        <v>670</v>
      </c>
      <c r="Z116" s="27" t="s">
        <v>33</v>
      </c>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row>
    <row r="117" spans="1:146" s="101" customFormat="1" ht="45" customHeight="1">
      <c r="A117" s="47" t="s">
        <v>687</v>
      </c>
      <c r="B117" s="28"/>
      <c r="C117" s="29" t="s">
        <v>494</v>
      </c>
      <c r="D117" s="29">
        <v>2002</v>
      </c>
      <c r="E117" s="29">
        <v>2002</v>
      </c>
      <c r="F117" s="87"/>
      <c r="G117" s="99" t="s">
        <v>225</v>
      </c>
      <c r="H117" s="99" t="s">
        <v>225</v>
      </c>
      <c r="I117" s="31" t="s">
        <v>57</v>
      </c>
      <c r="J117" s="29" t="s">
        <v>31</v>
      </c>
      <c r="K117" s="29"/>
      <c r="L117" s="83"/>
      <c r="M117" s="29" t="s">
        <v>31</v>
      </c>
      <c r="N117" s="29"/>
      <c r="O117" s="29"/>
      <c r="P117" s="80" t="s">
        <v>31</v>
      </c>
      <c r="Q117" s="29"/>
      <c r="R117" s="29"/>
      <c r="S117" s="304" t="s">
        <v>688</v>
      </c>
      <c r="T117" s="41"/>
      <c r="U117" s="29"/>
      <c r="V117" s="29"/>
      <c r="W117" s="29"/>
      <c r="X117" s="178" t="s">
        <v>1827</v>
      </c>
      <c r="Y117" s="69" t="s">
        <v>690</v>
      </c>
      <c r="Z117" s="27" t="s">
        <v>33</v>
      </c>
    </row>
    <row r="118" spans="1:146" s="317" customFormat="1" ht="45" customHeight="1">
      <c r="A118" s="346" t="s">
        <v>640</v>
      </c>
      <c r="B118" s="313"/>
      <c r="C118" s="315" t="s">
        <v>641</v>
      </c>
      <c r="D118" s="315">
        <v>2002</v>
      </c>
      <c r="E118" s="315">
        <v>2012</v>
      </c>
      <c r="F118" s="315" t="s">
        <v>642</v>
      </c>
      <c r="G118" s="314" t="s">
        <v>290</v>
      </c>
      <c r="H118" s="319" t="s">
        <v>290</v>
      </c>
      <c r="I118" s="315" t="s">
        <v>643</v>
      </c>
      <c r="J118" s="321" t="s">
        <v>31</v>
      </c>
      <c r="K118" s="322"/>
      <c r="L118" s="316">
        <v>12269799</v>
      </c>
      <c r="M118" s="315" t="s">
        <v>31</v>
      </c>
      <c r="N118" s="315" t="s">
        <v>31</v>
      </c>
      <c r="O118" s="315"/>
      <c r="P118" s="315"/>
      <c r="Q118" s="315" t="s">
        <v>31</v>
      </c>
      <c r="R118" s="315"/>
      <c r="S118" s="348" t="s">
        <v>644</v>
      </c>
      <c r="T118" s="331"/>
      <c r="U118" s="314"/>
      <c r="V118" s="315"/>
      <c r="W118" s="315"/>
      <c r="X118" s="325"/>
      <c r="Y118" s="329"/>
      <c r="Z118" s="317" t="s">
        <v>33</v>
      </c>
    </row>
    <row r="119" spans="1:146" ht="45" customHeight="1">
      <c r="A119" s="46" t="s">
        <v>681</v>
      </c>
      <c r="B119" s="332" t="s">
        <v>1781</v>
      </c>
      <c r="C119" s="213" t="s">
        <v>1644</v>
      </c>
      <c r="D119" s="29">
        <v>2002</v>
      </c>
      <c r="E119" s="29">
        <v>2002</v>
      </c>
      <c r="F119" s="29" t="s">
        <v>512</v>
      </c>
      <c r="G119" s="31" t="s">
        <v>36</v>
      </c>
      <c r="H119" s="87" t="s">
        <v>56</v>
      </c>
      <c r="I119" s="31" t="s">
        <v>57</v>
      </c>
      <c r="J119" s="29" t="s">
        <v>619</v>
      </c>
      <c r="K119" s="29" t="s">
        <v>31</v>
      </c>
      <c r="L119" s="32"/>
      <c r="M119" s="29" t="s">
        <v>31</v>
      </c>
      <c r="N119" s="29"/>
      <c r="O119" s="29"/>
      <c r="P119" s="29"/>
      <c r="Q119" s="29"/>
      <c r="R119" s="29" t="s">
        <v>31</v>
      </c>
      <c r="S119" s="304" t="s">
        <v>645</v>
      </c>
      <c r="T119" s="94"/>
      <c r="U119" s="29"/>
      <c r="V119" s="29"/>
      <c r="W119" s="29"/>
      <c r="X119" s="180" t="s">
        <v>1828</v>
      </c>
      <c r="Y119" s="64" t="s">
        <v>647</v>
      </c>
      <c r="Z119" s="27" t="s">
        <v>33</v>
      </c>
      <c r="AA119" s="27"/>
      <c r="AB119" s="27"/>
      <c r="AC119" s="27"/>
      <c r="AD119" s="27"/>
      <c r="AE119" s="27"/>
      <c r="AF119" s="27"/>
      <c r="AG119" s="27"/>
      <c r="AH119" s="27"/>
      <c r="AI119" s="27"/>
      <c r="AJ119" s="27"/>
      <c r="AK119" s="27"/>
      <c r="AL119" s="27"/>
      <c r="AM119" s="27"/>
      <c r="AN119" s="27"/>
      <c r="AO119" s="27"/>
      <c r="AP119" s="27"/>
      <c r="AQ119" s="27"/>
      <c r="AR119" s="27"/>
      <c r="AS119" s="27"/>
      <c r="AT119" s="27"/>
      <c r="AU119" s="27"/>
      <c r="AV119" s="27"/>
      <c r="AW119" s="27"/>
      <c r="AX119" s="27"/>
      <c r="AY119" s="27"/>
      <c r="AZ119" s="27"/>
      <c r="BA119" s="27"/>
      <c r="BB119" s="27"/>
      <c r="BC119" s="27"/>
      <c r="BD119" s="27"/>
      <c r="BE119" s="27"/>
      <c r="BF119" s="27"/>
      <c r="BG119" s="27"/>
      <c r="BH119" s="27"/>
      <c r="BI119" s="27"/>
      <c r="BJ119" s="27"/>
      <c r="BK119" s="27"/>
      <c r="BL119" s="27"/>
      <c r="BM119" s="27"/>
      <c r="BN119" s="27"/>
      <c r="BO119" s="27"/>
      <c r="BP119" s="27"/>
      <c r="BQ119" s="27"/>
      <c r="BR119" s="27"/>
      <c r="BS119" s="27"/>
      <c r="BT119" s="27"/>
      <c r="BU119" s="27"/>
      <c r="BV119" s="27"/>
      <c r="BW119" s="27"/>
      <c r="BX119" s="27"/>
      <c r="BY119" s="27"/>
      <c r="BZ119" s="27"/>
      <c r="CA119" s="27"/>
      <c r="CB119" s="27"/>
      <c r="CC119" s="27"/>
      <c r="CD119" s="27"/>
      <c r="CE119" s="27"/>
      <c r="CF119" s="27"/>
      <c r="CG119" s="27"/>
      <c r="CH119" s="27"/>
      <c r="CI119" s="27"/>
      <c r="CJ119" s="27"/>
      <c r="CK119" s="27"/>
      <c r="CL119" s="27"/>
      <c r="CM119" s="27"/>
      <c r="CN119" s="27"/>
      <c r="CO119" s="27"/>
      <c r="CP119" s="27"/>
      <c r="CQ119" s="27"/>
      <c r="CR119" s="27"/>
      <c r="CS119" s="27"/>
      <c r="CT119" s="27"/>
      <c r="CU119" s="27"/>
      <c r="CV119" s="27"/>
      <c r="CW119" s="27"/>
      <c r="CX119" s="27"/>
      <c r="CY119" s="27"/>
      <c r="CZ119" s="27"/>
      <c r="DA119" s="27"/>
      <c r="DB119" s="27"/>
      <c r="DC119" s="27"/>
      <c r="DD119" s="27"/>
      <c r="DE119" s="27"/>
      <c r="DF119" s="27"/>
      <c r="DG119" s="27"/>
      <c r="DH119" s="27"/>
      <c r="DI119" s="27"/>
      <c r="DJ119" s="27"/>
      <c r="DK119" s="27"/>
      <c r="DL119" s="27"/>
      <c r="DM119" s="27"/>
      <c r="DN119" s="27"/>
      <c r="DO119" s="27"/>
      <c r="DP119" s="27"/>
      <c r="DQ119" s="27"/>
      <c r="DR119" s="27"/>
      <c r="DS119" s="27"/>
      <c r="DT119" s="27"/>
      <c r="DU119" s="27"/>
      <c r="DV119" s="27"/>
      <c r="DW119" s="27"/>
      <c r="DX119" s="27"/>
      <c r="DY119" s="27"/>
      <c r="DZ119" s="27"/>
      <c r="EA119" s="27"/>
      <c r="EB119" s="27"/>
      <c r="EC119" s="27"/>
      <c r="ED119" s="27"/>
      <c r="EE119" s="27"/>
      <c r="EF119" s="27"/>
      <c r="EG119" s="27"/>
      <c r="EH119" s="27"/>
      <c r="EI119" s="27"/>
      <c r="EJ119" s="27"/>
      <c r="EK119" s="27"/>
      <c r="EL119" s="27"/>
      <c r="EM119" s="27"/>
      <c r="EN119" s="27"/>
      <c r="EO119" s="27"/>
      <c r="EP119" s="27"/>
    </row>
    <row r="120" spans="1:146" ht="45" customHeight="1">
      <c r="A120" s="47" t="s">
        <v>709</v>
      </c>
      <c r="B120" s="28"/>
      <c r="C120" s="82"/>
      <c r="D120" s="29">
        <v>2002</v>
      </c>
      <c r="E120" s="29">
        <v>2003</v>
      </c>
      <c r="F120" s="29" t="s">
        <v>35</v>
      </c>
      <c r="G120" s="31" t="s">
        <v>36</v>
      </c>
      <c r="H120" s="87" t="s">
        <v>37</v>
      </c>
      <c r="I120" s="29" t="s">
        <v>57</v>
      </c>
      <c r="J120" s="29" t="s">
        <v>539</v>
      </c>
      <c r="K120" s="29" t="s">
        <v>31</v>
      </c>
      <c r="L120" s="32">
        <v>112078</v>
      </c>
      <c r="M120" s="80" t="s">
        <v>31</v>
      </c>
      <c r="N120" s="29"/>
      <c r="O120" s="29"/>
      <c r="P120" s="29"/>
      <c r="Q120" s="29"/>
      <c r="R120" s="29" t="s">
        <v>31</v>
      </c>
      <c r="S120" s="304" t="s">
        <v>710</v>
      </c>
      <c r="T120" s="29"/>
      <c r="U120" s="31" t="s">
        <v>711</v>
      </c>
      <c r="V120" s="92" t="s">
        <v>712</v>
      </c>
      <c r="W120" s="31" t="s">
        <v>713</v>
      </c>
      <c r="X120" s="180" t="s">
        <v>714</v>
      </c>
      <c r="Y120" s="69" t="s">
        <v>715</v>
      </c>
      <c r="Z120" s="27" t="s">
        <v>33</v>
      </c>
      <c r="AA120" s="27"/>
      <c r="AB120" s="27"/>
      <c r="AC120" s="27"/>
      <c r="AD120" s="27"/>
      <c r="AE120" s="27"/>
      <c r="AF120" s="27"/>
      <c r="AG120" s="27"/>
      <c r="AH120" s="27"/>
      <c r="AI120" s="27"/>
      <c r="AJ120" s="27"/>
      <c r="AK120" s="27"/>
      <c r="AL120" s="27"/>
      <c r="AM120" s="27"/>
      <c r="AN120" s="27"/>
      <c r="AO120" s="27"/>
      <c r="AP120" s="27"/>
      <c r="AQ120" s="27"/>
      <c r="AR120" s="27"/>
      <c r="AS120" s="27"/>
      <c r="AT120" s="27"/>
      <c r="AU120" s="27"/>
      <c r="AV120" s="27"/>
      <c r="AW120" s="27"/>
      <c r="AX120" s="27"/>
      <c r="AY120" s="27"/>
      <c r="AZ120" s="27"/>
      <c r="BA120" s="27"/>
      <c r="BB120" s="27"/>
      <c r="BC120" s="27"/>
      <c r="BD120" s="27"/>
      <c r="BE120" s="27"/>
      <c r="BF120" s="27"/>
      <c r="BG120" s="27"/>
      <c r="BH120" s="27"/>
      <c r="BI120" s="27"/>
      <c r="BJ120" s="27"/>
      <c r="BK120" s="27"/>
      <c r="BL120" s="27"/>
      <c r="BM120" s="27"/>
      <c r="BN120" s="27"/>
      <c r="BO120" s="27"/>
      <c r="BP120" s="27"/>
      <c r="BQ120" s="27"/>
      <c r="BR120" s="27"/>
      <c r="BS120" s="27"/>
      <c r="BT120" s="27"/>
      <c r="BU120" s="27"/>
      <c r="BV120" s="27"/>
      <c r="BW120" s="27"/>
      <c r="BX120" s="27"/>
      <c r="BY120" s="27"/>
      <c r="BZ120" s="27"/>
      <c r="CA120" s="27"/>
      <c r="CB120" s="27"/>
      <c r="CC120" s="27"/>
      <c r="CD120" s="27"/>
      <c r="CE120" s="27"/>
      <c r="CF120" s="27"/>
      <c r="CG120" s="27"/>
      <c r="CH120" s="27"/>
      <c r="CI120" s="27"/>
      <c r="CJ120" s="27"/>
      <c r="CK120" s="27"/>
      <c r="CL120" s="27"/>
      <c r="CM120" s="27"/>
      <c r="CN120" s="27"/>
      <c r="CO120" s="27"/>
      <c r="CP120" s="27"/>
      <c r="CQ120" s="27"/>
      <c r="CR120" s="27"/>
      <c r="CS120" s="27"/>
      <c r="CT120" s="27"/>
      <c r="CU120" s="27"/>
      <c r="CV120" s="27"/>
      <c r="CW120" s="27"/>
      <c r="CX120" s="27"/>
      <c r="CY120" s="27"/>
      <c r="CZ120" s="27"/>
      <c r="DA120" s="27"/>
      <c r="DB120" s="27"/>
      <c r="DC120" s="27"/>
      <c r="DD120" s="27"/>
      <c r="DE120" s="27"/>
      <c r="DF120" s="27"/>
      <c r="DG120" s="27"/>
      <c r="DH120" s="27"/>
      <c r="DI120" s="27"/>
      <c r="DJ120" s="27"/>
      <c r="DK120" s="27"/>
      <c r="DL120" s="27"/>
      <c r="DM120" s="27"/>
      <c r="DN120" s="27"/>
      <c r="DO120" s="27"/>
      <c r="DP120" s="27"/>
      <c r="DQ120" s="27"/>
      <c r="DR120" s="27"/>
      <c r="DS120" s="27"/>
      <c r="DT120" s="27"/>
      <c r="DU120" s="27"/>
      <c r="DV120" s="27"/>
      <c r="DW120" s="27"/>
      <c r="DX120" s="27"/>
      <c r="DY120" s="27"/>
      <c r="DZ120" s="27"/>
      <c r="EA120" s="27"/>
      <c r="EB120" s="27"/>
      <c r="EC120" s="27"/>
      <c r="ED120" s="27"/>
      <c r="EE120" s="27"/>
      <c r="EF120" s="27"/>
      <c r="EG120" s="27"/>
      <c r="EH120" s="27"/>
      <c r="EI120" s="27"/>
      <c r="EJ120" s="27"/>
      <c r="EK120" s="27"/>
      <c r="EL120" s="27"/>
      <c r="EM120" s="27"/>
      <c r="EN120" s="27"/>
      <c r="EO120" s="27"/>
      <c r="EP120" s="27"/>
    </row>
    <row r="121" spans="1:146" ht="45" customHeight="1">
      <c r="A121" s="47" t="s">
        <v>648</v>
      </c>
      <c r="B121" s="28"/>
      <c r="C121" s="31" t="s">
        <v>649</v>
      </c>
      <c r="D121" s="31">
        <v>2002</v>
      </c>
      <c r="E121" s="31">
        <v>2006</v>
      </c>
      <c r="F121" s="29" t="s">
        <v>512</v>
      </c>
      <c r="G121" s="31" t="s">
        <v>47</v>
      </c>
      <c r="H121" s="99" t="s">
        <v>56</v>
      </c>
      <c r="I121" s="31" t="s">
        <v>57</v>
      </c>
      <c r="J121" s="31" t="s">
        <v>650</v>
      </c>
      <c r="K121" s="213" t="s">
        <v>31</v>
      </c>
      <c r="L121" s="32">
        <v>180000000</v>
      </c>
      <c r="M121" s="31" t="s">
        <v>31</v>
      </c>
      <c r="N121" s="31"/>
      <c r="O121" s="31"/>
      <c r="P121" s="31"/>
      <c r="Q121" s="31"/>
      <c r="R121" s="31"/>
      <c r="S121" s="304" t="s">
        <v>651</v>
      </c>
      <c r="T121" s="36"/>
      <c r="U121" s="31" t="s">
        <v>652</v>
      </c>
      <c r="V121" s="31" t="s">
        <v>653</v>
      </c>
      <c r="W121" s="31" t="s">
        <v>654</v>
      </c>
      <c r="X121" s="177" t="s">
        <v>655</v>
      </c>
      <c r="Y121" s="216" t="s">
        <v>656</v>
      </c>
      <c r="Z121" s="27" t="s">
        <v>33</v>
      </c>
      <c r="AA121" s="27"/>
      <c r="AB121" s="27"/>
      <c r="AC121" s="27"/>
      <c r="AD121" s="27"/>
      <c r="AE121" s="27"/>
      <c r="AF121" s="27"/>
      <c r="AG121" s="27"/>
      <c r="AH121" s="27"/>
      <c r="AI121" s="27"/>
      <c r="AJ121" s="27"/>
      <c r="AK121" s="27"/>
      <c r="AL121" s="27"/>
      <c r="AM121" s="27"/>
      <c r="AN121" s="27"/>
      <c r="AO121" s="27"/>
      <c r="AP121" s="27"/>
      <c r="AQ121" s="27"/>
      <c r="AR121" s="27"/>
      <c r="AS121" s="27"/>
      <c r="AT121" s="27"/>
      <c r="AU121" s="27"/>
      <c r="AV121" s="27"/>
      <c r="AW121" s="27"/>
      <c r="AX121" s="27"/>
      <c r="AY121" s="27"/>
      <c r="AZ121" s="27"/>
      <c r="BA121" s="27"/>
      <c r="BB121" s="27"/>
      <c r="BC121" s="27"/>
      <c r="BD121" s="27"/>
      <c r="BE121" s="27"/>
      <c r="BF121" s="27"/>
      <c r="BG121" s="27"/>
      <c r="BH121" s="27"/>
      <c r="BI121" s="27"/>
      <c r="BJ121" s="27"/>
      <c r="BK121" s="27"/>
      <c r="BL121" s="27"/>
      <c r="BM121" s="27"/>
      <c r="BN121" s="27"/>
      <c r="BO121" s="27"/>
      <c r="BP121" s="27"/>
      <c r="BQ121" s="27"/>
      <c r="BR121" s="27"/>
      <c r="BS121" s="27"/>
      <c r="BT121" s="27"/>
      <c r="BU121" s="27"/>
      <c r="BV121" s="27"/>
      <c r="BW121" s="27"/>
      <c r="BX121" s="27"/>
      <c r="BY121" s="27"/>
      <c r="BZ121" s="27"/>
      <c r="CA121" s="27"/>
      <c r="CB121" s="27"/>
      <c r="CC121" s="27"/>
      <c r="CD121" s="27"/>
      <c r="CE121" s="27"/>
      <c r="CF121" s="27"/>
      <c r="CG121" s="27"/>
      <c r="CH121" s="27"/>
      <c r="CI121" s="27"/>
      <c r="CJ121" s="27"/>
      <c r="CK121" s="27"/>
      <c r="CL121" s="27"/>
      <c r="CM121" s="27"/>
      <c r="CN121" s="27"/>
      <c r="CO121" s="27"/>
      <c r="CP121" s="27"/>
      <c r="CQ121" s="27"/>
      <c r="CR121" s="27"/>
      <c r="CS121" s="27"/>
      <c r="CT121" s="27"/>
      <c r="CU121" s="27"/>
      <c r="CV121" s="27"/>
      <c r="CW121" s="27"/>
      <c r="CX121" s="27"/>
      <c r="CY121" s="27"/>
      <c r="CZ121" s="27"/>
      <c r="DA121" s="27"/>
      <c r="DB121" s="27"/>
      <c r="DC121" s="27"/>
      <c r="DD121" s="27"/>
      <c r="DE121" s="27"/>
      <c r="DF121" s="27"/>
      <c r="DG121" s="27"/>
      <c r="DH121" s="27"/>
      <c r="DI121" s="27"/>
      <c r="DJ121" s="27"/>
      <c r="DK121" s="27"/>
      <c r="DL121" s="27"/>
      <c r="DM121" s="27"/>
      <c r="DN121" s="27"/>
      <c r="DO121" s="27"/>
      <c r="DP121" s="27"/>
      <c r="DQ121" s="27"/>
      <c r="DR121" s="27"/>
      <c r="DS121" s="27"/>
      <c r="DT121" s="27"/>
      <c r="DU121" s="27"/>
      <c r="DV121" s="27"/>
      <c r="DW121" s="27"/>
      <c r="DX121" s="27"/>
      <c r="DY121" s="27"/>
      <c r="DZ121" s="27"/>
      <c r="EA121" s="27"/>
      <c r="EB121" s="27"/>
      <c r="EC121" s="27"/>
      <c r="ED121" s="27"/>
      <c r="EE121" s="27"/>
      <c r="EF121" s="27"/>
      <c r="EG121" s="27"/>
      <c r="EH121" s="27"/>
      <c r="EI121" s="27"/>
      <c r="EJ121" s="27"/>
      <c r="EK121" s="27"/>
      <c r="EL121" s="27"/>
      <c r="EM121" s="27"/>
      <c r="EN121" s="27"/>
      <c r="EO121" s="27"/>
      <c r="EP121" s="27"/>
    </row>
    <row r="122" spans="1:146" ht="45" customHeight="1">
      <c r="A122" s="47" t="s">
        <v>671</v>
      </c>
      <c r="B122" s="28"/>
      <c r="C122" s="213" t="s">
        <v>598</v>
      </c>
      <c r="D122" s="29">
        <v>2002</v>
      </c>
      <c r="E122" s="29">
        <v>2002</v>
      </c>
      <c r="F122" s="29" t="s">
        <v>184</v>
      </c>
      <c r="G122" s="31" t="s">
        <v>47</v>
      </c>
      <c r="H122" s="303" t="s">
        <v>185</v>
      </c>
      <c r="I122" s="29" t="s">
        <v>57</v>
      </c>
      <c r="J122" s="31" t="s">
        <v>679</v>
      </c>
      <c r="K122" s="39" t="s">
        <v>31</v>
      </c>
      <c r="L122" s="88">
        <v>55756</v>
      </c>
      <c r="M122" s="29" t="s">
        <v>31</v>
      </c>
      <c r="N122" s="29"/>
      <c r="O122" s="29"/>
      <c r="P122" s="29"/>
      <c r="Q122" s="29"/>
      <c r="R122" s="29"/>
      <c r="S122" s="347" t="s">
        <v>672</v>
      </c>
      <c r="T122" s="29"/>
      <c r="U122" s="31" t="s">
        <v>673</v>
      </c>
      <c r="V122" s="31" t="s">
        <v>674</v>
      </c>
      <c r="W122" s="31" t="s">
        <v>675</v>
      </c>
      <c r="X122" s="171"/>
      <c r="Y122" s="64"/>
      <c r="Z122" s="27" t="s">
        <v>33</v>
      </c>
      <c r="AA122" s="27"/>
      <c r="AB122" s="27"/>
      <c r="AC122" s="27"/>
      <c r="AD122" s="27"/>
      <c r="AE122" s="27"/>
      <c r="AF122" s="27"/>
      <c r="AG122" s="27"/>
      <c r="AH122" s="27"/>
      <c r="AI122" s="27"/>
      <c r="AJ122" s="27"/>
      <c r="AK122" s="27"/>
      <c r="AL122" s="27"/>
      <c r="AM122" s="27"/>
      <c r="AN122" s="27"/>
      <c r="AO122" s="27"/>
      <c r="AP122" s="27"/>
      <c r="AQ122" s="27"/>
      <c r="AR122" s="27"/>
      <c r="AS122" s="27"/>
      <c r="AT122" s="27"/>
      <c r="AU122" s="27"/>
      <c r="AV122" s="27"/>
      <c r="AW122" s="27"/>
      <c r="AX122" s="27"/>
      <c r="AY122" s="27"/>
      <c r="AZ122" s="27"/>
      <c r="BA122" s="27"/>
      <c r="BB122" s="27"/>
      <c r="BC122" s="27"/>
      <c r="BD122" s="27"/>
      <c r="BE122" s="27"/>
      <c r="BF122" s="27"/>
      <c r="BG122" s="27"/>
      <c r="BH122" s="27"/>
      <c r="BI122" s="27"/>
      <c r="BJ122" s="27"/>
      <c r="BK122" s="27"/>
      <c r="BL122" s="27"/>
      <c r="BM122" s="27"/>
      <c r="BN122" s="27"/>
      <c r="BO122" s="27"/>
      <c r="BP122" s="27"/>
      <c r="BQ122" s="27"/>
      <c r="BR122" s="27"/>
      <c r="BS122" s="27"/>
      <c r="BT122" s="27"/>
      <c r="BU122" s="27"/>
      <c r="BV122" s="27"/>
      <c r="BW122" s="27"/>
      <c r="BX122" s="27"/>
      <c r="BY122" s="27"/>
      <c r="BZ122" s="27"/>
      <c r="CA122" s="27"/>
      <c r="CB122" s="27"/>
      <c r="CC122" s="27"/>
      <c r="CD122" s="27"/>
      <c r="CE122" s="27"/>
      <c r="CF122" s="27"/>
      <c r="CG122" s="27"/>
      <c r="CH122" s="27"/>
      <c r="CI122" s="27"/>
      <c r="CJ122" s="27"/>
      <c r="CK122" s="27"/>
      <c r="CL122" s="27"/>
      <c r="CM122" s="27"/>
      <c r="CN122" s="27"/>
      <c r="CO122" s="27"/>
      <c r="CP122" s="27"/>
      <c r="CQ122" s="27"/>
      <c r="CR122" s="27"/>
      <c r="CS122" s="27"/>
      <c r="CT122" s="27"/>
      <c r="CU122" s="27"/>
      <c r="CV122" s="27"/>
      <c r="CW122" s="27"/>
      <c r="CX122" s="27"/>
      <c r="CY122" s="27"/>
      <c r="CZ122" s="27"/>
      <c r="DA122" s="27"/>
      <c r="DB122" s="27"/>
      <c r="DC122" s="27"/>
      <c r="DD122" s="27"/>
      <c r="DE122" s="27"/>
      <c r="DF122" s="27"/>
      <c r="DG122" s="27"/>
      <c r="DH122" s="27"/>
      <c r="DI122" s="27"/>
      <c r="DJ122" s="27"/>
      <c r="DK122" s="27"/>
      <c r="DL122" s="27"/>
      <c r="DM122" s="27"/>
      <c r="DN122" s="27"/>
      <c r="DO122" s="27"/>
      <c r="DP122" s="27"/>
      <c r="DQ122" s="27"/>
      <c r="DR122" s="27"/>
      <c r="DS122" s="27"/>
      <c r="DT122" s="27"/>
      <c r="DU122" s="27"/>
      <c r="DV122" s="27"/>
      <c r="DW122" s="27"/>
      <c r="DX122" s="27"/>
      <c r="DY122" s="27"/>
      <c r="DZ122" s="27"/>
      <c r="EA122" s="27"/>
      <c r="EB122" s="27"/>
      <c r="EC122" s="27"/>
      <c r="ED122" s="27"/>
      <c r="EE122" s="27"/>
      <c r="EF122" s="27"/>
      <c r="EG122" s="27"/>
      <c r="EH122" s="27"/>
      <c r="EI122" s="27"/>
      <c r="EJ122" s="27"/>
      <c r="EK122" s="27"/>
      <c r="EL122" s="27"/>
      <c r="EM122" s="27"/>
      <c r="EN122" s="27"/>
      <c r="EO122" s="27"/>
      <c r="EP122" s="27"/>
    </row>
    <row r="123" spans="1:146" ht="45" customHeight="1">
      <c r="A123" s="47" t="s">
        <v>682</v>
      </c>
      <c r="B123" s="28"/>
      <c r="C123" s="29" t="s">
        <v>683</v>
      </c>
      <c r="D123" s="29">
        <v>2002</v>
      </c>
      <c r="E123" s="29">
        <v>2003</v>
      </c>
      <c r="F123" s="29" t="s">
        <v>71</v>
      </c>
      <c r="G123" s="31" t="s">
        <v>47</v>
      </c>
      <c r="H123" s="308" t="s">
        <v>72</v>
      </c>
      <c r="I123" s="29" t="s">
        <v>57</v>
      </c>
      <c r="J123" s="29" t="s">
        <v>31</v>
      </c>
      <c r="K123" s="29"/>
      <c r="L123" s="306">
        <v>2913053</v>
      </c>
      <c r="M123" s="29"/>
      <c r="N123" s="29" t="s">
        <v>31</v>
      </c>
      <c r="O123" s="29"/>
      <c r="P123" s="29"/>
      <c r="Q123" s="29"/>
      <c r="R123" s="29"/>
      <c r="S123" s="304" t="s">
        <v>684</v>
      </c>
      <c r="T123" s="29"/>
      <c r="U123" s="31" t="s">
        <v>93</v>
      </c>
      <c r="V123" s="29" t="s">
        <v>61</v>
      </c>
      <c r="W123" s="29" t="s">
        <v>62</v>
      </c>
      <c r="X123" s="186" t="s">
        <v>1829</v>
      </c>
      <c r="Y123" s="64" t="s">
        <v>686</v>
      </c>
      <c r="Z123" s="27" t="s">
        <v>33</v>
      </c>
      <c r="AA123" s="27"/>
      <c r="AB123" s="27"/>
      <c r="AC123" s="27"/>
      <c r="AD123" s="27"/>
      <c r="AE123" s="27"/>
      <c r="AF123" s="27"/>
      <c r="AG123" s="27"/>
      <c r="AH123" s="27"/>
      <c r="AI123" s="27"/>
      <c r="AJ123" s="27"/>
      <c r="AK123" s="27"/>
      <c r="AL123" s="27"/>
      <c r="AM123" s="27"/>
      <c r="AN123" s="27"/>
      <c r="AO123" s="27"/>
      <c r="AP123" s="27"/>
      <c r="AQ123" s="27"/>
      <c r="AR123" s="27"/>
      <c r="AS123" s="27"/>
      <c r="AT123" s="27"/>
      <c r="AU123" s="27"/>
      <c r="AV123" s="27"/>
      <c r="AW123" s="27"/>
      <c r="AX123" s="27"/>
      <c r="AY123" s="27"/>
      <c r="AZ123" s="27"/>
      <c r="BA123" s="27"/>
      <c r="BB123" s="27"/>
      <c r="BC123" s="27"/>
      <c r="BD123" s="27"/>
      <c r="BE123" s="27"/>
      <c r="BF123" s="27"/>
      <c r="BG123" s="27"/>
      <c r="BH123" s="27"/>
      <c r="BI123" s="27"/>
      <c r="BJ123" s="27"/>
      <c r="BK123" s="27"/>
      <c r="BL123" s="27"/>
      <c r="BM123" s="27"/>
      <c r="BN123" s="27"/>
      <c r="BO123" s="27"/>
      <c r="BP123" s="27"/>
      <c r="BQ123" s="27"/>
      <c r="BR123" s="27"/>
      <c r="BS123" s="27"/>
      <c r="BT123" s="27"/>
      <c r="BU123" s="27"/>
      <c r="BV123" s="27"/>
      <c r="BW123" s="27"/>
      <c r="BX123" s="27"/>
      <c r="BY123" s="27"/>
      <c r="BZ123" s="27"/>
      <c r="CA123" s="27"/>
      <c r="CB123" s="27"/>
      <c r="CC123" s="27"/>
      <c r="CD123" s="27"/>
      <c r="CE123" s="27"/>
      <c r="CF123" s="27"/>
      <c r="CG123" s="27"/>
      <c r="CH123" s="27"/>
      <c r="CI123" s="27"/>
      <c r="CJ123" s="27"/>
      <c r="CK123" s="27"/>
      <c r="CL123" s="27"/>
      <c r="CM123" s="27"/>
      <c r="CN123" s="27"/>
      <c r="CO123" s="27"/>
      <c r="CP123" s="27"/>
      <c r="CQ123" s="27"/>
      <c r="CR123" s="27"/>
      <c r="CS123" s="27"/>
      <c r="CT123" s="27"/>
      <c r="CU123" s="27"/>
      <c r="CV123" s="27"/>
      <c r="CW123" s="27"/>
      <c r="CX123" s="27"/>
      <c r="CY123" s="27"/>
      <c r="CZ123" s="27"/>
      <c r="DA123" s="27"/>
      <c r="DB123" s="27"/>
      <c r="DC123" s="27"/>
      <c r="DD123" s="27"/>
      <c r="DE123" s="27"/>
      <c r="DF123" s="27"/>
      <c r="DG123" s="27"/>
      <c r="DH123" s="27"/>
      <c r="DI123" s="27"/>
      <c r="DJ123" s="27"/>
      <c r="DK123" s="27"/>
      <c r="DL123" s="27"/>
      <c r="DM123" s="27"/>
      <c r="DN123" s="27"/>
      <c r="DO123" s="27"/>
      <c r="DP123" s="27"/>
      <c r="DQ123" s="27"/>
      <c r="DR123" s="27"/>
      <c r="DS123" s="27"/>
      <c r="DT123" s="27"/>
      <c r="DU123" s="27"/>
      <c r="DV123" s="27"/>
      <c r="DW123" s="27"/>
      <c r="DX123" s="27"/>
      <c r="DY123" s="27"/>
      <c r="DZ123" s="27"/>
      <c r="EA123" s="27"/>
      <c r="EB123" s="27"/>
      <c r="EC123" s="27"/>
      <c r="ED123" s="27"/>
      <c r="EE123" s="27"/>
      <c r="EF123" s="27"/>
      <c r="EG123" s="27"/>
      <c r="EH123" s="27"/>
      <c r="EI123" s="27"/>
      <c r="EJ123" s="27"/>
      <c r="EK123" s="27"/>
      <c r="EL123" s="27"/>
      <c r="EM123" s="27"/>
      <c r="EN123" s="27"/>
      <c r="EO123" s="27"/>
      <c r="EP123" s="27"/>
    </row>
    <row r="124" spans="1:146" ht="45" customHeight="1">
      <c r="A124" s="296" t="s">
        <v>676</v>
      </c>
      <c r="B124" s="154" t="s">
        <v>1641</v>
      </c>
      <c r="C124" s="213" t="s">
        <v>598</v>
      </c>
      <c r="D124" s="29">
        <v>2002</v>
      </c>
      <c r="E124" s="29">
        <v>2003</v>
      </c>
      <c r="F124" s="29" t="s">
        <v>27</v>
      </c>
      <c r="G124" s="31" t="s">
        <v>677</v>
      </c>
      <c r="H124" s="303" t="s">
        <v>29</v>
      </c>
      <c r="I124" s="29" t="s">
        <v>678</v>
      </c>
      <c r="J124" s="31" t="s">
        <v>679</v>
      </c>
      <c r="K124" s="29" t="s">
        <v>31</v>
      </c>
      <c r="L124" s="83"/>
      <c r="M124" s="29" t="s">
        <v>31</v>
      </c>
      <c r="N124" s="29"/>
      <c r="O124" s="29"/>
      <c r="P124" s="29" t="s">
        <v>31</v>
      </c>
      <c r="Q124" s="29"/>
      <c r="R124" s="29"/>
      <c r="S124" s="304" t="s">
        <v>680</v>
      </c>
      <c r="T124" s="36"/>
      <c r="U124" s="29"/>
      <c r="V124" s="29"/>
      <c r="W124" s="29"/>
      <c r="X124" s="171"/>
      <c r="Z124" s="27" t="s">
        <v>33</v>
      </c>
      <c r="AA124" s="27"/>
      <c r="AB124" s="27"/>
      <c r="AC124" s="27"/>
      <c r="AD124" s="27"/>
      <c r="AE124" s="27"/>
      <c r="AF124" s="27"/>
      <c r="AG124" s="27"/>
      <c r="AH124" s="27"/>
      <c r="AI124" s="27"/>
      <c r="AJ124" s="27"/>
      <c r="AK124" s="27"/>
      <c r="AL124" s="27"/>
      <c r="AM124" s="27"/>
      <c r="AN124" s="27"/>
      <c r="AO124" s="27"/>
      <c r="AP124" s="27"/>
      <c r="AQ124" s="27"/>
      <c r="AR124" s="27"/>
      <c r="AS124" s="27"/>
      <c r="AT124" s="27"/>
      <c r="AU124" s="27"/>
      <c r="AV124" s="27"/>
      <c r="AW124" s="27"/>
      <c r="AX124" s="27"/>
      <c r="AY124" s="27"/>
      <c r="AZ124" s="27"/>
      <c r="BA124" s="27"/>
      <c r="BB124" s="27"/>
      <c r="BC124" s="27"/>
      <c r="BD124" s="27"/>
      <c r="BE124" s="27"/>
      <c r="BF124" s="27"/>
      <c r="BG124" s="27"/>
      <c r="BH124" s="27"/>
      <c r="BI124" s="27"/>
      <c r="BJ124" s="27"/>
      <c r="BK124" s="27"/>
      <c r="BL124" s="27"/>
      <c r="BM124" s="27"/>
      <c r="BN124" s="27"/>
      <c r="BO124" s="27"/>
      <c r="BP124" s="27"/>
      <c r="BQ124" s="27"/>
      <c r="BR124" s="27"/>
      <c r="BS124" s="27"/>
      <c r="BT124" s="27"/>
      <c r="BU124" s="27"/>
      <c r="BV124" s="27"/>
      <c r="BW124" s="27"/>
      <c r="BX124" s="27"/>
      <c r="BY124" s="27"/>
      <c r="BZ124" s="27"/>
      <c r="CA124" s="27"/>
      <c r="CB124" s="27"/>
      <c r="CC124" s="27"/>
      <c r="CD124" s="27"/>
      <c r="CE124" s="27"/>
      <c r="CF124" s="27"/>
      <c r="CG124" s="27"/>
      <c r="CH124" s="27"/>
      <c r="CI124" s="27"/>
      <c r="CJ124" s="27"/>
      <c r="CK124" s="27"/>
      <c r="CL124" s="27"/>
      <c r="CM124" s="27"/>
      <c r="CN124" s="27"/>
      <c r="CO124" s="27"/>
      <c r="CP124" s="27"/>
      <c r="CQ124" s="27"/>
      <c r="CR124" s="27"/>
      <c r="CS124" s="27"/>
      <c r="CT124" s="27"/>
      <c r="CU124" s="27"/>
      <c r="CV124" s="27"/>
      <c r="CW124" s="27"/>
      <c r="CX124" s="27"/>
      <c r="CY124" s="27"/>
      <c r="CZ124" s="27"/>
      <c r="DA124" s="27"/>
      <c r="DB124" s="27"/>
      <c r="DC124" s="27"/>
      <c r="DD124" s="27"/>
      <c r="DE124" s="27"/>
      <c r="DF124" s="27"/>
      <c r="DG124" s="27"/>
      <c r="DH124" s="27"/>
      <c r="DI124" s="27"/>
      <c r="DJ124" s="27"/>
      <c r="DK124" s="27"/>
      <c r="DL124" s="27"/>
      <c r="DM124" s="27"/>
      <c r="DN124" s="27"/>
      <c r="DO124" s="27"/>
      <c r="DP124" s="27"/>
      <c r="DQ124" s="27"/>
      <c r="DR124" s="27"/>
      <c r="DS124" s="27"/>
      <c r="DT124" s="27"/>
      <c r="DU124" s="27"/>
      <c r="DV124" s="27"/>
      <c r="DW124" s="27"/>
      <c r="DX124" s="27"/>
      <c r="DY124" s="27"/>
      <c r="DZ124" s="27"/>
      <c r="EA124" s="27"/>
      <c r="EB124" s="27"/>
      <c r="EC124" s="27"/>
      <c r="ED124" s="27"/>
      <c r="EE124" s="27"/>
      <c r="EF124" s="27"/>
      <c r="EG124" s="27"/>
      <c r="EH124" s="27"/>
      <c r="EI124" s="27"/>
      <c r="EJ124" s="27"/>
      <c r="EK124" s="27"/>
      <c r="EL124" s="27"/>
      <c r="EM124" s="27"/>
      <c r="EN124" s="27"/>
      <c r="EO124" s="27"/>
      <c r="EP124" s="27"/>
    </row>
    <row r="125" spans="1:146" ht="45" customHeight="1">
      <c r="A125" s="46" t="s">
        <v>730</v>
      </c>
      <c r="B125" s="154" t="s">
        <v>1641</v>
      </c>
      <c r="C125" s="29" t="s">
        <v>598</v>
      </c>
      <c r="D125" s="29">
        <v>2003</v>
      </c>
      <c r="E125" s="29">
        <v>2003</v>
      </c>
      <c r="F125" s="29" t="s">
        <v>731</v>
      </c>
      <c r="G125" s="31" t="s">
        <v>254</v>
      </c>
      <c r="H125" s="303" t="s">
        <v>732</v>
      </c>
      <c r="I125" s="29" t="s">
        <v>57</v>
      </c>
      <c r="J125" s="31" t="s">
        <v>733</v>
      </c>
      <c r="K125" s="29" t="s">
        <v>31</v>
      </c>
      <c r="L125" s="301"/>
      <c r="M125" s="29"/>
      <c r="N125" s="29" t="s">
        <v>31</v>
      </c>
      <c r="O125" s="29"/>
      <c r="P125" s="29"/>
      <c r="Q125" s="29"/>
      <c r="R125" s="29"/>
      <c r="S125" s="304" t="s">
        <v>734</v>
      </c>
      <c r="T125" s="36"/>
      <c r="U125" s="29"/>
      <c r="V125" s="29"/>
      <c r="W125" s="29"/>
      <c r="X125" s="167"/>
      <c r="Z125" s="27" t="s">
        <v>33</v>
      </c>
      <c r="AA125" s="27"/>
      <c r="AB125" s="27"/>
      <c r="AC125" s="27"/>
      <c r="AD125" s="27"/>
      <c r="AE125" s="27"/>
      <c r="AF125" s="27"/>
      <c r="AG125" s="27"/>
      <c r="AH125" s="27"/>
      <c r="AI125" s="27"/>
      <c r="AJ125" s="27"/>
      <c r="AK125" s="27"/>
      <c r="AL125" s="27"/>
      <c r="AM125" s="27"/>
      <c r="AN125" s="27"/>
      <c r="AO125" s="27"/>
      <c r="AP125" s="27"/>
      <c r="AQ125" s="27"/>
      <c r="AR125" s="27"/>
      <c r="AS125" s="27"/>
      <c r="AT125" s="27"/>
      <c r="AU125" s="27"/>
      <c r="AV125" s="27"/>
      <c r="AW125" s="27"/>
      <c r="AX125" s="27"/>
      <c r="AY125" s="27"/>
      <c r="AZ125" s="27"/>
      <c r="BA125" s="27"/>
      <c r="BB125" s="27"/>
      <c r="BC125" s="27"/>
      <c r="BD125" s="27"/>
      <c r="BE125" s="27"/>
      <c r="BF125" s="27"/>
      <c r="BG125" s="27"/>
      <c r="BH125" s="27"/>
      <c r="BI125" s="27"/>
      <c r="BJ125" s="27"/>
      <c r="BK125" s="27"/>
      <c r="BL125" s="27"/>
      <c r="BM125" s="27"/>
      <c r="BN125" s="27"/>
      <c r="BO125" s="27"/>
      <c r="BP125" s="27"/>
      <c r="BQ125" s="27"/>
      <c r="BR125" s="27"/>
      <c r="BS125" s="27"/>
      <c r="BT125" s="27"/>
      <c r="BU125" s="27"/>
      <c r="BV125" s="27"/>
      <c r="BW125" s="27"/>
      <c r="BX125" s="27"/>
      <c r="BY125" s="27"/>
      <c r="BZ125" s="27"/>
      <c r="CA125" s="27"/>
      <c r="CB125" s="27"/>
      <c r="CC125" s="27"/>
      <c r="CD125" s="27"/>
      <c r="CE125" s="27"/>
      <c r="CF125" s="27"/>
      <c r="CG125" s="27"/>
      <c r="CH125" s="27"/>
      <c r="CI125" s="27"/>
      <c r="CJ125" s="27"/>
      <c r="CK125" s="27"/>
      <c r="CL125" s="27"/>
      <c r="CM125" s="27"/>
      <c r="CN125" s="27"/>
      <c r="CO125" s="27"/>
      <c r="CP125" s="27"/>
      <c r="CQ125" s="27"/>
      <c r="CR125" s="27"/>
      <c r="CS125" s="27"/>
      <c r="CT125" s="27"/>
      <c r="CU125" s="27"/>
      <c r="CV125" s="27"/>
      <c r="CW125" s="27"/>
      <c r="CX125" s="27"/>
      <c r="CY125" s="27"/>
      <c r="CZ125" s="27"/>
      <c r="DA125" s="27"/>
      <c r="DB125" s="27"/>
      <c r="DC125" s="27"/>
      <c r="DD125" s="27"/>
      <c r="DE125" s="27"/>
      <c r="DF125" s="27"/>
      <c r="DG125" s="27"/>
      <c r="DH125" s="27"/>
      <c r="DI125" s="27"/>
      <c r="DJ125" s="27"/>
      <c r="DK125" s="27"/>
      <c r="DL125" s="27"/>
      <c r="DM125" s="27"/>
      <c r="DN125" s="27"/>
      <c r="DO125" s="27"/>
      <c r="DP125" s="27"/>
      <c r="DQ125" s="27"/>
      <c r="DR125" s="27"/>
      <c r="DS125" s="27"/>
      <c r="DT125" s="27"/>
      <c r="DU125" s="27"/>
      <c r="DV125" s="27"/>
      <c r="DW125" s="27"/>
      <c r="DX125" s="27"/>
      <c r="DY125" s="27"/>
      <c r="DZ125" s="27"/>
      <c r="EA125" s="27"/>
      <c r="EB125" s="27"/>
      <c r="EC125" s="27"/>
      <c r="ED125" s="27"/>
      <c r="EE125" s="27"/>
      <c r="EF125" s="27"/>
      <c r="EG125" s="27"/>
      <c r="EH125" s="27"/>
      <c r="EI125" s="27"/>
      <c r="EJ125" s="27"/>
      <c r="EK125" s="27"/>
      <c r="EL125" s="27"/>
      <c r="EM125" s="27"/>
      <c r="EN125" s="27"/>
      <c r="EO125" s="27"/>
      <c r="EP125" s="27"/>
    </row>
    <row r="126" spans="1:146" ht="45" customHeight="1">
      <c r="A126" s="47" t="s">
        <v>744</v>
      </c>
      <c r="B126" s="28"/>
      <c r="C126" s="82"/>
      <c r="D126" s="29">
        <v>2003</v>
      </c>
      <c r="E126" s="29">
        <v>2006</v>
      </c>
      <c r="F126" s="29" t="s">
        <v>745</v>
      </c>
      <c r="G126" s="31" t="s">
        <v>254</v>
      </c>
      <c r="H126" s="308" t="s">
        <v>746</v>
      </c>
      <c r="I126" s="29" t="s">
        <v>57</v>
      </c>
      <c r="J126" s="28" t="s">
        <v>747</v>
      </c>
      <c r="K126" s="29" t="s">
        <v>31</v>
      </c>
      <c r="L126" s="54">
        <v>97176</v>
      </c>
      <c r="M126" s="29"/>
      <c r="N126" s="29" t="s">
        <v>31</v>
      </c>
      <c r="O126" s="29"/>
      <c r="P126" s="29"/>
      <c r="Q126" s="29"/>
      <c r="R126" s="29"/>
      <c r="S126" s="304" t="s">
        <v>748</v>
      </c>
      <c r="T126" s="29"/>
      <c r="U126" s="31"/>
      <c r="V126" s="31"/>
      <c r="W126" s="31"/>
      <c r="X126" s="171"/>
      <c r="Y126" s="64"/>
      <c r="Z126" s="27" t="s">
        <v>33</v>
      </c>
      <c r="AA126" s="27"/>
      <c r="AB126" s="27"/>
      <c r="AC126" s="27"/>
      <c r="AD126" s="27"/>
      <c r="AE126" s="27"/>
      <c r="AF126" s="27"/>
      <c r="AG126" s="27"/>
      <c r="AH126" s="27"/>
      <c r="AI126" s="27"/>
      <c r="AJ126" s="27"/>
      <c r="AK126" s="27"/>
      <c r="AL126" s="27"/>
      <c r="AM126" s="27"/>
      <c r="AN126" s="27"/>
      <c r="AO126" s="27"/>
      <c r="AP126" s="27"/>
      <c r="AQ126" s="27"/>
      <c r="AR126" s="27"/>
      <c r="AS126" s="27"/>
      <c r="AT126" s="27"/>
      <c r="AU126" s="27"/>
      <c r="AV126" s="27"/>
      <c r="AW126" s="27"/>
      <c r="AX126" s="27"/>
      <c r="AY126" s="27"/>
      <c r="AZ126" s="27"/>
      <c r="BA126" s="27"/>
      <c r="BB126" s="27"/>
      <c r="BC126" s="27"/>
      <c r="BD126" s="27"/>
      <c r="BE126" s="27"/>
      <c r="BF126" s="27"/>
      <c r="BG126" s="27"/>
      <c r="BH126" s="27"/>
      <c r="BI126" s="27"/>
      <c r="BJ126" s="27"/>
      <c r="BK126" s="27"/>
      <c r="BL126" s="27"/>
      <c r="BM126" s="27"/>
      <c r="BN126" s="27"/>
      <c r="BO126" s="27"/>
      <c r="BP126" s="27"/>
      <c r="BQ126" s="27"/>
      <c r="BR126" s="27"/>
      <c r="BS126" s="27"/>
      <c r="BT126" s="27"/>
      <c r="BU126" s="27"/>
      <c r="BV126" s="27"/>
      <c r="BW126" s="27"/>
      <c r="BX126" s="27"/>
      <c r="BY126" s="27"/>
      <c r="BZ126" s="27"/>
      <c r="CA126" s="27"/>
      <c r="CB126" s="27"/>
      <c r="CC126" s="27"/>
      <c r="CD126" s="27"/>
      <c r="CE126" s="27"/>
      <c r="CF126" s="27"/>
      <c r="CG126" s="27"/>
      <c r="CH126" s="27"/>
      <c r="CI126" s="27"/>
      <c r="CJ126" s="27"/>
      <c r="CK126" s="27"/>
      <c r="CL126" s="27"/>
      <c r="CM126" s="27"/>
      <c r="CN126" s="27"/>
      <c r="CO126" s="27"/>
      <c r="CP126" s="27"/>
      <c r="CQ126" s="27"/>
      <c r="CR126" s="27"/>
      <c r="CS126" s="27"/>
      <c r="CT126" s="27"/>
      <c r="CU126" s="27"/>
      <c r="CV126" s="27"/>
      <c r="CW126" s="27"/>
      <c r="CX126" s="27"/>
      <c r="CY126" s="27"/>
      <c r="CZ126" s="27"/>
      <c r="DA126" s="27"/>
      <c r="DB126" s="27"/>
      <c r="DC126" s="27"/>
      <c r="DD126" s="27"/>
      <c r="DE126" s="27"/>
      <c r="DF126" s="27"/>
      <c r="DG126" s="27"/>
      <c r="DH126" s="27"/>
      <c r="DI126" s="27"/>
      <c r="DJ126" s="27"/>
      <c r="DK126" s="27"/>
      <c r="DL126" s="27"/>
      <c r="DM126" s="27"/>
      <c r="DN126" s="27"/>
      <c r="DO126" s="27"/>
      <c r="DP126" s="27"/>
      <c r="DQ126" s="27"/>
      <c r="DR126" s="27"/>
      <c r="DS126" s="27"/>
      <c r="DT126" s="27"/>
      <c r="DU126" s="27"/>
      <c r="DV126" s="27"/>
      <c r="DW126" s="27"/>
      <c r="DX126" s="27"/>
      <c r="DY126" s="27"/>
      <c r="DZ126" s="27"/>
      <c r="EA126" s="27"/>
      <c r="EB126" s="27"/>
      <c r="EC126" s="27"/>
      <c r="ED126" s="27"/>
      <c r="EE126" s="27"/>
      <c r="EF126" s="27"/>
      <c r="EG126" s="27"/>
      <c r="EH126" s="27"/>
      <c r="EI126" s="27"/>
      <c r="EJ126" s="27"/>
      <c r="EK126" s="27"/>
      <c r="EL126" s="27"/>
      <c r="EM126" s="27"/>
      <c r="EN126" s="27"/>
      <c r="EO126" s="27"/>
      <c r="EP126" s="27"/>
    </row>
    <row r="127" spans="1:146" ht="45" customHeight="1">
      <c r="A127" s="46" t="s">
        <v>764</v>
      </c>
      <c r="B127" s="42"/>
      <c r="C127" s="29" t="s">
        <v>692</v>
      </c>
      <c r="D127" s="29">
        <v>2003</v>
      </c>
      <c r="E127" s="29">
        <v>2008</v>
      </c>
      <c r="F127" s="80" t="s">
        <v>1647</v>
      </c>
      <c r="G127" s="213" t="s">
        <v>254</v>
      </c>
      <c r="H127" s="80" t="s">
        <v>1648</v>
      </c>
      <c r="I127" s="29" t="s">
        <v>57</v>
      </c>
      <c r="J127" s="29" t="s">
        <v>31</v>
      </c>
      <c r="K127" s="29"/>
      <c r="L127" s="32">
        <v>10274759</v>
      </c>
      <c r="M127" s="29"/>
      <c r="N127" s="29" t="s">
        <v>31</v>
      </c>
      <c r="O127" s="29"/>
      <c r="P127" s="29"/>
      <c r="Q127" s="29"/>
      <c r="R127" s="29"/>
      <c r="S127" s="304" t="s">
        <v>765</v>
      </c>
      <c r="T127" s="29"/>
      <c r="U127" s="29"/>
      <c r="V127" s="29"/>
      <c r="W127" s="29"/>
      <c r="X127" s="180" t="s">
        <v>768</v>
      </c>
      <c r="Y127" s="69" t="s">
        <v>769</v>
      </c>
      <c r="Z127" s="27" t="s">
        <v>33</v>
      </c>
      <c r="AA127" s="27"/>
      <c r="AB127" s="27"/>
      <c r="AC127" s="27"/>
      <c r="AD127" s="27"/>
      <c r="AE127" s="27"/>
      <c r="AF127" s="27"/>
      <c r="AG127" s="27"/>
      <c r="AH127" s="27"/>
      <c r="AI127" s="27"/>
      <c r="AJ127" s="27"/>
      <c r="AK127" s="27"/>
      <c r="AL127" s="27"/>
      <c r="AM127" s="27"/>
      <c r="AN127" s="27"/>
      <c r="AO127" s="27"/>
      <c r="AP127" s="27"/>
      <c r="AQ127" s="27"/>
      <c r="AR127" s="27"/>
      <c r="AS127" s="27"/>
      <c r="AT127" s="27"/>
      <c r="AU127" s="27"/>
      <c r="AV127" s="27"/>
      <c r="AW127" s="27"/>
      <c r="AX127" s="27"/>
      <c r="AY127" s="27"/>
      <c r="AZ127" s="27"/>
      <c r="BA127" s="27"/>
      <c r="BB127" s="27"/>
      <c r="BC127" s="27"/>
      <c r="BD127" s="27"/>
      <c r="BE127" s="27"/>
      <c r="BF127" s="27"/>
      <c r="BG127" s="27"/>
      <c r="BH127" s="27"/>
      <c r="BI127" s="27"/>
      <c r="BJ127" s="27"/>
      <c r="BK127" s="27"/>
      <c r="BL127" s="27"/>
      <c r="BM127" s="27"/>
      <c r="BN127" s="27"/>
      <c r="BO127" s="27"/>
      <c r="BP127" s="27"/>
      <c r="BQ127" s="27"/>
      <c r="BR127" s="27"/>
      <c r="BS127" s="27"/>
      <c r="BT127" s="27"/>
      <c r="BU127" s="27"/>
      <c r="BV127" s="27"/>
      <c r="BW127" s="27"/>
      <c r="BX127" s="27"/>
      <c r="BY127" s="27"/>
      <c r="BZ127" s="27"/>
      <c r="CA127" s="27"/>
      <c r="CB127" s="27"/>
      <c r="CC127" s="27"/>
      <c r="CD127" s="27"/>
      <c r="CE127" s="27"/>
      <c r="CF127" s="27"/>
      <c r="CG127" s="27"/>
      <c r="CH127" s="27"/>
      <c r="CI127" s="27"/>
      <c r="CJ127" s="27"/>
      <c r="CK127" s="27"/>
      <c r="CL127" s="27"/>
      <c r="CM127" s="27"/>
      <c r="CN127" s="27"/>
      <c r="CO127" s="27"/>
      <c r="CP127" s="27"/>
      <c r="CQ127" s="27"/>
      <c r="CR127" s="27"/>
      <c r="CS127" s="27"/>
      <c r="CT127" s="27"/>
      <c r="CU127" s="27"/>
      <c r="CV127" s="27"/>
      <c r="CW127" s="27"/>
      <c r="CX127" s="27"/>
      <c r="CY127" s="27"/>
      <c r="CZ127" s="27"/>
      <c r="DA127" s="27"/>
      <c r="DB127" s="27"/>
      <c r="DC127" s="27"/>
      <c r="DD127" s="27"/>
      <c r="DE127" s="27"/>
      <c r="DF127" s="27"/>
      <c r="DG127" s="27"/>
      <c r="DH127" s="27"/>
      <c r="DI127" s="27"/>
      <c r="DJ127" s="27"/>
      <c r="DK127" s="27"/>
      <c r="DL127" s="27"/>
      <c r="DM127" s="27"/>
      <c r="DN127" s="27"/>
      <c r="DO127" s="27"/>
      <c r="DP127" s="27"/>
      <c r="DQ127" s="27"/>
      <c r="DR127" s="27"/>
      <c r="DS127" s="27"/>
      <c r="DT127" s="27"/>
      <c r="DU127" s="27"/>
      <c r="DV127" s="27"/>
      <c r="DW127" s="27"/>
      <c r="DX127" s="27"/>
      <c r="DY127" s="27"/>
      <c r="DZ127" s="27"/>
      <c r="EA127" s="27"/>
      <c r="EB127" s="27"/>
      <c r="EC127" s="27"/>
      <c r="ED127" s="27"/>
      <c r="EE127" s="27"/>
      <c r="EF127" s="27"/>
      <c r="EG127" s="27"/>
      <c r="EH127" s="27"/>
      <c r="EI127" s="27"/>
      <c r="EJ127" s="27"/>
      <c r="EK127" s="27"/>
      <c r="EL127" s="27"/>
      <c r="EM127" s="27"/>
      <c r="EN127" s="27"/>
      <c r="EO127" s="27"/>
      <c r="EP127" s="27"/>
    </row>
    <row r="128" spans="1:146" ht="45" customHeight="1">
      <c r="A128" s="47" t="s">
        <v>716</v>
      </c>
      <c r="B128" s="28"/>
      <c r="C128" s="300" t="s">
        <v>1773</v>
      </c>
      <c r="D128" s="29">
        <v>2003</v>
      </c>
      <c r="E128" s="29">
        <v>2008</v>
      </c>
      <c r="F128" s="29" t="s">
        <v>422</v>
      </c>
      <c r="G128" s="31" t="s">
        <v>271</v>
      </c>
      <c r="H128" s="29" t="s">
        <v>423</v>
      </c>
      <c r="I128" s="31" t="s">
        <v>57</v>
      </c>
      <c r="J128" s="300" t="s">
        <v>31</v>
      </c>
      <c r="K128" s="29"/>
      <c r="L128" s="32">
        <v>64879</v>
      </c>
      <c r="M128" s="29"/>
      <c r="N128" s="80" t="s">
        <v>31</v>
      </c>
      <c r="O128" s="29"/>
      <c r="P128" s="29"/>
      <c r="Q128" s="29"/>
      <c r="R128" s="29"/>
      <c r="S128" s="304" t="s">
        <v>1645</v>
      </c>
      <c r="T128" s="95"/>
      <c r="U128" s="29" t="s">
        <v>718</v>
      </c>
      <c r="V128" s="29" t="s">
        <v>719</v>
      </c>
      <c r="W128" s="29" t="s">
        <v>720</v>
      </c>
      <c r="X128" s="167"/>
      <c r="Y128" s="64"/>
      <c r="Z128" s="27" t="s">
        <v>33</v>
      </c>
      <c r="AA128" s="27"/>
      <c r="AB128" s="27"/>
      <c r="AC128" s="27"/>
      <c r="AD128" s="27"/>
      <c r="AE128" s="27"/>
      <c r="AF128" s="27"/>
      <c r="AG128" s="27"/>
      <c r="AH128" s="27"/>
      <c r="AI128" s="27"/>
      <c r="AJ128" s="27"/>
      <c r="AK128" s="27"/>
      <c r="AL128" s="27"/>
      <c r="AM128" s="27"/>
      <c r="AN128" s="27"/>
      <c r="AO128" s="27"/>
      <c r="AP128" s="27"/>
      <c r="AQ128" s="27"/>
      <c r="AR128" s="27"/>
      <c r="AS128" s="27"/>
      <c r="AT128" s="27"/>
      <c r="AU128" s="27"/>
      <c r="AV128" s="27"/>
      <c r="AW128" s="27"/>
      <c r="AX128" s="27"/>
      <c r="AY128" s="27"/>
      <c r="AZ128" s="27"/>
      <c r="BA128" s="27"/>
      <c r="BB128" s="27"/>
      <c r="BC128" s="27"/>
      <c r="BD128" s="27"/>
      <c r="BE128" s="27"/>
      <c r="BF128" s="27"/>
      <c r="BG128" s="27"/>
      <c r="BH128" s="27"/>
      <c r="BI128" s="27"/>
      <c r="BJ128" s="27"/>
      <c r="BK128" s="27"/>
      <c r="BL128" s="27"/>
      <c r="BM128" s="27"/>
      <c r="BN128" s="27"/>
      <c r="BO128" s="27"/>
      <c r="BP128" s="27"/>
      <c r="BQ128" s="27"/>
      <c r="BR128" s="27"/>
      <c r="BS128" s="27"/>
      <c r="BT128" s="27"/>
      <c r="BU128" s="27"/>
      <c r="BV128" s="27"/>
      <c r="BW128" s="27"/>
      <c r="BX128" s="27"/>
      <c r="BY128" s="27"/>
      <c r="BZ128" s="27"/>
      <c r="CA128" s="27"/>
      <c r="CB128" s="27"/>
      <c r="CC128" s="27"/>
      <c r="CD128" s="27"/>
      <c r="CE128" s="27"/>
      <c r="CF128" s="27"/>
      <c r="CG128" s="27"/>
      <c r="CH128" s="27"/>
      <c r="CI128" s="27"/>
      <c r="CJ128" s="27"/>
      <c r="CK128" s="27"/>
      <c r="CL128" s="27"/>
      <c r="CM128" s="27"/>
      <c r="CN128" s="27"/>
      <c r="CO128" s="27"/>
      <c r="CP128" s="27"/>
      <c r="CQ128" s="27"/>
      <c r="CR128" s="27"/>
      <c r="CS128" s="27"/>
      <c r="CT128" s="27"/>
      <c r="CU128" s="27"/>
      <c r="CV128" s="27"/>
      <c r="CW128" s="27"/>
      <c r="CX128" s="27"/>
      <c r="CY128" s="27"/>
      <c r="CZ128" s="27"/>
      <c r="DA128" s="27"/>
      <c r="DB128" s="27"/>
      <c r="DC128" s="27"/>
      <c r="DD128" s="27"/>
      <c r="DE128" s="27"/>
      <c r="DF128" s="27"/>
      <c r="DG128" s="27"/>
      <c r="DH128" s="27"/>
      <c r="DI128" s="27"/>
      <c r="DJ128" s="27"/>
      <c r="DK128" s="27"/>
      <c r="DL128" s="27"/>
      <c r="DM128" s="27"/>
      <c r="DN128" s="27"/>
      <c r="DO128" s="27"/>
      <c r="DP128" s="27"/>
      <c r="DQ128" s="27"/>
      <c r="DR128" s="27"/>
      <c r="DS128" s="27"/>
      <c r="DT128" s="27"/>
      <c r="DU128" s="27"/>
      <c r="DV128" s="27"/>
      <c r="DW128" s="27"/>
      <c r="DX128" s="27"/>
      <c r="DY128" s="27"/>
      <c r="DZ128" s="27"/>
      <c r="EA128" s="27"/>
      <c r="EB128" s="27"/>
      <c r="EC128" s="27"/>
      <c r="ED128" s="27"/>
      <c r="EE128" s="27"/>
      <c r="EF128" s="27"/>
      <c r="EG128" s="27"/>
      <c r="EH128" s="27"/>
      <c r="EI128" s="27"/>
      <c r="EJ128" s="27"/>
      <c r="EK128" s="27"/>
      <c r="EL128" s="27"/>
      <c r="EM128" s="27"/>
      <c r="EN128" s="27"/>
      <c r="EO128" s="27"/>
      <c r="EP128" s="27"/>
    </row>
    <row r="129" spans="1:146" ht="45" customHeight="1">
      <c r="A129" s="46" t="s">
        <v>735</v>
      </c>
      <c r="B129" s="42"/>
      <c r="C129" s="29" t="s">
        <v>736</v>
      </c>
      <c r="D129" s="29">
        <v>2003</v>
      </c>
      <c r="E129" s="29">
        <v>2009</v>
      </c>
      <c r="F129" s="29" t="s">
        <v>737</v>
      </c>
      <c r="G129" s="31" t="s">
        <v>271</v>
      </c>
      <c r="H129" s="29" t="s">
        <v>738</v>
      </c>
      <c r="I129" s="29" t="s">
        <v>739</v>
      </c>
      <c r="J129" s="80" t="s">
        <v>31</v>
      </c>
      <c r="K129" s="29"/>
      <c r="L129" s="32">
        <v>6400000</v>
      </c>
      <c r="M129" s="80" t="s">
        <v>31</v>
      </c>
      <c r="N129" s="29" t="s">
        <v>31</v>
      </c>
      <c r="O129" s="29"/>
      <c r="P129" s="29"/>
      <c r="Q129" s="29"/>
      <c r="R129" s="29"/>
      <c r="S129" s="304" t="s">
        <v>740</v>
      </c>
      <c r="T129" s="29"/>
      <c r="U129" s="29"/>
      <c r="V129" s="29"/>
      <c r="W129" s="29"/>
      <c r="X129" s="171" t="s">
        <v>741</v>
      </c>
      <c r="Y129" s="69" t="s">
        <v>742</v>
      </c>
      <c r="Z129" s="27" t="s">
        <v>33</v>
      </c>
      <c r="AA129" s="27"/>
      <c r="AB129" s="27"/>
      <c r="AC129" s="27"/>
      <c r="AD129" s="27"/>
      <c r="AE129" s="27"/>
      <c r="AF129" s="27"/>
      <c r="AG129" s="27"/>
      <c r="AH129" s="27"/>
      <c r="AI129" s="27"/>
      <c r="AJ129" s="27"/>
      <c r="AK129" s="27"/>
      <c r="AL129" s="27"/>
      <c r="AM129" s="27"/>
      <c r="AN129" s="27"/>
      <c r="AO129" s="27"/>
      <c r="AP129" s="27"/>
      <c r="AQ129" s="27"/>
      <c r="AR129" s="27"/>
      <c r="AS129" s="27"/>
      <c r="AT129" s="27"/>
      <c r="AU129" s="27"/>
      <c r="AV129" s="27"/>
      <c r="AW129" s="27"/>
      <c r="AX129" s="27"/>
      <c r="AY129" s="27"/>
      <c r="AZ129" s="27"/>
      <c r="BA129" s="27"/>
      <c r="BB129" s="27"/>
      <c r="BC129" s="27"/>
      <c r="BD129" s="27"/>
      <c r="BE129" s="27"/>
      <c r="BF129" s="27"/>
      <c r="BG129" s="27"/>
      <c r="BH129" s="27"/>
      <c r="BI129" s="27"/>
      <c r="BJ129" s="27"/>
      <c r="BK129" s="27"/>
      <c r="BL129" s="27"/>
      <c r="BM129" s="27"/>
      <c r="BN129" s="27"/>
      <c r="BO129" s="27"/>
      <c r="BP129" s="27"/>
      <c r="BQ129" s="27"/>
      <c r="BR129" s="27"/>
      <c r="BS129" s="27"/>
      <c r="BT129" s="27"/>
      <c r="BU129" s="27"/>
      <c r="BV129" s="27"/>
      <c r="BW129" s="27"/>
      <c r="BX129" s="27"/>
      <c r="BY129" s="27"/>
      <c r="BZ129" s="27"/>
      <c r="CA129" s="27"/>
      <c r="CB129" s="27"/>
      <c r="CC129" s="27"/>
      <c r="CD129" s="27"/>
      <c r="CE129" s="27"/>
      <c r="CF129" s="27"/>
      <c r="CG129" s="27"/>
      <c r="CH129" s="27"/>
      <c r="CI129" s="27"/>
      <c r="CJ129" s="27"/>
      <c r="CK129" s="27"/>
      <c r="CL129" s="27"/>
      <c r="CM129" s="27"/>
      <c r="CN129" s="27"/>
      <c r="CO129" s="27"/>
      <c r="CP129" s="27"/>
      <c r="CQ129" s="27"/>
      <c r="CR129" s="27"/>
      <c r="CS129" s="27"/>
      <c r="CT129" s="27"/>
      <c r="CU129" s="27"/>
      <c r="CV129" s="27"/>
      <c r="CW129" s="27"/>
      <c r="CX129" s="27"/>
      <c r="CY129" s="27"/>
      <c r="CZ129" s="27"/>
      <c r="DA129" s="27"/>
      <c r="DB129" s="27"/>
      <c r="DC129" s="27"/>
      <c r="DD129" s="27"/>
      <c r="DE129" s="27"/>
      <c r="DF129" s="27"/>
      <c r="DG129" s="27"/>
      <c r="DH129" s="27"/>
      <c r="DI129" s="27"/>
      <c r="DJ129" s="27"/>
      <c r="DK129" s="27"/>
      <c r="DL129" s="27"/>
      <c r="DM129" s="27"/>
      <c r="DN129" s="27"/>
      <c r="DO129" s="27"/>
      <c r="DP129" s="27"/>
      <c r="DQ129" s="27"/>
      <c r="DR129" s="27"/>
      <c r="DS129" s="27"/>
      <c r="DT129" s="27"/>
      <c r="DU129" s="27"/>
      <c r="DV129" s="27"/>
      <c r="DW129" s="27"/>
      <c r="DX129" s="27"/>
      <c r="DY129" s="27"/>
      <c r="DZ129" s="27"/>
      <c r="EA129" s="27"/>
      <c r="EB129" s="27"/>
      <c r="EC129" s="27"/>
      <c r="ED129" s="27"/>
      <c r="EE129" s="27"/>
      <c r="EF129" s="27"/>
      <c r="EG129" s="27"/>
      <c r="EH129" s="27"/>
      <c r="EI129" s="27"/>
      <c r="EJ129" s="27"/>
      <c r="EK129" s="27"/>
      <c r="EL129" s="27"/>
      <c r="EM129" s="27"/>
      <c r="EN129" s="27"/>
      <c r="EO129" s="27"/>
      <c r="EP129" s="27"/>
    </row>
    <row r="130" spans="1:146" s="218" customFormat="1" ht="45" customHeight="1">
      <c r="A130" s="47" t="s">
        <v>749</v>
      </c>
      <c r="B130" s="28"/>
      <c r="C130" s="82"/>
      <c r="D130" s="29">
        <v>2003</v>
      </c>
      <c r="E130" s="29">
        <v>2006</v>
      </c>
      <c r="F130" s="29" t="s">
        <v>663</v>
      </c>
      <c r="G130" s="31" t="s">
        <v>226</v>
      </c>
      <c r="H130" s="87" t="s">
        <v>664</v>
      </c>
      <c r="I130" s="31" t="s">
        <v>57</v>
      </c>
      <c r="J130" s="31" t="s">
        <v>750</v>
      </c>
      <c r="K130" s="29" t="s">
        <v>31</v>
      </c>
      <c r="L130" s="32">
        <v>119612</v>
      </c>
      <c r="M130" s="29"/>
      <c r="N130" s="29" t="s">
        <v>31</v>
      </c>
      <c r="O130" s="29"/>
      <c r="P130" s="29"/>
      <c r="Q130" s="29"/>
      <c r="R130" s="80" t="s">
        <v>31</v>
      </c>
      <c r="S130" s="304" t="s">
        <v>751</v>
      </c>
      <c r="T130" s="29"/>
      <c r="U130" s="31" t="s">
        <v>752</v>
      </c>
      <c r="V130" s="63" t="s">
        <v>753</v>
      </c>
      <c r="W130" s="31" t="s">
        <v>754</v>
      </c>
      <c r="X130" s="179" t="s">
        <v>755</v>
      </c>
      <c r="Y130" s="219" t="s">
        <v>756</v>
      </c>
      <c r="Z130" s="27" t="s">
        <v>33</v>
      </c>
    </row>
    <row r="131" spans="1:146" s="62" customFormat="1" ht="45" customHeight="1">
      <c r="A131" s="47" t="s">
        <v>772</v>
      </c>
      <c r="B131" s="332" t="s">
        <v>1784</v>
      </c>
      <c r="C131" s="302" t="s">
        <v>1644</v>
      </c>
      <c r="D131" s="29">
        <v>2003</v>
      </c>
      <c r="E131" s="29">
        <v>2006</v>
      </c>
      <c r="F131" s="29" t="s">
        <v>773</v>
      </c>
      <c r="G131" s="31" t="s">
        <v>226</v>
      </c>
      <c r="H131" s="99" t="s">
        <v>626</v>
      </c>
      <c r="I131" s="29" t="s">
        <v>57</v>
      </c>
      <c r="J131" s="300" t="s">
        <v>619</v>
      </c>
      <c r="K131" s="29" t="s">
        <v>31</v>
      </c>
      <c r="L131" s="29">
        <v>2528121</v>
      </c>
      <c r="M131" s="373"/>
      <c r="N131" s="29"/>
      <c r="O131" s="29"/>
      <c r="P131" s="29"/>
      <c r="Q131" s="29"/>
      <c r="R131" s="29" t="s">
        <v>31</v>
      </c>
      <c r="S131" s="304" t="s">
        <v>774</v>
      </c>
      <c r="T131" s="36"/>
      <c r="U131" s="31" t="s">
        <v>775</v>
      </c>
      <c r="V131" s="31" t="s">
        <v>776</v>
      </c>
      <c r="W131" s="31" t="s">
        <v>777</v>
      </c>
      <c r="X131" s="174" t="s">
        <v>628</v>
      </c>
      <c r="Y131" s="69" t="s">
        <v>629</v>
      </c>
      <c r="Z131" s="27" t="s">
        <v>33</v>
      </c>
    </row>
    <row r="132" spans="1:146" ht="45" customHeight="1">
      <c r="A132" s="296" t="s">
        <v>721</v>
      </c>
      <c r="B132" s="42"/>
      <c r="C132" s="212" t="s">
        <v>1793</v>
      </c>
      <c r="D132" s="29">
        <v>2003</v>
      </c>
      <c r="E132" s="29">
        <v>2007</v>
      </c>
      <c r="F132" s="29" t="s">
        <v>71</v>
      </c>
      <c r="G132" s="31" t="s">
        <v>36</v>
      </c>
      <c r="H132" s="29" t="s">
        <v>72</v>
      </c>
      <c r="I132" s="29" t="s">
        <v>722</v>
      </c>
      <c r="J132" s="80" t="s">
        <v>31</v>
      </c>
      <c r="K132" s="29"/>
      <c r="L132" s="306">
        <v>3300000</v>
      </c>
      <c r="M132" s="29"/>
      <c r="N132" s="29" t="s">
        <v>31</v>
      </c>
      <c r="O132" s="29"/>
      <c r="P132" s="29"/>
      <c r="Q132" s="29"/>
      <c r="R132" s="29"/>
      <c r="S132" s="304" t="s">
        <v>1646</v>
      </c>
      <c r="T132" s="36"/>
      <c r="U132" s="29"/>
      <c r="V132" s="29"/>
      <c r="W132" s="29"/>
      <c r="X132" s="170"/>
      <c r="Y132" s="207"/>
      <c r="Z132" s="27" t="s">
        <v>33</v>
      </c>
      <c r="AA132" s="27"/>
      <c r="AB132" s="27"/>
      <c r="AC132" s="27"/>
      <c r="AD132" s="27"/>
      <c r="AE132" s="27"/>
      <c r="AF132" s="27"/>
      <c r="AG132" s="27"/>
      <c r="AH132" s="27"/>
      <c r="AI132" s="27"/>
      <c r="AJ132" s="27"/>
      <c r="AK132" s="27"/>
      <c r="AL132" s="27"/>
      <c r="AM132" s="27"/>
      <c r="AN132" s="27"/>
      <c r="AO132" s="27"/>
      <c r="AP132" s="27"/>
      <c r="AQ132" s="27"/>
      <c r="AR132" s="27"/>
      <c r="AS132" s="27"/>
      <c r="AT132" s="27"/>
      <c r="AU132" s="27"/>
      <c r="AV132" s="27"/>
      <c r="AW132" s="27"/>
      <c r="AX132" s="27"/>
      <c r="AY132" s="27"/>
      <c r="AZ132" s="27"/>
      <c r="BA132" s="27"/>
      <c r="BB132" s="27"/>
      <c r="BC132" s="27"/>
      <c r="BD132" s="27"/>
      <c r="BE132" s="27"/>
      <c r="BF132" s="27"/>
      <c r="BG132" s="27"/>
      <c r="BH132" s="27"/>
      <c r="BI132" s="27"/>
      <c r="BJ132" s="27"/>
      <c r="BK132" s="27"/>
      <c r="BL132" s="27"/>
      <c r="BM132" s="27"/>
      <c r="BN132" s="27"/>
      <c r="BO132" s="27"/>
      <c r="BP132" s="27"/>
      <c r="BQ132" s="27"/>
      <c r="BR132" s="27"/>
      <c r="BS132" s="27"/>
      <c r="BT132" s="27"/>
      <c r="BU132" s="27"/>
      <c r="BV132" s="27"/>
      <c r="BW132" s="27"/>
      <c r="BX132" s="27"/>
      <c r="BY132" s="27"/>
      <c r="BZ132" s="27"/>
      <c r="CA132" s="27"/>
      <c r="CB132" s="27"/>
      <c r="CC132" s="27"/>
      <c r="CD132" s="27"/>
      <c r="CE132" s="27"/>
      <c r="CF132" s="27"/>
      <c r="CG132" s="27"/>
      <c r="CH132" s="27"/>
      <c r="CI132" s="27"/>
      <c r="CJ132" s="27"/>
      <c r="CK132" s="27"/>
      <c r="CL132" s="27"/>
      <c r="CM132" s="27"/>
      <c r="CN132" s="27"/>
      <c r="CO132" s="27"/>
      <c r="CP132" s="27"/>
      <c r="CQ132" s="27"/>
      <c r="CR132" s="27"/>
      <c r="CS132" s="27"/>
      <c r="CT132" s="27"/>
      <c r="CU132" s="27"/>
      <c r="CV132" s="27"/>
      <c r="CW132" s="27"/>
      <c r="CX132" s="27"/>
      <c r="CY132" s="27"/>
      <c r="CZ132" s="27"/>
      <c r="DA132" s="27"/>
      <c r="DB132" s="27"/>
      <c r="DC132" s="27"/>
      <c r="DD132" s="27"/>
      <c r="DE132" s="27"/>
      <c r="DF132" s="27"/>
      <c r="DG132" s="27"/>
      <c r="DH132" s="27"/>
      <c r="DI132" s="27"/>
      <c r="DJ132" s="27"/>
      <c r="DK132" s="27"/>
      <c r="DL132" s="27"/>
      <c r="DM132" s="27"/>
      <c r="DN132" s="27"/>
      <c r="DO132" s="27"/>
      <c r="DP132" s="27"/>
      <c r="DQ132" s="27"/>
      <c r="DR132" s="27"/>
      <c r="DS132" s="27"/>
      <c r="DT132" s="27"/>
      <c r="DU132" s="27"/>
      <c r="DV132" s="27"/>
      <c r="DW132" s="27"/>
      <c r="DX132" s="27"/>
      <c r="DY132" s="27"/>
      <c r="DZ132" s="27"/>
      <c r="EA132" s="27"/>
      <c r="EB132" s="27"/>
      <c r="EC132" s="27"/>
      <c r="ED132" s="27"/>
      <c r="EE132" s="27"/>
      <c r="EF132" s="27"/>
      <c r="EG132" s="27"/>
      <c r="EH132" s="27"/>
      <c r="EI132" s="27"/>
      <c r="EJ132" s="27"/>
      <c r="EK132" s="27"/>
      <c r="EL132" s="27"/>
      <c r="EM132" s="27"/>
      <c r="EN132" s="27"/>
      <c r="EO132" s="27"/>
      <c r="EP132" s="27"/>
    </row>
    <row r="133" spans="1:146" ht="45" customHeight="1">
      <c r="A133" s="228" t="s">
        <v>770</v>
      </c>
      <c r="B133" s="28"/>
      <c r="C133" s="302" t="s">
        <v>1798</v>
      </c>
      <c r="D133" s="29">
        <v>2003</v>
      </c>
      <c r="E133" s="29">
        <v>2003</v>
      </c>
      <c r="F133" s="29" t="s">
        <v>90</v>
      </c>
      <c r="G133" s="31" t="s">
        <v>47</v>
      </c>
      <c r="H133" s="86" t="s">
        <v>491</v>
      </c>
      <c r="I133" s="31" t="s">
        <v>168</v>
      </c>
      <c r="J133" s="29" t="s">
        <v>31</v>
      </c>
      <c r="K133" s="29"/>
      <c r="L133" s="306">
        <v>2091</v>
      </c>
      <c r="M133" s="80" t="s">
        <v>31</v>
      </c>
      <c r="N133" s="29"/>
      <c r="O133" s="29"/>
      <c r="P133" s="29"/>
      <c r="Q133" s="29"/>
      <c r="R133" s="29"/>
      <c r="S133" s="304" t="s">
        <v>771</v>
      </c>
      <c r="T133" s="29"/>
      <c r="U133" s="78"/>
      <c r="V133" s="78"/>
      <c r="W133" s="78"/>
      <c r="X133" s="171"/>
      <c r="Z133" s="27" t="s">
        <v>33</v>
      </c>
      <c r="AA133" s="27"/>
      <c r="AB133" s="27"/>
      <c r="AC133" s="27"/>
      <c r="AD133" s="27"/>
      <c r="AE133" s="27"/>
      <c r="AF133" s="27"/>
      <c r="AG133" s="27"/>
      <c r="AH133" s="27"/>
      <c r="AI133" s="27"/>
      <c r="AJ133" s="27"/>
      <c r="AK133" s="27"/>
      <c r="AL133" s="27"/>
      <c r="AM133" s="27"/>
      <c r="AN133" s="27"/>
      <c r="AO133" s="27"/>
      <c r="AP133" s="27"/>
      <c r="AQ133" s="27"/>
      <c r="AR133" s="27"/>
      <c r="AS133" s="27"/>
      <c r="AT133" s="27"/>
      <c r="AU133" s="27"/>
      <c r="AV133" s="27"/>
      <c r="AW133" s="27"/>
      <c r="AX133" s="27"/>
      <c r="AY133" s="27"/>
      <c r="AZ133" s="27"/>
      <c r="BA133" s="27"/>
      <c r="BB133" s="27"/>
      <c r="BC133" s="27"/>
      <c r="BD133" s="27"/>
      <c r="BE133" s="27"/>
      <c r="BF133" s="27"/>
      <c r="BG133" s="27"/>
      <c r="BH133" s="27"/>
      <c r="BI133" s="27"/>
      <c r="BJ133" s="27"/>
      <c r="BK133" s="27"/>
      <c r="BL133" s="27"/>
      <c r="BM133" s="27"/>
      <c r="BN133" s="27"/>
      <c r="BO133" s="27"/>
      <c r="BP133" s="27"/>
      <c r="BQ133" s="27"/>
      <c r="BR133" s="27"/>
      <c r="BS133" s="27"/>
      <c r="BT133" s="27"/>
      <c r="BU133" s="27"/>
      <c r="BV133" s="27"/>
      <c r="BW133" s="27"/>
      <c r="BX133" s="27"/>
      <c r="BY133" s="27"/>
      <c r="BZ133" s="27"/>
      <c r="CA133" s="27"/>
      <c r="CB133" s="27"/>
      <c r="CC133" s="27"/>
      <c r="CD133" s="27"/>
      <c r="CE133" s="27"/>
      <c r="CF133" s="27"/>
      <c r="CG133" s="27"/>
      <c r="CH133" s="27"/>
      <c r="CI133" s="27"/>
      <c r="CJ133" s="27"/>
      <c r="CK133" s="27"/>
      <c r="CL133" s="27"/>
      <c r="CM133" s="27"/>
      <c r="CN133" s="27"/>
      <c r="CO133" s="27"/>
      <c r="CP133" s="27"/>
      <c r="CQ133" s="27"/>
      <c r="CR133" s="27"/>
      <c r="CS133" s="27"/>
      <c r="CT133" s="27"/>
      <c r="CU133" s="27"/>
      <c r="CV133" s="27"/>
      <c r="CW133" s="27"/>
      <c r="CX133" s="27"/>
      <c r="CY133" s="27"/>
      <c r="CZ133" s="27"/>
      <c r="DA133" s="27"/>
      <c r="DB133" s="27"/>
      <c r="DC133" s="27"/>
      <c r="DD133" s="27"/>
      <c r="DE133" s="27"/>
      <c r="DF133" s="27"/>
      <c r="DG133" s="27"/>
      <c r="DH133" s="27"/>
      <c r="DI133" s="27"/>
      <c r="DJ133" s="27"/>
      <c r="DK133" s="27"/>
      <c r="DL133" s="27"/>
      <c r="DM133" s="27"/>
      <c r="DN133" s="27"/>
      <c r="DO133" s="27"/>
      <c r="DP133" s="27"/>
      <c r="DQ133" s="27"/>
      <c r="DR133" s="27"/>
      <c r="DS133" s="27"/>
      <c r="DT133" s="27"/>
      <c r="DU133" s="27"/>
      <c r="DV133" s="27"/>
      <c r="DW133" s="27"/>
      <c r="DX133" s="27"/>
      <c r="DY133" s="27"/>
      <c r="DZ133" s="27"/>
      <c r="EA133" s="27"/>
      <c r="EB133" s="27"/>
      <c r="EC133" s="27"/>
      <c r="ED133" s="27"/>
      <c r="EE133" s="27"/>
      <c r="EF133" s="27"/>
      <c r="EG133" s="27"/>
      <c r="EH133" s="27"/>
      <c r="EI133" s="27"/>
      <c r="EJ133" s="27"/>
      <c r="EK133" s="27"/>
      <c r="EL133" s="27"/>
      <c r="EM133" s="27"/>
      <c r="EN133" s="27"/>
      <c r="EO133" s="27"/>
      <c r="EP133" s="27"/>
    </row>
    <row r="134" spans="1:146" ht="45" customHeight="1">
      <c r="A134" s="47" t="s">
        <v>723</v>
      </c>
      <c r="B134" s="28"/>
      <c r="C134" s="55" t="s">
        <v>724</v>
      </c>
      <c r="D134" s="39">
        <v>2003</v>
      </c>
      <c r="E134" s="39">
        <v>2006</v>
      </c>
      <c r="F134" s="29" t="s">
        <v>458</v>
      </c>
      <c r="G134" s="57" t="s">
        <v>47</v>
      </c>
      <c r="H134" s="39" t="s">
        <v>459</v>
      </c>
      <c r="I134" s="39" t="s">
        <v>57</v>
      </c>
      <c r="J134" s="39" t="s">
        <v>539</v>
      </c>
      <c r="K134" s="39" t="s">
        <v>31</v>
      </c>
      <c r="L134" s="54">
        <v>1245000</v>
      </c>
      <c r="M134" s="39" t="s">
        <v>391</v>
      </c>
      <c r="N134" s="39"/>
      <c r="O134" s="39" t="s">
        <v>31</v>
      </c>
      <c r="P134" s="39"/>
      <c r="Q134" s="39"/>
      <c r="R134" s="39" t="s">
        <v>391</v>
      </c>
      <c r="S134" s="304" t="s">
        <v>725</v>
      </c>
      <c r="T134" s="29"/>
      <c r="U134" s="57" t="s">
        <v>726</v>
      </c>
      <c r="V134" s="57" t="s">
        <v>727</v>
      </c>
      <c r="W134" s="57" t="s">
        <v>728</v>
      </c>
      <c r="X134" s="195" t="s">
        <v>1830</v>
      </c>
      <c r="Y134" s="69" t="s">
        <v>729</v>
      </c>
      <c r="Z134" s="27" t="s">
        <v>33</v>
      </c>
      <c r="AA134" s="27"/>
      <c r="AB134" s="27"/>
      <c r="AC134" s="27"/>
      <c r="AD134" s="27"/>
      <c r="AE134" s="27"/>
      <c r="AF134" s="27"/>
      <c r="AG134" s="27"/>
      <c r="AH134" s="27"/>
      <c r="AI134" s="27"/>
      <c r="AJ134" s="27"/>
      <c r="AK134" s="27"/>
      <c r="AL134" s="27"/>
      <c r="AM134" s="27"/>
      <c r="AN134" s="27"/>
      <c r="AO134" s="27"/>
      <c r="AP134" s="27"/>
      <c r="AQ134" s="27"/>
      <c r="AR134" s="27"/>
      <c r="AS134" s="27"/>
      <c r="AT134" s="27"/>
      <c r="AU134" s="27"/>
      <c r="AV134" s="27"/>
      <c r="AW134" s="27"/>
      <c r="AX134" s="27"/>
      <c r="AY134" s="27"/>
      <c r="AZ134" s="27"/>
      <c r="BA134" s="27"/>
      <c r="BB134" s="27"/>
      <c r="BC134" s="27"/>
      <c r="BD134" s="27"/>
      <c r="BE134" s="27"/>
      <c r="BF134" s="27"/>
      <c r="BG134" s="27"/>
      <c r="BH134" s="27"/>
      <c r="BI134" s="27"/>
      <c r="BJ134" s="27"/>
      <c r="BK134" s="27"/>
      <c r="BL134" s="27"/>
      <c r="BM134" s="27"/>
      <c r="BN134" s="27"/>
      <c r="BO134" s="27"/>
      <c r="BP134" s="27"/>
      <c r="BQ134" s="27"/>
      <c r="BR134" s="27"/>
      <c r="BS134" s="27"/>
      <c r="BT134" s="27"/>
      <c r="BU134" s="27"/>
      <c r="BV134" s="27"/>
      <c r="BW134" s="27"/>
      <c r="BX134" s="27"/>
      <c r="BY134" s="27"/>
      <c r="BZ134" s="27"/>
      <c r="CA134" s="27"/>
      <c r="CB134" s="27"/>
      <c r="CC134" s="27"/>
      <c r="CD134" s="27"/>
      <c r="CE134" s="27"/>
      <c r="CF134" s="27"/>
      <c r="CG134" s="27"/>
      <c r="CH134" s="27"/>
      <c r="CI134" s="27"/>
      <c r="CJ134" s="27"/>
      <c r="CK134" s="27"/>
      <c r="CL134" s="27"/>
      <c r="CM134" s="27"/>
      <c r="CN134" s="27"/>
      <c r="CO134" s="27"/>
      <c r="CP134" s="27"/>
      <c r="CQ134" s="27"/>
      <c r="CR134" s="27"/>
      <c r="CS134" s="27"/>
      <c r="CT134" s="27"/>
      <c r="CU134" s="27"/>
      <c r="CV134" s="27"/>
      <c r="CW134" s="27"/>
      <c r="CX134" s="27"/>
      <c r="CY134" s="27"/>
      <c r="CZ134" s="27"/>
      <c r="DA134" s="27"/>
      <c r="DB134" s="27"/>
      <c r="DC134" s="27"/>
      <c r="DD134" s="27"/>
      <c r="DE134" s="27"/>
      <c r="DF134" s="27"/>
      <c r="DG134" s="27"/>
      <c r="DH134" s="27"/>
      <c r="DI134" s="27"/>
      <c r="DJ134" s="27"/>
      <c r="DK134" s="27"/>
      <c r="DL134" s="27"/>
      <c r="DM134" s="27"/>
      <c r="DN134" s="27"/>
      <c r="DO134" s="27"/>
      <c r="DP134" s="27"/>
      <c r="DQ134" s="27"/>
      <c r="DR134" s="27"/>
      <c r="DS134" s="27"/>
      <c r="DT134" s="27"/>
      <c r="DU134" s="27"/>
      <c r="DV134" s="27"/>
      <c r="DW134" s="27"/>
      <c r="DX134" s="27"/>
      <c r="DY134" s="27"/>
      <c r="DZ134" s="27"/>
      <c r="EA134" s="27"/>
      <c r="EB134" s="27"/>
      <c r="EC134" s="27"/>
      <c r="ED134" s="27"/>
      <c r="EE134" s="27"/>
      <c r="EF134" s="27"/>
      <c r="EG134" s="27"/>
      <c r="EH134" s="27"/>
      <c r="EI134" s="27"/>
      <c r="EJ134" s="27"/>
      <c r="EK134" s="27"/>
      <c r="EL134" s="27"/>
      <c r="EM134" s="27"/>
      <c r="EN134" s="27"/>
      <c r="EO134" s="27"/>
      <c r="EP134" s="27"/>
    </row>
    <row r="135" spans="1:146" ht="45" customHeight="1">
      <c r="A135" s="47" t="s">
        <v>757</v>
      </c>
      <c r="B135" s="28"/>
      <c r="C135" s="82"/>
      <c r="D135" s="29">
        <v>2003</v>
      </c>
      <c r="E135" s="29">
        <v>2004</v>
      </c>
      <c r="F135" s="29" t="s">
        <v>758</v>
      </c>
      <c r="G135" s="31" t="s">
        <v>677</v>
      </c>
      <c r="H135" s="87" t="s">
        <v>759</v>
      </c>
      <c r="I135" s="29" t="s">
        <v>57</v>
      </c>
      <c r="J135" s="31" t="s">
        <v>760</v>
      </c>
      <c r="K135" s="29" t="s">
        <v>31</v>
      </c>
      <c r="L135" s="83"/>
      <c r="M135" s="29"/>
      <c r="N135" s="29" t="s">
        <v>31</v>
      </c>
      <c r="O135" s="29"/>
      <c r="P135" s="29"/>
      <c r="Q135" s="29"/>
      <c r="R135" s="29"/>
      <c r="S135" s="304" t="s">
        <v>761</v>
      </c>
      <c r="T135" s="29"/>
      <c r="U135" s="31"/>
      <c r="V135" s="31"/>
      <c r="W135" s="31"/>
      <c r="X135" s="180" t="s">
        <v>762</v>
      </c>
      <c r="Y135" s="64" t="s">
        <v>763</v>
      </c>
      <c r="Z135" s="27" t="s">
        <v>33</v>
      </c>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c r="CV135" s="27"/>
      <c r="CW135" s="27"/>
      <c r="CX135" s="27"/>
      <c r="CY135" s="27"/>
      <c r="CZ135" s="27"/>
      <c r="DA135" s="27"/>
      <c r="DB135" s="27"/>
      <c r="DC135" s="27"/>
      <c r="DD135" s="27"/>
      <c r="DE135" s="27"/>
      <c r="DF135" s="27"/>
      <c r="DG135" s="27"/>
      <c r="DH135" s="27"/>
      <c r="DI135" s="27"/>
      <c r="DJ135" s="27"/>
      <c r="DK135" s="27"/>
      <c r="DL135" s="27"/>
      <c r="DM135" s="27"/>
      <c r="DN135" s="27"/>
      <c r="DO135" s="27"/>
      <c r="DP135" s="27"/>
      <c r="DQ135" s="27"/>
      <c r="DR135" s="27"/>
      <c r="DS135" s="27"/>
      <c r="DT135" s="27"/>
      <c r="DU135" s="27"/>
      <c r="DV135" s="27"/>
      <c r="DW135" s="27"/>
      <c r="DX135" s="27"/>
      <c r="DY135" s="27"/>
      <c r="DZ135" s="27"/>
      <c r="EA135" s="27"/>
      <c r="EB135" s="27"/>
      <c r="EC135" s="27"/>
      <c r="ED135" s="27"/>
      <c r="EE135" s="27"/>
      <c r="EF135" s="27"/>
      <c r="EG135" s="27"/>
      <c r="EH135" s="27"/>
      <c r="EI135" s="27"/>
      <c r="EJ135" s="27"/>
      <c r="EK135" s="27"/>
      <c r="EL135" s="27"/>
      <c r="EM135" s="27"/>
      <c r="EN135" s="27"/>
      <c r="EO135" s="27"/>
      <c r="EP135" s="27"/>
    </row>
    <row r="136" spans="1:146" ht="45" customHeight="1">
      <c r="A136" s="47" t="s">
        <v>789</v>
      </c>
      <c r="B136" s="28"/>
      <c r="C136" s="82"/>
      <c r="D136" s="29">
        <v>2004</v>
      </c>
      <c r="E136" s="29">
        <v>2009</v>
      </c>
      <c r="F136" s="29" t="s">
        <v>471</v>
      </c>
      <c r="G136" s="31" t="s">
        <v>226</v>
      </c>
      <c r="H136" s="29" t="s">
        <v>472</v>
      </c>
      <c r="I136" s="29" t="s">
        <v>57</v>
      </c>
      <c r="J136" s="29" t="s">
        <v>790</v>
      </c>
      <c r="K136" s="29" t="s">
        <v>31</v>
      </c>
      <c r="L136" s="32">
        <v>9000000</v>
      </c>
      <c r="M136" s="80" t="s">
        <v>31</v>
      </c>
      <c r="N136" s="29"/>
      <c r="O136" s="29"/>
      <c r="P136" s="80" t="s">
        <v>31</v>
      </c>
      <c r="Q136" s="29"/>
      <c r="R136" s="29"/>
      <c r="S136" s="358"/>
      <c r="T136" s="37"/>
      <c r="U136" s="31" t="s">
        <v>791</v>
      </c>
      <c r="V136" s="31" t="s">
        <v>792</v>
      </c>
      <c r="W136" s="31"/>
      <c r="X136" s="179"/>
      <c r="Y136" s="208"/>
      <c r="Z136" s="27" t="s">
        <v>33</v>
      </c>
      <c r="AA136" s="27"/>
      <c r="AB136" s="27"/>
      <c r="AC136" s="27"/>
      <c r="AD136" s="27"/>
      <c r="AE136" s="27"/>
      <c r="AF136" s="27"/>
      <c r="AG136" s="27"/>
      <c r="AH136" s="27"/>
      <c r="AI136" s="27"/>
      <c r="AJ136" s="27"/>
      <c r="AK136" s="27"/>
      <c r="AL136" s="27"/>
      <c r="AM136" s="27"/>
      <c r="AN136" s="27"/>
      <c r="AO136" s="27"/>
      <c r="AP136" s="27"/>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c r="BU136" s="27"/>
      <c r="BV136" s="27"/>
      <c r="BW136" s="27"/>
      <c r="BX136" s="27"/>
      <c r="BY136" s="27"/>
      <c r="BZ136" s="27"/>
      <c r="CA136" s="27"/>
      <c r="CB136" s="27"/>
      <c r="CC136" s="27"/>
      <c r="CD136" s="27"/>
      <c r="CE136" s="27"/>
      <c r="CF136" s="27"/>
      <c r="CG136" s="27"/>
      <c r="CH136" s="27"/>
      <c r="CI136" s="27"/>
      <c r="CJ136" s="27"/>
      <c r="CK136" s="27"/>
      <c r="CL136" s="27"/>
      <c r="CM136" s="27"/>
      <c r="CN136" s="27"/>
      <c r="CO136" s="27"/>
      <c r="CP136" s="27"/>
      <c r="CQ136" s="27"/>
      <c r="CR136" s="27"/>
      <c r="CS136" s="27"/>
      <c r="CT136" s="27"/>
      <c r="CU136" s="27"/>
      <c r="CV136" s="27"/>
      <c r="CW136" s="27"/>
      <c r="CX136" s="27"/>
      <c r="CY136" s="27"/>
      <c r="CZ136" s="27"/>
      <c r="DA136" s="27"/>
      <c r="DB136" s="27"/>
      <c r="DC136" s="27"/>
      <c r="DD136" s="27"/>
      <c r="DE136" s="27"/>
      <c r="DF136" s="27"/>
      <c r="DG136" s="27"/>
      <c r="DH136" s="27"/>
      <c r="DI136" s="27"/>
      <c r="DJ136" s="27"/>
      <c r="DK136" s="27"/>
      <c r="DL136" s="27"/>
      <c r="DM136" s="27"/>
      <c r="DN136" s="27"/>
      <c r="DO136" s="27"/>
      <c r="DP136" s="27"/>
      <c r="DQ136" s="27"/>
      <c r="DR136" s="27"/>
      <c r="DS136" s="27"/>
      <c r="DT136" s="27"/>
      <c r="DU136" s="27"/>
      <c r="DV136" s="27"/>
      <c r="DW136" s="27"/>
      <c r="DX136" s="27"/>
      <c r="DY136" s="27"/>
      <c r="DZ136" s="27"/>
      <c r="EA136" s="27"/>
      <c r="EB136" s="27"/>
      <c r="EC136" s="27"/>
      <c r="ED136" s="27"/>
      <c r="EE136" s="27"/>
      <c r="EF136" s="27"/>
      <c r="EG136" s="27"/>
      <c r="EH136" s="27"/>
      <c r="EI136" s="27"/>
      <c r="EJ136" s="27"/>
      <c r="EK136" s="27"/>
      <c r="EL136" s="27"/>
      <c r="EM136" s="27"/>
      <c r="EN136" s="27"/>
      <c r="EO136" s="27"/>
      <c r="EP136" s="27"/>
    </row>
    <row r="137" spans="1:146" s="50" customFormat="1" ht="45" customHeight="1">
      <c r="A137" s="46" t="s">
        <v>786</v>
      </c>
      <c r="B137" s="42"/>
      <c r="C137" s="29" t="s">
        <v>787</v>
      </c>
      <c r="D137" s="29">
        <v>2004</v>
      </c>
      <c r="E137" s="29">
        <v>2009</v>
      </c>
      <c r="F137" s="82"/>
      <c r="G137" s="31" t="s">
        <v>289</v>
      </c>
      <c r="H137" s="29" t="s">
        <v>290</v>
      </c>
      <c r="I137" s="80" t="s">
        <v>57</v>
      </c>
      <c r="J137" s="80" t="s">
        <v>559</v>
      </c>
      <c r="K137" s="29" t="s">
        <v>391</v>
      </c>
      <c r="L137" s="32">
        <v>61325</v>
      </c>
      <c r="M137" s="80"/>
      <c r="N137" s="29" t="s">
        <v>31</v>
      </c>
      <c r="O137" s="29"/>
      <c r="P137" s="29"/>
      <c r="Q137" s="29" t="s">
        <v>31</v>
      </c>
      <c r="R137" s="29"/>
      <c r="S137" s="304" t="s">
        <v>788</v>
      </c>
      <c r="T137" s="29"/>
      <c r="U137" s="29"/>
      <c r="V137" s="29"/>
      <c r="W137" s="29"/>
      <c r="X137" s="171"/>
      <c r="Y137" s="69"/>
      <c r="Z137" s="26" t="s">
        <v>33</v>
      </c>
    </row>
    <row r="138" spans="1:146" s="50" customFormat="1" ht="45" customHeight="1">
      <c r="A138" s="47" t="s">
        <v>778</v>
      </c>
      <c r="B138" s="42"/>
      <c r="C138" s="29" t="s">
        <v>779</v>
      </c>
      <c r="D138" s="29">
        <v>2004</v>
      </c>
      <c r="E138" s="29">
        <v>2009</v>
      </c>
      <c r="F138" s="29" t="s">
        <v>780</v>
      </c>
      <c r="G138" s="31" t="s">
        <v>36</v>
      </c>
      <c r="H138" s="29" t="s">
        <v>781</v>
      </c>
      <c r="I138" s="29" t="s">
        <v>722</v>
      </c>
      <c r="J138" s="80" t="s">
        <v>782</v>
      </c>
      <c r="K138" s="29" t="s">
        <v>31</v>
      </c>
      <c r="L138" s="88">
        <v>944301</v>
      </c>
      <c r="M138" s="29"/>
      <c r="N138" s="80" t="s">
        <v>31</v>
      </c>
      <c r="O138" s="29"/>
      <c r="P138" s="29"/>
      <c r="Q138" s="29"/>
      <c r="R138" s="29"/>
      <c r="S138" s="304" t="s">
        <v>783</v>
      </c>
      <c r="T138" s="29"/>
      <c r="U138" s="31" t="s">
        <v>784</v>
      </c>
      <c r="V138" s="29" t="s">
        <v>785</v>
      </c>
      <c r="W138" s="29" t="s">
        <v>33</v>
      </c>
      <c r="X138" s="171"/>
      <c r="Y138" s="64"/>
      <c r="Z138" s="221" t="s">
        <v>33</v>
      </c>
    </row>
    <row r="139" spans="1:146" s="50" customFormat="1" ht="45" customHeight="1">
      <c r="A139" s="47" t="s">
        <v>793</v>
      </c>
      <c r="B139" s="28"/>
      <c r="C139" s="29" t="s">
        <v>794</v>
      </c>
      <c r="D139" s="29">
        <v>2004</v>
      </c>
      <c r="E139" s="29">
        <v>2005</v>
      </c>
      <c r="F139" s="29" t="s">
        <v>46</v>
      </c>
      <c r="G139" s="31" t="s">
        <v>36</v>
      </c>
      <c r="H139" s="87" t="s">
        <v>48</v>
      </c>
      <c r="I139" s="29" t="s">
        <v>57</v>
      </c>
      <c r="J139" s="29" t="s">
        <v>31</v>
      </c>
      <c r="K139" s="29"/>
      <c r="L139" s="54">
        <v>3699965</v>
      </c>
      <c r="M139" s="29"/>
      <c r="N139" s="29" t="s">
        <v>31</v>
      </c>
      <c r="O139" s="29"/>
      <c r="P139" s="29"/>
      <c r="Q139" s="29"/>
      <c r="R139" s="29"/>
      <c r="S139" s="304" t="s">
        <v>795</v>
      </c>
      <c r="T139" s="36"/>
      <c r="U139" s="31" t="s">
        <v>796</v>
      </c>
      <c r="V139" s="29" t="s">
        <v>797</v>
      </c>
      <c r="W139" s="29" t="s">
        <v>798</v>
      </c>
      <c r="X139" s="184" t="s">
        <v>1831</v>
      </c>
      <c r="Y139" s="69" t="s">
        <v>800</v>
      </c>
      <c r="Z139" s="26" t="s">
        <v>33</v>
      </c>
    </row>
    <row r="140" spans="1:146" s="50" customFormat="1" ht="45" customHeight="1">
      <c r="A140" s="47" t="s">
        <v>801</v>
      </c>
      <c r="B140" s="28"/>
      <c r="C140" s="82"/>
      <c r="D140" s="29">
        <v>2004</v>
      </c>
      <c r="E140" s="29">
        <v>2006</v>
      </c>
      <c r="F140" s="29" t="s">
        <v>512</v>
      </c>
      <c r="G140" s="31" t="s">
        <v>36</v>
      </c>
      <c r="H140" s="87" t="s">
        <v>56</v>
      </c>
      <c r="I140" s="29" t="s">
        <v>57</v>
      </c>
      <c r="J140" s="57" t="s">
        <v>802</v>
      </c>
      <c r="K140" s="29" t="s">
        <v>31</v>
      </c>
      <c r="L140" s="83"/>
      <c r="M140" s="29"/>
      <c r="N140" s="29"/>
      <c r="O140" s="29"/>
      <c r="P140" s="29"/>
      <c r="Q140" s="80" t="s">
        <v>31</v>
      </c>
      <c r="R140" s="29" t="s">
        <v>31</v>
      </c>
      <c r="S140" s="304" t="s">
        <v>803</v>
      </c>
      <c r="T140" s="29"/>
      <c r="U140" s="31"/>
      <c r="V140" s="31"/>
      <c r="W140" s="31"/>
      <c r="X140" s="171"/>
      <c r="Y140" s="69"/>
      <c r="Z140" s="26" t="s">
        <v>33</v>
      </c>
    </row>
    <row r="141" spans="1:146" s="50" customFormat="1" ht="45" customHeight="1">
      <c r="A141" s="47" t="s">
        <v>804</v>
      </c>
      <c r="B141" s="28"/>
      <c r="C141" s="302" t="s">
        <v>1799</v>
      </c>
      <c r="D141" s="29">
        <v>2004</v>
      </c>
      <c r="E141" s="29">
        <v>2004</v>
      </c>
      <c r="F141" s="29" t="s">
        <v>90</v>
      </c>
      <c r="G141" s="31" t="s">
        <v>47</v>
      </c>
      <c r="H141" s="87" t="s">
        <v>491</v>
      </c>
      <c r="I141" s="31" t="s">
        <v>168</v>
      </c>
      <c r="J141" s="29" t="s">
        <v>31</v>
      </c>
      <c r="K141" s="29"/>
      <c r="L141" s="306">
        <v>39651</v>
      </c>
      <c r="M141" s="80" t="s">
        <v>31</v>
      </c>
      <c r="N141" s="29"/>
      <c r="O141" s="29"/>
      <c r="P141" s="29"/>
      <c r="Q141" s="29"/>
      <c r="R141" s="80" t="s">
        <v>31</v>
      </c>
      <c r="S141" s="304" t="s">
        <v>805</v>
      </c>
      <c r="T141" s="93" t="s">
        <v>23</v>
      </c>
      <c r="U141" s="31"/>
      <c r="V141" s="31"/>
      <c r="W141" s="31"/>
      <c r="X141" s="181" t="s">
        <v>1832</v>
      </c>
      <c r="Y141" s="198" t="s">
        <v>806</v>
      </c>
      <c r="Z141" s="26" t="s">
        <v>33</v>
      </c>
    </row>
    <row r="142" spans="1:146" s="50" customFormat="1" ht="45" customHeight="1">
      <c r="A142" s="47" t="s">
        <v>838</v>
      </c>
      <c r="B142" s="332" t="s">
        <v>1782</v>
      </c>
      <c r="C142" s="302" t="s">
        <v>1644</v>
      </c>
      <c r="D142" s="87">
        <v>2005</v>
      </c>
      <c r="E142" s="87">
        <v>2009</v>
      </c>
      <c r="F142" s="87" t="s">
        <v>658</v>
      </c>
      <c r="G142" s="99" t="s">
        <v>254</v>
      </c>
      <c r="H142" s="87" t="s">
        <v>659</v>
      </c>
      <c r="I142" s="87" t="s">
        <v>57</v>
      </c>
      <c r="J142" s="87" t="s">
        <v>619</v>
      </c>
      <c r="K142" s="87" t="s">
        <v>391</v>
      </c>
      <c r="L142" s="88">
        <v>94766</v>
      </c>
      <c r="M142" s="87"/>
      <c r="N142" s="87"/>
      <c r="O142" s="87" t="s">
        <v>31</v>
      </c>
      <c r="P142" s="87"/>
      <c r="Q142" s="87"/>
      <c r="R142" s="87" t="s">
        <v>31</v>
      </c>
      <c r="S142" s="352" t="s">
        <v>839</v>
      </c>
      <c r="T142" s="87"/>
      <c r="U142" s="30"/>
      <c r="V142" s="30"/>
      <c r="W142" s="30"/>
      <c r="X142" s="180" t="s">
        <v>840</v>
      </c>
      <c r="Y142" s="69" t="s">
        <v>841</v>
      </c>
      <c r="Z142" s="26" t="s">
        <v>33</v>
      </c>
    </row>
    <row r="143" spans="1:146" s="50" customFormat="1" ht="45" customHeight="1">
      <c r="A143" s="154" t="s">
        <v>1712</v>
      </c>
      <c r="B143" s="47"/>
      <c r="C143" s="82"/>
      <c r="D143" s="87">
        <v>2005</v>
      </c>
      <c r="E143" s="87">
        <v>2006</v>
      </c>
      <c r="F143" s="87" t="s">
        <v>399</v>
      </c>
      <c r="G143" s="99" t="s">
        <v>271</v>
      </c>
      <c r="H143" s="87" t="s">
        <v>400</v>
      </c>
      <c r="I143" s="99" t="s">
        <v>695</v>
      </c>
      <c r="J143" s="108" t="s">
        <v>696</v>
      </c>
      <c r="K143" s="87" t="s">
        <v>31</v>
      </c>
      <c r="L143" s="223">
        <v>374000</v>
      </c>
      <c r="M143" s="86" t="s">
        <v>31</v>
      </c>
      <c r="N143" s="87"/>
      <c r="O143" s="87"/>
      <c r="P143" s="87"/>
      <c r="Q143" s="87"/>
      <c r="R143" s="87" t="s">
        <v>31</v>
      </c>
      <c r="S143" s="352" t="s">
        <v>836</v>
      </c>
      <c r="T143" s="87"/>
      <c r="U143" s="49"/>
      <c r="V143" s="49"/>
      <c r="W143" s="49"/>
      <c r="X143" s="195" t="s">
        <v>837</v>
      </c>
      <c r="Y143" s="69" t="s">
        <v>835</v>
      </c>
      <c r="Z143" s="26" t="s">
        <v>33</v>
      </c>
      <c r="AA143" s="51"/>
      <c r="AB143" s="51"/>
      <c r="AC143" s="51"/>
      <c r="AD143" s="51"/>
      <c r="AE143" s="51"/>
      <c r="AF143" s="51"/>
      <c r="AG143" s="51"/>
      <c r="AH143" s="51"/>
      <c r="AI143" s="51"/>
      <c r="AJ143" s="51"/>
      <c r="AK143" s="51"/>
      <c r="AL143" s="51"/>
      <c r="AM143" s="51"/>
      <c r="AN143" s="51"/>
      <c r="AO143" s="51"/>
      <c r="AP143" s="51"/>
      <c r="AQ143" s="51"/>
      <c r="AR143" s="51"/>
      <c r="AS143" s="51"/>
      <c r="AT143" s="51"/>
      <c r="AU143" s="51"/>
      <c r="AV143" s="51"/>
      <c r="AW143" s="51"/>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s="51"/>
      <c r="CE143" s="51"/>
      <c r="CF143" s="51"/>
      <c r="CG143" s="51"/>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51"/>
      <c r="DN143" s="51"/>
      <c r="DO143" s="51"/>
      <c r="DP143" s="51"/>
      <c r="DQ143" s="51"/>
      <c r="DR143" s="51"/>
      <c r="DS143" s="51"/>
      <c r="DT143" s="51"/>
      <c r="DU143" s="51"/>
      <c r="DV143" s="51"/>
      <c r="DW143" s="51"/>
      <c r="DX143" s="51"/>
      <c r="DY143" s="51"/>
      <c r="DZ143" s="51"/>
      <c r="EA143" s="51"/>
      <c r="EB143" s="51"/>
      <c r="EC143" s="51"/>
      <c r="ED143" s="51"/>
      <c r="EE143" s="51"/>
      <c r="EF143" s="51"/>
      <c r="EG143" s="51"/>
      <c r="EH143" s="51"/>
      <c r="EI143" s="51"/>
      <c r="EJ143" s="51"/>
      <c r="EK143" s="51"/>
      <c r="EL143" s="51"/>
      <c r="EM143" s="51"/>
      <c r="EN143" s="51"/>
      <c r="EO143" s="51"/>
      <c r="EP143" s="51"/>
    </row>
    <row r="144" spans="1:146" s="50" customFormat="1" ht="45" customHeight="1">
      <c r="A144" s="47" t="s">
        <v>807</v>
      </c>
      <c r="B144" s="28"/>
      <c r="C144" s="99" t="s">
        <v>296</v>
      </c>
      <c r="D144" s="29">
        <v>2005</v>
      </c>
      <c r="E144" s="29">
        <v>2005</v>
      </c>
      <c r="F144" s="29" t="s">
        <v>731</v>
      </c>
      <c r="G144" s="31" t="s">
        <v>271</v>
      </c>
      <c r="H144" s="87" t="s">
        <v>732</v>
      </c>
      <c r="I144" s="29" t="s">
        <v>808</v>
      </c>
      <c r="J144" s="29" t="s">
        <v>31</v>
      </c>
      <c r="K144" s="29"/>
      <c r="L144" s="83"/>
      <c r="M144" s="80" t="s">
        <v>31</v>
      </c>
      <c r="N144" s="29" t="s">
        <v>31</v>
      </c>
      <c r="O144" s="29"/>
      <c r="P144" s="29"/>
      <c r="Q144" s="29"/>
      <c r="R144" s="29"/>
      <c r="S144" s="304" t="s">
        <v>809</v>
      </c>
      <c r="T144" s="29"/>
      <c r="U144" s="29"/>
      <c r="V144" s="29"/>
      <c r="W144" s="29"/>
      <c r="X144" s="177" t="s">
        <v>810</v>
      </c>
      <c r="Y144" s="69" t="s">
        <v>811</v>
      </c>
      <c r="Z144" s="26" t="s">
        <v>33</v>
      </c>
      <c r="AA144" s="51"/>
      <c r="AB144" s="51"/>
      <c r="AC144" s="51"/>
      <c r="AD144" s="51"/>
      <c r="AE144" s="51"/>
      <c r="AF144" s="51"/>
      <c r="AG144" s="51"/>
      <c r="AH144" s="51"/>
      <c r="AI144" s="51"/>
      <c r="AJ144" s="51"/>
      <c r="AK144" s="51"/>
      <c r="AL144" s="51"/>
      <c r="AM144" s="51"/>
      <c r="AN144" s="51"/>
      <c r="AO144" s="51"/>
      <c r="AP144" s="51"/>
      <c r="AQ144" s="51"/>
      <c r="AR144" s="51"/>
      <c r="AS144" s="51"/>
      <c r="AT144" s="51"/>
      <c r="AU144" s="51"/>
      <c r="AV144" s="51"/>
      <c r="AW144" s="51"/>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s="51"/>
      <c r="CE144" s="51"/>
      <c r="CF144" s="51"/>
      <c r="CG144" s="51"/>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51"/>
      <c r="DN144" s="51"/>
      <c r="DO144" s="51"/>
      <c r="DP144" s="51"/>
      <c r="DQ144" s="51"/>
      <c r="DR144" s="51"/>
      <c r="DS144" s="51"/>
      <c r="DT144" s="51"/>
      <c r="DU144" s="51"/>
      <c r="DV144" s="51"/>
      <c r="DW144" s="51"/>
      <c r="DX144" s="51"/>
      <c r="DY144" s="51"/>
      <c r="DZ144" s="51"/>
      <c r="EA144" s="51"/>
      <c r="EB144" s="51"/>
      <c r="EC144" s="51"/>
      <c r="ED144" s="51"/>
      <c r="EE144" s="51"/>
      <c r="EF144" s="51"/>
      <c r="EG144" s="51"/>
      <c r="EH144" s="51"/>
      <c r="EI144" s="51"/>
      <c r="EJ144" s="51"/>
      <c r="EK144" s="51"/>
      <c r="EL144" s="51"/>
      <c r="EM144" s="51"/>
      <c r="EN144" s="51"/>
      <c r="EO144" s="51"/>
      <c r="EP144" s="51"/>
    </row>
    <row r="145" spans="1:146" s="50" customFormat="1" ht="45" customHeight="1">
      <c r="A145" s="110" t="s">
        <v>819</v>
      </c>
      <c r="B145" s="59"/>
      <c r="C145" s="29" t="s">
        <v>717</v>
      </c>
      <c r="D145" s="29">
        <v>2005</v>
      </c>
      <c r="E145" s="29">
        <v>2005</v>
      </c>
      <c r="F145" s="29" t="s">
        <v>567</v>
      </c>
      <c r="G145" s="31" t="s">
        <v>200</v>
      </c>
      <c r="H145" s="87" t="s">
        <v>568</v>
      </c>
      <c r="I145" s="29" t="s">
        <v>57</v>
      </c>
      <c r="J145" s="29" t="s">
        <v>31</v>
      </c>
      <c r="K145" s="29"/>
      <c r="L145" s="83"/>
      <c r="M145" s="80" t="s">
        <v>31</v>
      </c>
      <c r="N145" s="29" t="s">
        <v>31</v>
      </c>
      <c r="O145" s="29"/>
      <c r="P145" s="29"/>
      <c r="Q145" s="29"/>
      <c r="R145" s="29"/>
      <c r="S145" s="354"/>
      <c r="T145" s="93" t="s">
        <v>23</v>
      </c>
      <c r="U145" s="31"/>
      <c r="V145" s="29"/>
      <c r="W145" s="29"/>
      <c r="X145" s="171"/>
      <c r="Y145" s="64"/>
      <c r="Z145" s="26" t="s">
        <v>33</v>
      </c>
    </row>
    <row r="146" spans="1:146" s="298" customFormat="1" ht="45" customHeight="1">
      <c r="A146" s="320" t="s">
        <v>1777</v>
      </c>
      <c r="B146" s="293"/>
      <c r="C146" s="294">
        <v>7133557</v>
      </c>
      <c r="D146" s="294">
        <v>2005</v>
      </c>
      <c r="E146" s="294">
        <v>2005</v>
      </c>
      <c r="F146" s="294"/>
      <c r="G146" s="332" t="s">
        <v>290</v>
      </c>
      <c r="H146" s="344" t="s">
        <v>290</v>
      </c>
      <c r="I146" s="332" t="s">
        <v>30</v>
      </c>
      <c r="J146" s="300" t="s">
        <v>31</v>
      </c>
      <c r="K146" s="294"/>
      <c r="L146" s="306">
        <v>3625</v>
      </c>
      <c r="M146" s="300" t="s">
        <v>31</v>
      </c>
      <c r="N146" s="294"/>
      <c r="O146" s="294"/>
      <c r="P146" s="294"/>
      <c r="Q146" s="294"/>
      <c r="R146" s="294"/>
      <c r="S146" s="354"/>
      <c r="T146" s="307"/>
      <c r="U146" s="294"/>
      <c r="V146" s="294"/>
      <c r="W146" s="294"/>
      <c r="X146" s="324"/>
      <c r="Y146" s="299"/>
      <c r="Z146" s="292"/>
    </row>
    <row r="147" spans="1:146" s="50" customFormat="1" ht="45" customHeight="1">
      <c r="A147" s="47" t="s">
        <v>846</v>
      </c>
      <c r="B147" s="28"/>
      <c r="C147" s="82"/>
      <c r="D147" s="29">
        <v>2005</v>
      </c>
      <c r="E147" s="29">
        <v>2006</v>
      </c>
      <c r="F147" s="29" t="s">
        <v>847</v>
      </c>
      <c r="G147" s="31" t="s">
        <v>200</v>
      </c>
      <c r="H147" s="87" t="s">
        <v>848</v>
      </c>
      <c r="I147" s="82"/>
      <c r="J147" s="29" t="s">
        <v>849</v>
      </c>
      <c r="K147" s="29" t="s">
        <v>31</v>
      </c>
      <c r="L147" s="32">
        <v>199204.43</v>
      </c>
      <c r="M147" s="29"/>
      <c r="N147" s="29"/>
      <c r="O147" s="29"/>
      <c r="P147" s="80" t="s">
        <v>31</v>
      </c>
      <c r="Q147" s="29"/>
      <c r="R147" s="29"/>
      <c r="S147" s="304" t="s">
        <v>850</v>
      </c>
      <c r="T147" s="29"/>
      <c r="U147" s="31" t="s">
        <v>851</v>
      </c>
      <c r="V147" s="29" t="s">
        <v>852</v>
      </c>
      <c r="W147" s="29" t="s">
        <v>853</v>
      </c>
      <c r="X147" s="171"/>
      <c r="Y147" s="69"/>
      <c r="Z147" s="26" t="s">
        <v>33</v>
      </c>
    </row>
    <row r="148" spans="1:146" s="50" customFormat="1" ht="45" customHeight="1">
      <c r="A148" s="215" t="s">
        <v>812</v>
      </c>
      <c r="B148" s="43"/>
      <c r="C148" s="60" t="s">
        <v>813</v>
      </c>
      <c r="D148" s="52">
        <v>2005</v>
      </c>
      <c r="E148" s="52">
        <v>2006</v>
      </c>
      <c r="F148" s="52" t="s">
        <v>814</v>
      </c>
      <c r="G148" s="31" t="s">
        <v>226</v>
      </c>
      <c r="H148" s="222" t="s">
        <v>815</v>
      </c>
      <c r="I148" s="52" t="s">
        <v>57</v>
      </c>
      <c r="J148" s="52" t="s">
        <v>816</v>
      </c>
      <c r="K148" s="52" t="s">
        <v>31</v>
      </c>
      <c r="L148" s="254"/>
      <c r="M148" s="52" t="s">
        <v>31</v>
      </c>
      <c r="N148" s="52"/>
      <c r="O148" s="52"/>
      <c r="P148" s="253" t="s">
        <v>31</v>
      </c>
      <c r="Q148" s="52"/>
      <c r="R148" s="52"/>
      <c r="S148" s="351" t="s">
        <v>817</v>
      </c>
      <c r="T148" s="97" t="s">
        <v>23</v>
      </c>
      <c r="U148" s="52"/>
      <c r="V148" s="52"/>
      <c r="W148" s="52"/>
      <c r="X148" s="188"/>
      <c r="Y148" s="64"/>
      <c r="Z148" s="26" t="s">
        <v>33</v>
      </c>
    </row>
    <row r="149" spans="1:146" ht="45" customHeight="1">
      <c r="A149" s="47" t="s">
        <v>818</v>
      </c>
      <c r="B149" s="47"/>
      <c r="C149" s="82"/>
      <c r="D149" s="29">
        <v>2005</v>
      </c>
      <c r="E149" s="29">
        <v>2008</v>
      </c>
      <c r="F149" s="29" t="s">
        <v>633</v>
      </c>
      <c r="G149" s="31" t="s">
        <v>226</v>
      </c>
      <c r="H149" s="87" t="s">
        <v>634</v>
      </c>
      <c r="I149" s="29" t="s">
        <v>57</v>
      </c>
      <c r="J149" s="29" t="s">
        <v>31</v>
      </c>
      <c r="K149" s="29"/>
      <c r="L149" s="83"/>
      <c r="M149" s="29" t="s">
        <v>31</v>
      </c>
      <c r="N149" s="29"/>
      <c r="O149" s="29"/>
      <c r="P149" s="80" t="s">
        <v>31</v>
      </c>
      <c r="Q149" s="29"/>
      <c r="R149" s="29"/>
      <c r="S149" s="349"/>
      <c r="T149" s="36"/>
      <c r="U149" s="31"/>
      <c r="V149" s="29"/>
      <c r="W149" s="29"/>
      <c r="X149" s="171"/>
      <c r="Y149" s="64"/>
      <c r="Z149" s="26" t="s">
        <v>33</v>
      </c>
      <c r="AA149" s="27"/>
      <c r="AB149" s="27"/>
      <c r="AC149" s="27"/>
      <c r="AD149" s="27"/>
      <c r="AE149" s="27"/>
      <c r="AF149" s="27"/>
      <c r="AG149" s="27"/>
      <c r="AH149" s="27"/>
      <c r="AI149" s="27"/>
      <c r="AJ149" s="27"/>
      <c r="AK149" s="27"/>
      <c r="AL149" s="27"/>
      <c r="AM149" s="27"/>
      <c r="AN149" s="27"/>
      <c r="AO149" s="27"/>
      <c r="AP149" s="27"/>
      <c r="AQ149" s="27"/>
      <c r="AR149" s="27"/>
      <c r="AS149" s="27"/>
      <c r="AT149" s="27"/>
      <c r="AU149" s="27"/>
      <c r="AV149" s="27"/>
      <c r="AW149" s="27"/>
      <c r="AX149" s="27"/>
      <c r="AY149" s="27"/>
      <c r="AZ149" s="27"/>
      <c r="BA149" s="27"/>
      <c r="BB149" s="27"/>
      <c r="BC149" s="27"/>
      <c r="BD149" s="27"/>
      <c r="BE149" s="27"/>
      <c r="BF149" s="27"/>
      <c r="BG149" s="27"/>
      <c r="BH149" s="27"/>
      <c r="BI149" s="27"/>
      <c r="BJ149" s="27"/>
      <c r="BK149" s="27"/>
      <c r="BL149" s="27"/>
      <c r="BM149" s="27"/>
      <c r="BN149" s="27"/>
      <c r="BO149" s="27"/>
      <c r="BP149" s="27"/>
      <c r="BQ149" s="27"/>
      <c r="BR149" s="27"/>
      <c r="BS149" s="27"/>
      <c r="BT149" s="27"/>
      <c r="BU149" s="27"/>
      <c r="BV149" s="27"/>
      <c r="BW149" s="27"/>
      <c r="BX149" s="27"/>
      <c r="BY149" s="27"/>
      <c r="BZ149" s="27"/>
      <c r="CA149" s="27"/>
      <c r="CB149" s="27"/>
      <c r="CC149" s="27"/>
      <c r="CD149" s="27"/>
      <c r="CE149" s="27"/>
      <c r="CF149" s="27"/>
      <c r="CG149" s="27"/>
      <c r="CH149" s="27"/>
      <c r="CI149" s="27"/>
      <c r="CJ149" s="27"/>
      <c r="CK149" s="27"/>
      <c r="CL149" s="27"/>
      <c r="CM149" s="27"/>
      <c r="CN149" s="27"/>
      <c r="CO149" s="27"/>
      <c r="CP149" s="27"/>
      <c r="CQ149" s="27"/>
      <c r="CR149" s="27"/>
      <c r="CS149" s="27"/>
      <c r="CT149" s="27"/>
      <c r="CU149" s="27"/>
      <c r="CV149" s="27"/>
      <c r="CW149" s="27"/>
      <c r="CX149" s="27"/>
      <c r="CY149" s="27"/>
      <c r="CZ149" s="27"/>
      <c r="DA149" s="27"/>
      <c r="DB149" s="27"/>
      <c r="DC149" s="27"/>
      <c r="DD149" s="27"/>
      <c r="DE149" s="27"/>
      <c r="DF149" s="27"/>
      <c r="DG149" s="27"/>
      <c r="DH149" s="27"/>
      <c r="DI149" s="27"/>
      <c r="DJ149" s="27"/>
      <c r="DK149" s="27"/>
      <c r="DL149" s="27"/>
      <c r="DM149" s="27"/>
      <c r="DN149" s="27"/>
      <c r="DO149" s="27"/>
      <c r="DP149" s="27"/>
      <c r="DQ149" s="27"/>
      <c r="DR149" s="27"/>
      <c r="DS149" s="27"/>
      <c r="DT149" s="27"/>
      <c r="DU149" s="27"/>
      <c r="DV149" s="27"/>
      <c r="DW149" s="27"/>
      <c r="DX149" s="27"/>
      <c r="DY149" s="27"/>
      <c r="DZ149" s="27"/>
      <c r="EA149" s="27"/>
      <c r="EB149" s="27"/>
      <c r="EC149" s="27"/>
      <c r="ED149" s="27"/>
      <c r="EE149" s="27"/>
      <c r="EF149" s="27"/>
      <c r="EG149" s="27"/>
      <c r="EH149" s="27"/>
      <c r="EI149" s="27"/>
      <c r="EJ149" s="27"/>
      <c r="EK149" s="27"/>
      <c r="EL149" s="27"/>
      <c r="EM149" s="27"/>
      <c r="EN149" s="27"/>
      <c r="EO149" s="27"/>
      <c r="EP149" s="27"/>
    </row>
    <row r="150" spans="1:146" ht="45" customHeight="1">
      <c r="A150" s="47" t="s">
        <v>822</v>
      </c>
      <c r="B150" s="28"/>
      <c r="C150" s="82">
        <v>7132342</v>
      </c>
      <c r="D150" s="29">
        <v>2005</v>
      </c>
      <c r="E150" s="29">
        <v>2005</v>
      </c>
      <c r="F150" s="29" t="s">
        <v>823</v>
      </c>
      <c r="G150" s="31" t="s">
        <v>226</v>
      </c>
      <c r="H150" s="87" t="s">
        <v>824</v>
      </c>
      <c r="I150" s="29" t="s">
        <v>104</v>
      </c>
      <c r="J150" s="29" t="s">
        <v>31</v>
      </c>
      <c r="K150" s="29"/>
      <c r="L150" s="334">
        <v>27500</v>
      </c>
      <c r="M150" s="29"/>
      <c r="N150" s="29"/>
      <c r="O150" s="29"/>
      <c r="P150" s="29"/>
      <c r="Q150" s="29"/>
      <c r="R150" s="29" t="s">
        <v>31</v>
      </c>
      <c r="S150" s="304" t="s">
        <v>825</v>
      </c>
      <c r="T150" s="36"/>
      <c r="U150" s="31"/>
      <c r="V150" s="31"/>
      <c r="W150" s="31"/>
      <c r="X150" s="167" t="s">
        <v>826</v>
      </c>
      <c r="Y150" s="64" t="s">
        <v>827</v>
      </c>
      <c r="Z150" s="26" t="s">
        <v>33</v>
      </c>
      <c r="AA150" s="27"/>
      <c r="AB150" s="27"/>
      <c r="AC150" s="27"/>
      <c r="AD150" s="27"/>
      <c r="AE150" s="27"/>
      <c r="AF150" s="27"/>
      <c r="AG150" s="27"/>
      <c r="AH150" s="27"/>
      <c r="AI150" s="27"/>
      <c r="AJ150" s="27"/>
      <c r="AK150" s="27"/>
      <c r="AL150" s="27"/>
      <c r="AM150" s="27"/>
      <c r="AN150" s="27"/>
      <c r="AO150" s="27"/>
      <c r="AP150" s="27"/>
      <c r="AQ150" s="27"/>
      <c r="AR150" s="27"/>
      <c r="AS150" s="27"/>
      <c r="AT150" s="27"/>
      <c r="AU150" s="27"/>
      <c r="AV150" s="27"/>
      <c r="AW150" s="27"/>
      <c r="AX150" s="27"/>
      <c r="AY150" s="27"/>
      <c r="AZ150" s="27"/>
      <c r="BA150" s="27"/>
      <c r="BB150" s="27"/>
      <c r="BC150" s="27"/>
      <c r="BD150" s="27"/>
      <c r="BE150" s="27"/>
      <c r="BF150" s="27"/>
      <c r="BG150" s="27"/>
      <c r="BH150" s="27"/>
      <c r="BI150" s="27"/>
      <c r="BJ150" s="27"/>
      <c r="BK150" s="27"/>
      <c r="BL150" s="27"/>
      <c r="BM150" s="27"/>
      <c r="BN150" s="27"/>
      <c r="BO150" s="27"/>
      <c r="BP150" s="27"/>
      <c r="BQ150" s="27"/>
      <c r="BR150" s="27"/>
      <c r="BS150" s="27"/>
      <c r="BT150" s="27"/>
      <c r="BU150" s="27"/>
      <c r="BV150" s="27"/>
      <c r="BW150" s="27"/>
      <c r="BX150" s="27"/>
      <c r="BY150" s="27"/>
      <c r="BZ150" s="27"/>
      <c r="CA150" s="27"/>
      <c r="CB150" s="27"/>
      <c r="CC150" s="27"/>
      <c r="CD150" s="27"/>
      <c r="CE150" s="27"/>
      <c r="CF150" s="27"/>
      <c r="CG150" s="27"/>
      <c r="CH150" s="27"/>
      <c r="CI150" s="27"/>
      <c r="CJ150" s="27"/>
      <c r="CK150" s="27"/>
      <c r="CL150" s="27"/>
      <c r="CM150" s="27"/>
      <c r="CN150" s="27"/>
      <c r="CO150" s="27"/>
      <c r="CP150" s="27"/>
      <c r="CQ150" s="27"/>
      <c r="CR150" s="27"/>
      <c r="CS150" s="27"/>
      <c r="CT150" s="27"/>
      <c r="CU150" s="27"/>
      <c r="CV150" s="27"/>
      <c r="CW150" s="27"/>
      <c r="CX150" s="27"/>
      <c r="CY150" s="27"/>
      <c r="CZ150" s="27"/>
      <c r="DA150" s="27"/>
      <c r="DB150" s="27"/>
      <c r="DC150" s="27"/>
      <c r="DD150" s="27"/>
      <c r="DE150" s="27"/>
      <c r="DF150" s="27"/>
      <c r="DG150" s="27"/>
      <c r="DH150" s="27"/>
      <c r="DI150" s="27"/>
      <c r="DJ150" s="27"/>
      <c r="DK150" s="27"/>
      <c r="DL150" s="27"/>
      <c r="DM150" s="27"/>
      <c r="DN150" s="27"/>
      <c r="DO150" s="27"/>
      <c r="DP150" s="27"/>
      <c r="DQ150" s="27"/>
      <c r="DR150" s="27"/>
      <c r="DS150" s="27"/>
      <c r="DT150" s="27"/>
      <c r="DU150" s="27"/>
      <c r="DV150" s="27"/>
      <c r="DW150" s="27"/>
      <c r="DX150" s="27"/>
      <c r="DY150" s="27"/>
      <c r="DZ150" s="27"/>
      <c r="EA150" s="27"/>
      <c r="EB150" s="27"/>
      <c r="EC150" s="27"/>
      <c r="ED150" s="27"/>
      <c r="EE150" s="27"/>
      <c r="EF150" s="27"/>
      <c r="EG150" s="27"/>
      <c r="EH150" s="27"/>
      <c r="EI150" s="27"/>
      <c r="EJ150" s="27"/>
      <c r="EK150" s="27"/>
      <c r="EL150" s="27"/>
      <c r="EM150" s="27"/>
      <c r="EN150" s="27"/>
      <c r="EO150" s="27"/>
      <c r="EP150" s="27"/>
    </row>
    <row r="151" spans="1:146" ht="45" customHeight="1">
      <c r="A151" s="47" t="s">
        <v>820</v>
      </c>
      <c r="B151" s="28"/>
      <c r="C151" s="213" t="s">
        <v>1711</v>
      </c>
      <c r="D151" s="29">
        <v>2005</v>
      </c>
      <c r="E151" s="29">
        <v>2009</v>
      </c>
      <c r="F151" s="29" t="s">
        <v>512</v>
      </c>
      <c r="G151" s="31" t="s">
        <v>47</v>
      </c>
      <c r="H151" s="87" t="s">
        <v>56</v>
      </c>
      <c r="I151" s="29" t="s">
        <v>57</v>
      </c>
      <c r="J151" s="29" t="s">
        <v>31</v>
      </c>
      <c r="K151" s="29"/>
      <c r="L151" s="32">
        <v>5549486</v>
      </c>
      <c r="M151" s="29"/>
      <c r="N151" s="29"/>
      <c r="O151" s="29" t="s">
        <v>31</v>
      </c>
      <c r="P151" s="29"/>
      <c r="Q151" s="29"/>
      <c r="R151" s="29"/>
      <c r="S151" s="304" t="s">
        <v>821</v>
      </c>
      <c r="T151" s="93" t="s">
        <v>23</v>
      </c>
      <c r="U151" s="31"/>
      <c r="V151" s="29"/>
      <c r="W151" s="29"/>
      <c r="X151" s="171"/>
      <c r="Z151" s="26" t="s">
        <v>33</v>
      </c>
      <c r="AA151" s="27"/>
      <c r="AB151" s="27"/>
      <c r="AC151" s="27"/>
      <c r="AD151" s="27"/>
      <c r="AE151" s="27"/>
      <c r="AF151" s="27"/>
      <c r="AG151" s="27"/>
      <c r="AH151" s="27"/>
      <c r="AI151" s="27"/>
      <c r="AJ151" s="27"/>
      <c r="AK151" s="27"/>
      <c r="AL151" s="27"/>
      <c r="AM151" s="27"/>
      <c r="AN151" s="27"/>
      <c r="AO151" s="27"/>
      <c r="AP151" s="27"/>
      <c r="AQ151" s="27"/>
      <c r="AR151" s="27"/>
      <c r="AS151" s="27"/>
      <c r="AT151" s="27"/>
      <c r="AU151" s="27"/>
      <c r="AV151" s="27"/>
      <c r="AW151" s="27"/>
      <c r="AX151" s="27"/>
      <c r="AY151" s="27"/>
      <c r="AZ151" s="27"/>
      <c r="BA151" s="27"/>
      <c r="BB151" s="27"/>
      <c r="BC151" s="27"/>
      <c r="BD151" s="27"/>
      <c r="BE151" s="27"/>
      <c r="BF151" s="27"/>
      <c r="BG151" s="27"/>
      <c r="BH151" s="27"/>
      <c r="BI151" s="27"/>
      <c r="BJ151" s="27"/>
      <c r="BK151" s="27"/>
      <c r="BL151" s="27"/>
      <c r="BM151" s="27"/>
      <c r="BN151" s="27"/>
      <c r="BO151" s="27"/>
      <c r="BP151" s="27"/>
      <c r="BQ151" s="27"/>
      <c r="BR151" s="27"/>
      <c r="BS151" s="27"/>
      <c r="BT151" s="27"/>
      <c r="BU151" s="27"/>
      <c r="BV151" s="27"/>
      <c r="BW151" s="27"/>
      <c r="BX151" s="27"/>
      <c r="BY151" s="27"/>
      <c r="BZ151" s="27"/>
      <c r="CA151" s="27"/>
      <c r="CB151" s="27"/>
      <c r="CC151" s="27"/>
      <c r="CD151" s="27"/>
      <c r="CE151" s="27"/>
      <c r="CF151" s="27"/>
      <c r="CG151" s="27"/>
      <c r="CH151" s="27"/>
      <c r="CI151" s="27"/>
      <c r="CJ151" s="27"/>
      <c r="CK151" s="27"/>
      <c r="CL151" s="27"/>
      <c r="CM151" s="27"/>
      <c r="CN151" s="27"/>
      <c r="CO151" s="27"/>
      <c r="CP151" s="27"/>
      <c r="CQ151" s="27"/>
      <c r="CR151" s="27"/>
      <c r="CS151" s="27"/>
      <c r="CT151" s="27"/>
      <c r="CU151" s="27"/>
      <c r="CV151" s="27"/>
      <c r="CW151" s="27"/>
      <c r="CX151" s="27"/>
      <c r="CY151" s="27"/>
      <c r="CZ151" s="27"/>
      <c r="DA151" s="27"/>
      <c r="DB151" s="27"/>
      <c r="DC151" s="27"/>
      <c r="DD151" s="27"/>
      <c r="DE151" s="27"/>
      <c r="DF151" s="27"/>
      <c r="DG151" s="27"/>
      <c r="DH151" s="27"/>
      <c r="DI151" s="27"/>
      <c r="DJ151" s="27"/>
      <c r="DK151" s="27"/>
      <c r="DL151" s="27"/>
      <c r="DM151" s="27"/>
      <c r="DN151" s="27"/>
      <c r="DO151" s="27"/>
      <c r="DP151" s="27"/>
      <c r="DQ151" s="27"/>
      <c r="DR151" s="27"/>
      <c r="DS151" s="27"/>
      <c r="DT151" s="27"/>
      <c r="DU151" s="27"/>
      <c r="DV151" s="27"/>
      <c r="DW151" s="27"/>
      <c r="DX151" s="27"/>
      <c r="DY151" s="27"/>
      <c r="DZ151" s="27"/>
      <c r="EA151" s="27"/>
      <c r="EB151" s="27"/>
      <c r="EC151" s="27"/>
      <c r="ED151" s="27"/>
      <c r="EE151" s="27"/>
      <c r="EF151" s="27"/>
      <c r="EG151" s="27"/>
      <c r="EH151" s="27"/>
      <c r="EI151" s="27"/>
      <c r="EJ151" s="27"/>
      <c r="EK151" s="27"/>
      <c r="EL151" s="27"/>
      <c r="EM151" s="27"/>
      <c r="EN151" s="27"/>
      <c r="EO151" s="27"/>
      <c r="EP151" s="27"/>
    </row>
    <row r="152" spans="1:146" ht="45" customHeight="1">
      <c r="A152" s="47" t="s">
        <v>854</v>
      </c>
      <c r="B152" s="28"/>
      <c r="C152" s="80" t="s">
        <v>1713</v>
      </c>
      <c r="D152" s="29">
        <v>2005</v>
      </c>
      <c r="E152" s="29">
        <v>2010</v>
      </c>
      <c r="F152" s="29" t="s">
        <v>90</v>
      </c>
      <c r="G152" s="31" t="s">
        <v>47</v>
      </c>
      <c r="H152" s="87" t="s">
        <v>91</v>
      </c>
      <c r="I152" s="29" t="s">
        <v>57</v>
      </c>
      <c r="J152" s="80" t="s">
        <v>619</v>
      </c>
      <c r="K152" s="80" t="s">
        <v>31</v>
      </c>
      <c r="L152" s="88">
        <v>723617</v>
      </c>
      <c r="M152" s="80"/>
      <c r="N152" s="29"/>
      <c r="O152" s="29"/>
      <c r="P152" s="29"/>
      <c r="Q152" s="29"/>
      <c r="R152" s="29" t="s">
        <v>31</v>
      </c>
      <c r="S152" s="347" t="s">
        <v>855</v>
      </c>
      <c r="T152" s="36"/>
      <c r="U152" s="78"/>
      <c r="V152" s="78"/>
      <c r="W152" s="78"/>
      <c r="X152" s="174" t="s">
        <v>856</v>
      </c>
      <c r="Y152" s="69" t="s">
        <v>857</v>
      </c>
      <c r="Z152" s="26" t="s">
        <v>33</v>
      </c>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c r="CV152" s="27"/>
      <c r="CW152" s="27"/>
      <c r="CX152" s="27"/>
      <c r="CY152" s="27"/>
      <c r="CZ152" s="27"/>
      <c r="DA152" s="27"/>
      <c r="DB152" s="27"/>
      <c r="DC152" s="27"/>
      <c r="DD152" s="27"/>
      <c r="DE152" s="27"/>
      <c r="DF152" s="27"/>
      <c r="DG152" s="27"/>
      <c r="DH152" s="27"/>
      <c r="DI152" s="27"/>
      <c r="DJ152" s="27"/>
      <c r="DK152" s="27"/>
      <c r="DL152" s="27"/>
      <c r="DM152" s="27"/>
      <c r="DN152" s="27"/>
      <c r="DO152" s="27"/>
      <c r="DP152" s="27"/>
      <c r="DQ152" s="27"/>
      <c r="DR152" s="27"/>
      <c r="DS152" s="27"/>
      <c r="DT152" s="27"/>
      <c r="DU152" s="27"/>
      <c r="DV152" s="27"/>
      <c r="DW152" s="27"/>
      <c r="DX152" s="27"/>
      <c r="DY152" s="27"/>
      <c r="DZ152" s="27"/>
      <c r="EA152" s="27"/>
      <c r="EB152" s="27"/>
      <c r="EC152" s="27"/>
      <c r="ED152" s="27"/>
      <c r="EE152" s="27"/>
      <c r="EF152" s="27"/>
      <c r="EG152" s="27"/>
      <c r="EH152" s="27"/>
      <c r="EI152" s="27"/>
      <c r="EJ152" s="27"/>
      <c r="EK152" s="27"/>
      <c r="EL152" s="27"/>
      <c r="EM152" s="27"/>
      <c r="EN152" s="27"/>
      <c r="EO152" s="27"/>
      <c r="EP152" s="27"/>
    </row>
    <row r="153" spans="1:146" ht="45" customHeight="1">
      <c r="A153" s="46" t="s">
        <v>828</v>
      </c>
      <c r="B153" s="42"/>
      <c r="C153" s="87" t="s">
        <v>829</v>
      </c>
      <c r="D153" s="87">
        <v>2005</v>
      </c>
      <c r="E153" s="87">
        <v>2009</v>
      </c>
      <c r="F153" s="87" t="s">
        <v>830</v>
      </c>
      <c r="G153" s="99" t="s">
        <v>677</v>
      </c>
      <c r="H153" s="87" t="s">
        <v>831</v>
      </c>
      <c r="I153" s="86" t="s">
        <v>57</v>
      </c>
      <c r="J153" s="87"/>
      <c r="K153" s="87" t="s">
        <v>31</v>
      </c>
      <c r="L153" s="88">
        <v>9250000</v>
      </c>
      <c r="M153" s="87"/>
      <c r="N153" s="87"/>
      <c r="O153" s="87" t="s">
        <v>31</v>
      </c>
      <c r="P153" s="87"/>
      <c r="Q153" s="87"/>
      <c r="R153" s="87" t="s">
        <v>31</v>
      </c>
      <c r="S153" s="352" t="s">
        <v>832</v>
      </c>
      <c r="T153" s="87"/>
      <c r="U153" s="29"/>
      <c r="V153" s="29"/>
      <c r="W153" s="29"/>
      <c r="X153" s="171" t="s">
        <v>833</v>
      </c>
      <c r="Y153" s="69" t="s">
        <v>834</v>
      </c>
      <c r="Z153" s="26" t="s">
        <v>33</v>
      </c>
      <c r="AA153" s="27"/>
      <c r="AB153" s="27"/>
      <c r="AC153" s="27"/>
      <c r="AD153" s="27"/>
      <c r="AE153" s="27"/>
      <c r="AF153" s="27"/>
      <c r="AG153" s="27"/>
      <c r="AH153" s="27"/>
      <c r="AI153" s="27"/>
      <c r="AJ153" s="27"/>
      <c r="AK153" s="27"/>
      <c r="AL153" s="27"/>
      <c r="AM153" s="27"/>
      <c r="AN153" s="27"/>
      <c r="AO153" s="27"/>
      <c r="AP153" s="27"/>
      <c r="AQ153" s="27"/>
      <c r="AR153" s="27"/>
      <c r="AS153" s="27"/>
      <c r="AT153" s="27"/>
      <c r="AU153" s="27"/>
      <c r="AV153" s="27"/>
      <c r="AW153" s="27"/>
      <c r="AX153" s="27"/>
      <c r="AY153" s="27"/>
      <c r="AZ153" s="27"/>
      <c r="BA153" s="27"/>
      <c r="BB153" s="27"/>
      <c r="BC153" s="27"/>
      <c r="BD153" s="27"/>
      <c r="BE153" s="27"/>
      <c r="BF153" s="27"/>
      <c r="BG153" s="27"/>
      <c r="BH153" s="27"/>
      <c r="BI153" s="27"/>
      <c r="BJ153" s="27"/>
      <c r="BK153" s="27"/>
      <c r="BL153" s="27"/>
      <c r="BM153" s="27"/>
      <c r="BN153" s="27"/>
      <c r="BO153" s="27"/>
      <c r="BP153" s="27"/>
      <c r="BQ153" s="27"/>
      <c r="BR153" s="27"/>
      <c r="BS153" s="27"/>
      <c r="BT153" s="27"/>
      <c r="BU153" s="27"/>
      <c r="BV153" s="27"/>
      <c r="BW153" s="27"/>
      <c r="BX153" s="27"/>
      <c r="BY153" s="27"/>
      <c r="BZ153" s="27"/>
      <c r="CA153" s="27"/>
      <c r="CB153" s="27"/>
      <c r="CC153" s="27"/>
      <c r="CD153" s="27"/>
      <c r="CE153" s="27"/>
      <c r="CF153" s="27"/>
      <c r="CG153" s="27"/>
      <c r="CH153" s="27"/>
      <c r="CI153" s="27"/>
      <c r="CJ153" s="27"/>
      <c r="CK153" s="27"/>
      <c r="CL153" s="27"/>
      <c r="CM153" s="27"/>
      <c r="CN153" s="27"/>
      <c r="CO153" s="27"/>
      <c r="CP153" s="27"/>
      <c r="CQ153" s="27"/>
      <c r="CR153" s="27"/>
      <c r="CS153" s="27"/>
      <c r="CT153" s="27"/>
      <c r="CU153" s="27"/>
      <c r="CV153" s="27"/>
      <c r="CW153" s="27"/>
      <c r="CX153" s="27"/>
      <c r="CY153" s="27"/>
      <c r="CZ153" s="27"/>
      <c r="DA153" s="27"/>
      <c r="DB153" s="27"/>
      <c r="DC153" s="27"/>
      <c r="DD153" s="27"/>
      <c r="DE153" s="27"/>
      <c r="DF153" s="27"/>
      <c r="DG153" s="27"/>
      <c r="DH153" s="27"/>
      <c r="DI153" s="27"/>
      <c r="DJ153" s="27"/>
      <c r="DK153" s="27"/>
      <c r="DL153" s="27"/>
      <c r="DM153" s="27"/>
      <c r="DN153" s="27"/>
      <c r="DO153" s="27"/>
      <c r="DP153" s="27"/>
      <c r="DQ153" s="27"/>
      <c r="DR153" s="27"/>
      <c r="DS153" s="27"/>
      <c r="DT153" s="27"/>
      <c r="DU153" s="27"/>
      <c r="DV153" s="27"/>
      <c r="DW153" s="27"/>
      <c r="DX153" s="27"/>
      <c r="DY153" s="27"/>
      <c r="DZ153" s="27"/>
      <c r="EA153" s="27"/>
      <c r="EB153" s="27"/>
      <c r="EC153" s="27"/>
      <c r="ED153" s="27"/>
      <c r="EE153" s="27"/>
      <c r="EF153" s="27"/>
      <c r="EG153" s="27"/>
      <c r="EH153" s="27"/>
      <c r="EI153" s="27"/>
      <c r="EJ153" s="27"/>
      <c r="EK153" s="27"/>
      <c r="EL153" s="27"/>
      <c r="EM153" s="27"/>
      <c r="EN153" s="27"/>
      <c r="EO153" s="27"/>
      <c r="EP153" s="27"/>
    </row>
    <row r="154" spans="1:146" ht="45" customHeight="1">
      <c r="A154" s="46" t="s">
        <v>842</v>
      </c>
      <c r="B154" s="42"/>
      <c r="C154" s="87"/>
      <c r="D154" s="29">
        <v>2005</v>
      </c>
      <c r="E154" s="29">
        <v>2005</v>
      </c>
      <c r="F154" s="29" t="s">
        <v>149</v>
      </c>
      <c r="G154" s="31" t="s">
        <v>157</v>
      </c>
      <c r="H154" s="87" t="s">
        <v>337</v>
      </c>
      <c r="I154" s="29" t="s">
        <v>843</v>
      </c>
      <c r="J154" s="29"/>
      <c r="K154" s="29"/>
      <c r="L154" s="32"/>
      <c r="M154" s="29"/>
      <c r="N154" s="29"/>
      <c r="O154" s="29"/>
      <c r="P154" s="80" t="s">
        <v>31</v>
      </c>
      <c r="Q154" s="29"/>
      <c r="R154" s="29"/>
      <c r="S154" s="304" t="s">
        <v>844</v>
      </c>
      <c r="T154" s="29"/>
      <c r="U154" s="29"/>
      <c r="V154" s="29"/>
      <c r="W154" s="29"/>
      <c r="Z154" s="26" t="s">
        <v>33</v>
      </c>
      <c r="AA154" s="27"/>
      <c r="AB154" s="27"/>
      <c r="AC154" s="27"/>
      <c r="AD154" s="27"/>
      <c r="AE154" s="27"/>
      <c r="AF154" s="27"/>
      <c r="AG154" s="27"/>
      <c r="AH154" s="2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c r="DA154" s="27"/>
      <c r="DB154" s="27"/>
      <c r="DC154" s="27"/>
      <c r="DD154" s="27"/>
      <c r="DE154" s="27"/>
      <c r="DF154" s="27"/>
      <c r="DG154" s="27"/>
      <c r="DH154" s="27"/>
      <c r="DI154" s="27"/>
      <c r="DJ154" s="27"/>
      <c r="DK154" s="27"/>
      <c r="DL154" s="27"/>
      <c r="DM154" s="27"/>
      <c r="DN154" s="27"/>
      <c r="DO154" s="27"/>
      <c r="DP154" s="27"/>
      <c r="DQ154" s="27"/>
      <c r="DR154" s="27"/>
      <c r="DS154" s="27"/>
      <c r="DT154" s="27"/>
      <c r="DU154" s="27"/>
      <c r="DV154" s="27"/>
      <c r="DW154" s="27"/>
      <c r="DX154" s="27"/>
      <c r="DY154" s="27"/>
      <c r="DZ154" s="27"/>
      <c r="EA154" s="27"/>
      <c r="EB154" s="27"/>
      <c r="EC154" s="27"/>
      <c r="ED154" s="27"/>
      <c r="EE154" s="27"/>
      <c r="EF154" s="27"/>
      <c r="EG154" s="27"/>
      <c r="EH154" s="27"/>
      <c r="EI154" s="27"/>
      <c r="EJ154" s="27"/>
      <c r="EK154" s="27"/>
      <c r="EL154" s="27"/>
      <c r="EM154" s="27"/>
      <c r="EN154" s="27"/>
      <c r="EO154" s="27"/>
      <c r="EP154" s="27"/>
    </row>
    <row r="155" spans="1:146" ht="45" customHeight="1">
      <c r="A155" s="47" t="s">
        <v>887</v>
      </c>
      <c r="B155" s="28"/>
      <c r="C155" s="294" t="s">
        <v>717</v>
      </c>
      <c r="D155" s="29">
        <v>2006</v>
      </c>
      <c r="E155" s="29">
        <v>2006</v>
      </c>
      <c r="F155" s="29" t="s">
        <v>888</v>
      </c>
      <c r="G155" s="31" t="s">
        <v>271</v>
      </c>
      <c r="H155" s="87" t="s">
        <v>889</v>
      </c>
      <c r="I155" s="29" t="s">
        <v>57</v>
      </c>
      <c r="J155" s="29" t="s">
        <v>31</v>
      </c>
      <c r="K155" s="29"/>
      <c r="L155" s="306">
        <v>117570</v>
      </c>
      <c r="M155" s="80" t="s">
        <v>31</v>
      </c>
      <c r="N155" s="29" t="s">
        <v>31</v>
      </c>
      <c r="O155" s="29"/>
      <c r="P155" s="29"/>
      <c r="Q155" s="29"/>
      <c r="R155" s="29"/>
      <c r="S155" s="304" t="s">
        <v>890</v>
      </c>
      <c r="T155" s="97" t="s">
        <v>862</v>
      </c>
      <c r="U155" s="31"/>
      <c r="V155" s="31"/>
      <c r="W155" s="31"/>
      <c r="X155" s="179" t="s">
        <v>1833</v>
      </c>
      <c r="Y155" s="198" t="s">
        <v>887</v>
      </c>
      <c r="Z155" s="26" t="s">
        <v>33</v>
      </c>
      <c r="AA155" s="27"/>
      <c r="AB155" s="27"/>
      <c r="AC155" s="27"/>
      <c r="AD155" s="27"/>
      <c r="AE155" s="27"/>
      <c r="AF155" s="27"/>
      <c r="AG155" s="27"/>
      <c r="AH155" s="2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c r="DA155" s="27"/>
      <c r="DB155" s="27"/>
      <c r="DC155" s="27"/>
      <c r="DD155" s="27"/>
      <c r="DE155" s="27"/>
      <c r="DF155" s="27"/>
      <c r="DG155" s="27"/>
      <c r="DH155" s="27"/>
      <c r="DI155" s="27"/>
      <c r="DJ155" s="27"/>
      <c r="DK155" s="27"/>
      <c r="DL155" s="27"/>
      <c r="DM155" s="27"/>
      <c r="DN155" s="27"/>
      <c r="DO155" s="27"/>
      <c r="DP155" s="27"/>
      <c r="DQ155" s="27"/>
      <c r="DR155" s="27"/>
      <c r="DS155" s="27"/>
      <c r="DT155" s="27"/>
      <c r="DU155" s="27"/>
      <c r="DV155" s="27"/>
      <c r="DW155" s="27"/>
      <c r="DX155" s="27"/>
      <c r="DY155" s="27"/>
      <c r="DZ155" s="27"/>
      <c r="EA155" s="27"/>
      <c r="EB155" s="27"/>
      <c r="EC155" s="27"/>
      <c r="ED155" s="27"/>
      <c r="EE155" s="27"/>
      <c r="EF155" s="27"/>
      <c r="EG155" s="27"/>
      <c r="EH155" s="27"/>
      <c r="EI155" s="27"/>
      <c r="EJ155" s="27"/>
      <c r="EK155" s="27"/>
      <c r="EL155" s="27"/>
      <c r="EM155" s="27"/>
      <c r="EN155" s="27"/>
      <c r="EO155" s="27"/>
      <c r="EP155" s="27"/>
    </row>
    <row r="156" spans="1:146" ht="45" customHeight="1">
      <c r="A156" s="47" t="s">
        <v>891</v>
      </c>
      <c r="B156" s="28"/>
      <c r="C156" s="29" t="s">
        <v>717</v>
      </c>
      <c r="D156" s="29">
        <v>2006</v>
      </c>
      <c r="E156" s="29">
        <v>2006</v>
      </c>
      <c r="F156" s="29" t="s">
        <v>422</v>
      </c>
      <c r="G156" s="31" t="s">
        <v>271</v>
      </c>
      <c r="H156" s="87" t="s">
        <v>423</v>
      </c>
      <c r="I156" s="29" t="s">
        <v>57</v>
      </c>
      <c r="J156" s="29" t="s">
        <v>31</v>
      </c>
      <c r="K156" s="29"/>
      <c r="L156" s="306">
        <v>219419</v>
      </c>
      <c r="M156" s="29" t="s">
        <v>31</v>
      </c>
      <c r="N156" s="29" t="s">
        <v>31</v>
      </c>
      <c r="O156" s="29"/>
      <c r="P156" s="29"/>
      <c r="Q156" s="29"/>
      <c r="R156" s="29"/>
      <c r="S156" s="305" t="s">
        <v>892</v>
      </c>
      <c r="T156" s="65"/>
      <c r="U156" s="31"/>
      <c r="V156" s="31"/>
      <c r="W156" s="31"/>
      <c r="X156" s="180" t="s">
        <v>1834</v>
      </c>
      <c r="Y156" s="64" t="s">
        <v>894</v>
      </c>
      <c r="Z156" s="26" t="s">
        <v>33</v>
      </c>
    </row>
    <row r="157" spans="1:146" ht="45" customHeight="1">
      <c r="A157" s="46" t="s">
        <v>875</v>
      </c>
      <c r="B157" s="42"/>
      <c r="C157" s="29" t="s">
        <v>717</v>
      </c>
      <c r="D157" s="29">
        <v>2006</v>
      </c>
      <c r="E157" s="29">
        <v>2006</v>
      </c>
      <c r="F157" s="29" t="s">
        <v>876</v>
      </c>
      <c r="G157" s="31" t="s">
        <v>200</v>
      </c>
      <c r="H157" s="29" t="s">
        <v>877</v>
      </c>
      <c r="I157" s="300" t="s">
        <v>878</v>
      </c>
      <c r="J157" s="80" t="s">
        <v>31</v>
      </c>
      <c r="K157" s="29"/>
      <c r="L157" s="306">
        <v>193340</v>
      </c>
      <c r="M157" s="80" t="s">
        <v>31</v>
      </c>
      <c r="N157" s="29" t="s">
        <v>31</v>
      </c>
      <c r="O157" s="29"/>
      <c r="P157" s="29"/>
      <c r="Q157" s="29"/>
      <c r="R157" s="29"/>
      <c r="S157" s="305" t="s">
        <v>879</v>
      </c>
      <c r="T157" s="36"/>
      <c r="U157" s="29"/>
      <c r="V157" s="29"/>
      <c r="W157" s="29"/>
      <c r="X157" s="177" t="s">
        <v>880</v>
      </c>
      <c r="Y157" s="69" t="s">
        <v>881</v>
      </c>
      <c r="Z157" s="26" t="s">
        <v>33</v>
      </c>
    </row>
    <row r="158" spans="1:146" ht="45" customHeight="1">
      <c r="A158" s="46" t="s">
        <v>872</v>
      </c>
      <c r="B158" s="42"/>
      <c r="C158" s="29" t="s">
        <v>873</v>
      </c>
      <c r="D158" s="29">
        <v>2006</v>
      </c>
      <c r="E158" s="29">
        <v>2007</v>
      </c>
      <c r="F158" s="29" t="s">
        <v>874</v>
      </c>
      <c r="G158" s="31" t="s">
        <v>226</v>
      </c>
      <c r="H158" s="80" t="s">
        <v>1659</v>
      </c>
      <c r="I158" s="213" t="s">
        <v>57</v>
      </c>
      <c r="J158" s="80" t="s">
        <v>790</v>
      </c>
      <c r="K158" s="80" t="s">
        <v>31</v>
      </c>
      <c r="L158" s="83"/>
      <c r="M158" s="29" t="s">
        <v>31</v>
      </c>
      <c r="N158" s="29"/>
      <c r="O158" s="29"/>
      <c r="P158" s="29" t="s">
        <v>31</v>
      </c>
      <c r="Q158" s="29"/>
      <c r="R158" s="29"/>
      <c r="S158" s="356"/>
      <c r="T158" s="36"/>
      <c r="U158" s="29"/>
      <c r="V158" s="29"/>
      <c r="W158" s="29"/>
      <c r="X158" s="171"/>
      <c r="Y158" s="64"/>
      <c r="Z158" s="26" t="s">
        <v>33</v>
      </c>
    </row>
    <row r="159" spans="1:146" s="147" customFormat="1" ht="45" customHeight="1">
      <c r="A159" s="264" t="s">
        <v>882</v>
      </c>
      <c r="B159" s="264"/>
      <c r="C159" s="156" t="s">
        <v>883</v>
      </c>
      <c r="D159" s="156">
        <v>2006</v>
      </c>
      <c r="E159" s="156">
        <v>2007</v>
      </c>
      <c r="F159" s="145"/>
      <c r="G159" s="157" t="s">
        <v>290</v>
      </c>
      <c r="H159" s="156" t="s">
        <v>290</v>
      </c>
      <c r="I159" s="156" t="s">
        <v>57</v>
      </c>
      <c r="J159" s="156" t="s">
        <v>31</v>
      </c>
      <c r="K159" s="156"/>
      <c r="L159" s="158">
        <v>899078</v>
      </c>
      <c r="M159" s="156"/>
      <c r="N159" s="156"/>
      <c r="O159" s="156"/>
      <c r="P159" s="156"/>
      <c r="Q159" s="156" t="s">
        <v>31</v>
      </c>
      <c r="R159" s="156"/>
      <c r="S159" s="323" t="s">
        <v>884</v>
      </c>
      <c r="T159" s="265"/>
      <c r="U159" s="145"/>
      <c r="V159" s="145"/>
      <c r="W159" s="145"/>
      <c r="X159" s="266" t="s">
        <v>885</v>
      </c>
      <c r="Y159" s="267" t="s">
        <v>886</v>
      </c>
      <c r="Z159" s="234" t="s">
        <v>33</v>
      </c>
      <c r="AA159" s="234"/>
      <c r="AB159" s="234"/>
      <c r="AC159" s="234"/>
      <c r="AD159" s="234"/>
      <c r="AE159" s="234"/>
      <c r="AF159" s="234"/>
      <c r="AG159" s="234"/>
      <c r="AH159" s="234"/>
      <c r="AI159" s="234"/>
      <c r="AJ159" s="234"/>
      <c r="AK159" s="234"/>
      <c r="AL159" s="234"/>
      <c r="AM159" s="234"/>
      <c r="AN159" s="234"/>
      <c r="AO159" s="234"/>
      <c r="AP159" s="234"/>
      <c r="AQ159" s="234"/>
      <c r="AR159" s="234"/>
      <c r="AS159" s="234"/>
      <c r="AT159" s="234"/>
      <c r="AU159" s="234"/>
      <c r="AV159" s="234"/>
      <c r="AW159" s="234"/>
      <c r="AX159" s="234"/>
      <c r="AY159" s="234"/>
      <c r="AZ159" s="234"/>
      <c r="BA159" s="234"/>
      <c r="BB159" s="234"/>
      <c r="BC159" s="234"/>
      <c r="BD159" s="234"/>
      <c r="BE159" s="234"/>
      <c r="BF159" s="234"/>
      <c r="BG159" s="234"/>
      <c r="BH159" s="234"/>
      <c r="BI159" s="234"/>
      <c r="BJ159" s="234"/>
      <c r="BK159" s="234"/>
      <c r="BL159" s="234"/>
      <c r="BM159" s="234"/>
      <c r="BN159" s="234"/>
      <c r="BO159" s="234"/>
      <c r="BP159" s="234"/>
      <c r="BQ159" s="234"/>
      <c r="BR159" s="234"/>
      <c r="BS159" s="234"/>
      <c r="BT159" s="234"/>
      <c r="BU159" s="234"/>
      <c r="BV159" s="234"/>
      <c r="BW159" s="234"/>
      <c r="BX159" s="234"/>
      <c r="BY159" s="234"/>
      <c r="BZ159" s="234"/>
      <c r="CA159" s="234"/>
      <c r="CB159" s="234"/>
      <c r="CC159" s="234"/>
      <c r="CD159" s="234"/>
      <c r="CE159" s="234"/>
      <c r="CF159" s="234"/>
      <c r="CG159" s="234"/>
      <c r="CH159" s="234"/>
      <c r="CI159" s="234"/>
      <c r="CJ159" s="234"/>
      <c r="CK159" s="234"/>
      <c r="CL159" s="234"/>
      <c r="CM159" s="234"/>
      <c r="CN159" s="234"/>
      <c r="CO159" s="234"/>
      <c r="CP159" s="234"/>
      <c r="CQ159" s="234"/>
      <c r="CR159" s="234"/>
      <c r="CS159" s="234"/>
      <c r="CT159" s="234"/>
      <c r="CU159" s="234"/>
      <c r="CV159" s="234"/>
      <c r="CW159" s="234"/>
      <c r="CX159" s="234"/>
      <c r="CY159" s="234"/>
      <c r="CZ159" s="234"/>
      <c r="DA159" s="234"/>
      <c r="DB159" s="234"/>
      <c r="DC159" s="234"/>
      <c r="DD159" s="234"/>
      <c r="DE159" s="234"/>
      <c r="DF159" s="234"/>
      <c r="DG159" s="234"/>
      <c r="DH159" s="234"/>
      <c r="DI159" s="234"/>
      <c r="DJ159" s="234"/>
      <c r="DK159" s="234"/>
      <c r="DL159" s="234"/>
      <c r="DM159" s="234"/>
      <c r="DN159" s="234"/>
      <c r="DO159" s="234"/>
      <c r="DP159" s="234"/>
      <c r="DQ159" s="234"/>
      <c r="DR159" s="234"/>
      <c r="DS159" s="234"/>
      <c r="DT159" s="234"/>
      <c r="DU159" s="234"/>
      <c r="DV159" s="234"/>
      <c r="DW159" s="234"/>
      <c r="DX159" s="234"/>
      <c r="DY159" s="234"/>
      <c r="DZ159" s="234"/>
      <c r="EA159" s="234"/>
      <c r="EB159" s="234"/>
      <c r="EC159" s="234"/>
      <c r="ED159" s="234"/>
      <c r="EE159" s="234"/>
      <c r="EF159" s="234"/>
      <c r="EG159" s="234"/>
      <c r="EH159" s="234"/>
      <c r="EI159" s="234"/>
      <c r="EJ159" s="234"/>
      <c r="EK159" s="234"/>
      <c r="EL159" s="234"/>
      <c r="EM159" s="234"/>
      <c r="EN159" s="234"/>
      <c r="EO159" s="234"/>
      <c r="EP159" s="234"/>
    </row>
    <row r="160" spans="1:146" ht="45" customHeight="1">
      <c r="A160" s="46" t="s">
        <v>895</v>
      </c>
      <c r="B160" s="42"/>
      <c r="C160" s="29" t="s">
        <v>896</v>
      </c>
      <c r="D160" s="29">
        <v>2006</v>
      </c>
      <c r="E160" s="29">
        <v>2008</v>
      </c>
      <c r="F160" s="86" t="s">
        <v>149</v>
      </c>
      <c r="G160" s="213" t="s">
        <v>157</v>
      </c>
      <c r="H160" s="80" t="s">
        <v>149</v>
      </c>
      <c r="I160" s="80" t="s">
        <v>57</v>
      </c>
      <c r="J160" s="29" t="s">
        <v>897</v>
      </c>
      <c r="K160" s="29" t="s">
        <v>31</v>
      </c>
      <c r="L160" s="88">
        <v>33441</v>
      </c>
      <c r="M160" s="29"/>
      <c r="N160" s="29"/>
      <c r="O160" s="29"/>
      <c r="P160" s="29" t="s">
        <v>31</v>
      </c>
      <c r="Q160" s="29" t="s">
        <v>31</v>
      </c>
      <c r="R160" s="29"/>
      <c r="S160" s="304" t="s">
        <v>898</v>
      </c>
      <c r="T160" s="36"/>
      <c r="U160" s="29"/>
      <c r="V160" s="29"/>
      <c r="W160" s="29"/>
      <c r="Z160" s="26" t="s">
        <v>33</v>
      </c>
    </row>
    <row r="161" spans="1:146" ht="45" customHeight="1">
      <c r="A161" s="107" t="s">
        <v>1757</v>
      </c>
      <c r="B161" s="40" t="s">
        <v>902</v>
      </c>
      <c r="C161" s="39" t="s">
        <v>903</v>
      </c>
      <c r="D161" s="39">
        <v>2007</v>
      </c>
      <c r="E161" s="39">
        <v>2010</v>
      </c>
      <c r="F161" s="39" t="s">
        <v>904</v>
      </c>
      <c r="G161" s="57" t="s">
        <v>271</v>
      </c>
      <c r="H161" s="39" t="s">
        <v>905</v>
      </c>
      <c r="I161" s="39" t="s">
        <v>57</v>
      </c>
      <c r="J161" s="31" t="s">
        <v>906</v>
      </c>
      <c r="K161" s="39" t="s">
        <v>31</v>
      </c>
      <c r="L161" s="54">
        <v>478131</v>
      </c>
      <c r="M161" s="39"/>
      <c r="N161" s="39" t="s">
        <v>31</v>
      </c>
      <c r="O161" s="41"/>
      <c r="P161" s="41"/>
      <c r="Q161" s="41"/>
      <c r="R161" s="39" t="s">
        <v>31</v>
      </c>
      <c r="S161" s="304" t="s">
        <v>907</v>
      </c>
      <c r="T161" s="65"/>
      <c r="U161" s="41" t="s">
        <v>584</v>
      </c>
      <c r="V161" s="41" t="s">
        <v>908</v>
      </c>
      <c r="W161" s="41" t="s">
        <v>909</v>
      </c>
      <c r="X161" s="168" t="s">
        <v>910</v>
      </c>
      <c r="Y161" s="64" t="s">
        <v>901</v>
      </c>
      <c r="Z161" s="26" t="s">
        <v>33</v>
      </c>
    </row>
    <row r="162" spans="1:146" ht="45" customHeight="1">
      <c r="A162" s="320" t="s">
        <v>1779</v>
      </c>
      <c r="B162" s="28"/>
      <c r="C162" s="302" t="s">
        <v>1778</v>
      </c>
      <c r="D162" s="29">
        <v>2007</v>
      </c>
      <c r="E162" s="29">
        <v>2007</v>
      </c>
      <c r="F162" s="80" t="s">
        <v>766</v>
      </c>
      <c r="G162" s="31" t="s">
        <v>271</v>
      </c>
      <c r="H162" s="29" t="s">
        <v>463</v>
      </c>
      <c r="I162" s="29" t="s">
        <v>57</v>
      </c>
      <c r="J162" s="29" t="s">
        <v>31</v>
      </c>
      <c r="K162" s="29"/>
      <c r="L162" s="32">
        <v>87343</v>
      </c>
      <c r="M162" s="80" t="s">
        <v>31</v>
      </c>
      <c r="N162" s="29" t="s">
        <v>31</v>
      </c>
      <c r="O162" s="29"/>
      <c r="P162" s="29"/>
      <c r="Q162" s="29"/>
      <c r="R162" s="29"/>
      <c r="S162" s="304" t="s">
        <v>927</v>
      </c>
      <c r="T162" s="36"/>
      <c r="U162" s="29" t="s">
        <v>928</v>
      </c>
      <c r="V162" s="29"/>
      <c r="W162" s="31" t="s">
        <v>929</v>
      </c>
      <c r="X162" s="177" t="s">
        <v>930</v>
      </c>
      <c r="Y162" s="69" t="s">
        <v>931</v>
      </c>
      <c r="Z162" s="26" t="s">
        <v>33</v>
      </c>
    </row>
    <row r="163" spans="1:146" ht="45" customHeight="1">
      <c r="A163" s="47" t="s">
        <v>932</v>
      </c>
      <c r="B163" s="28"/>
      <c r="C163" s="82"/>
      <c r="D163" s="29">
        <v>2007</v>
      </c>
      <c r="E163" s="29">
        <v>2008</v>
      </c>
      <c r="F163" s="29" t="s">
        <v>658</v>
      </c>
      <c r="G163" s="31" t="s">
        <v>271</v>
      </c>
      <c r="H163" s="87" t="s">
        <v>659</v>
      </c>
      <c r="I163" s="29" t="s">
        <v>57</v>
      </c>
      <c r="J163" s="31" t="s">
        <v>933</v>
      </c>
      <c r="K163" s="31" t="s">
        <v>31</v>
      </c>
      <c r="L163" s="83"/>
      <c r="M163" s="29"/>
      <c r="N163" s="29"/>
      <c r="O163" s="29"/>
      <c r="P163" s="29"/>
      <c r="Q163" s="29"/>
      <c r="R163" s="29" t="s">
        <v>31</v>
      </c>
      <c r="S163" s="304" t="s">
        <v>934</v>
      </c>
      <c r="T163" s="36"/>
      <c r="U163" s="78"/>
      <c r="V163" s="78"/>
      <c r="W163" s="78"/>
      <c r="Z163" s="26" t="s">
        <v>33</v>
      </c>
    </row>
    <row r="164" spans="1:146" ht="45" customHeight="1">
      <c r="A164" s="320" t="s">
        <v>912</v>
      </c>
      <c r="B164" s="318" t="s">
        <v>913</v>
      </c>
      <c r="C164" s="332" t="s">
        <v>914</v>
      </c>
      <c r="D164" s="29">
        <v>2007</v>
      </c>
      <c r="E164" s="29">
        <v>2007</v>
      </c>
      <c r="F164" s="29" t="s">
        <v>915</v>
      </c>
      <c r="G164" s="31" t="s">
        <v>201</v>
      </c>
      <c r="H164" s="87" t="s">
        <v>916</v>
      </c>
      <c r="I164" s="29" t="s">
        <v>57</v>
      </c>
      <c r="J164" s="29" t="s">
        <v>31</v>
      </c>
      <c r="K164" s="29"/>
      <c r="L164" s="83"/>
      <c r="M164" s="29"/>
      <c r="N164" s="29" t="s">
        <v>31</v>
      </c>
      <c r="O164" s="29"/>
      <c r="P164" s="29"/>
      <c r="Q164" s="29"/>
      <c r="R164" s="29"/>
      <c r="S164" s="304" t="s">
        <v>917</v>
      </c>
      <c r="T164" s="97" t="s">
        <v>23</v>
      </c>
      <c r="U164" s="29"/>
      <c r="V164" s="29"/>
      <c r="W164" s="29"/>
      <c r="X164" s="171"/>
      <c r="Y164" s="64"/>
      <c r="Z164" s="26" t="s">
        <v>33</v>
      </c>
    </row>
    <row r="165" spans="1:146" ht="45" customHeight="1">
      <c r="A165" s="46" t="s">
        <v>923</v>
      </c>
      <c r="B165" s="42"/>
      <c r="C165" s="82"/>
      <c r="D165" s="29">
        <v>2007</v>
      </c>
      <c r="E165" s="29">
        <v>2009</v>
      </c>
      <c r="F165" s="29" t="s">
        <v>924</v>
      </c>
      <c r="G165" s="31" t="s">
        <v>226</v>
      </c>
      <c r="H165" s="29" t="s">
        <v>925</v>
      </c>
      <c r="I165" s="80" t="s">
        <v>57</v>
      </c>
      <c r="J165" s="29" t="s">
        <v>31</v>
      </c>
      <c r="K165" s="29"/>
      <c r="L165" s="83"/>
      <c r="M165" s="29"/>
      <c r="N165" s="29"/>
      <c r="O165" s="80" t="s">
        <v>31</v>
      </c>
      <c r="P165" s="29"/>
      <c r="Q165" s="29"/>
      <c r="R165" s="29" t="s">
        <v>31</v>
      </c>
      <c r="S165" s="304" t="s">
        <v>926</v>
      </c>
      <c r="T165" s="36"/>
      <c r="U165" s="29"/>
      <c r="V165" s="29"/>
      <c r="W165" s="29"/>
      <c r="Z165" s="26" t="s">
        <v>33</v>
      </c>
    </row>
    <row r="166" spans="1:146" ht="45" customHeight="1">
      <c r="A166" s="263" t="s">
        <v>1795</v>
      </c>
      <c r="B166" s="261"/>
      <c r="C166" s="192" t="s">
        <v>1693</v>
      </c>
      <c r="D166" s="145">
        <v>2007</v>
      </c>
      <c r="E166" s="145">
        <v>2012</v>
      </c>
      <c r="F166" s="145"/>
      <c r="G166" s="144" t="s">
        <v>289</v>
      </c>
      <c r="H166" s="145" t="s">
        <v>290</v>
      </c>
      <c r="I166" s="145" t="s">
        <v>57</v>
      </c>
      <c r="J166" s="145" t="s">
        <v>31</v>
      </c>
      <c r="K166" s="145"/>
      <c r="L166" s="281">
        <v>18319916</v>
      </c>
      <c r="M166" s="145"/>
      <c r="N166" s="150" t="s">
        <v>31</v>
      </c>
      <c r="O166" s="145"/>
      <c r="P166" s="145"/>
      <c r="Q166" s="145" t="s">
        <v>31</v>
      </c>
      <c r="R166" s="145" t="s">
        <v>31</v>
      </c>
      <c r="S166" s="348"/>
      <c r="T166" s="232" t="s">
        <v>23</v>
      </c>
      <c r="U166" s="145"/>
      <c r="V166" s="145"/>
      <c r="W166" s="145"/>
      <c r="X166" s="183"/>
      <c r="Y166" s="204"/>
      <c r="Z166" s="262" t="s">
        <v>33</v>
      </c>
    </row>
    <row r="167" spans="1:146" ht="45" customHeight="1">
      <c r="A167" s="296" t="s">
        <v>911</v>
      </c>
      <c r="B167" s="42"/>
      <c r="C167" s="332" t="s">
        <v>1796</v>
      </c>
      <c r="D167" s="29">
        <v>2007</v>
      </c>
      <c r="E167" s="29">
        <v>2011</v>
      </c>
      <c r="F167" s="29" t="s">
        <v>71</v>
      </c>
      <c r="G167" s="31" t="s">
        <v>36</v>
      </c>
      <c r="H167" s="29" t="s">
        <v>72</v>
      </c>
      <c r="I167" s="29" t="s">
        <v>722</v>
      </c>
      <c r="J167" s="80" t="s">
        <v>31</v>
      </c>
      <c r="K167" s="332" t="s">
        <v>1797</v>
      </c>
      <c r="L167" s="306">
        <v>4000000</v>
      </c>
      <c r="M167" s="29"/>
      <c r="N167" s="29" t="s">
        <v>31</v>
      </c>
      <c r="O167" s="29"/>
      <c r="P167" s="29"/>
      <c r="Q167" s="29"/>
      <c r="R167" s="29"/>
      <c r="S167" s="304" t="s">
        <v>1649</v>
      </c>
      <c r="T167" s="36"/>
      <c r="U167" s="29"/>
      <c r="V167" s="29"/>
      <c r="W167" s="29"/>
      <c r="X167" s="171"/>
      <c r="Y167" s="64"/>
      <c r="Z167" s="26" t="s">
        <v>33</v>
      </c>
    </row>
    <row r="168" spans="1:146" s="147" customFormat="1" ht="45" customHeight="1">
      <c r="A168" s="47" t="s">
        <v>920</v>
      </c>
      <c r="B168" s="28"/>
      <c r="C168" s="86" t="s">
        <v>1743</v>
      </c>
      <c r="D168" s="29">
        <v>2007</v>
      </c>
      <c r="E168" s="29">
        <v>2011</v>
      </c>
      <c r="F168" s="29" t="s">
        <v>276</v>
      </c>
      <c r="G168" s="31" t="s">
        <v>47</v>
      </c>
      <c r="H168" s="29" t="s">
        <v>277</v>
      </c>
      <c r="I168" s="31" t="s">
        <v>722</v>
      </c>
      <c r="J168" s="213" t="s">
        <v>921</v>
      </c>
      <c r="K168" s="213" t="s">
        <v>31</v>
      </c>
      <c r="L168" s="339">
        <v>770473</v>
      </c>
      <c r="M168" s="29"/>
      <c r="N168" s="29" t="s">
        <v>31</v>
      </c>
      <c r="O168" s="29"/>
      <c r="P168" s="29"/>
      <c r="Q168" s="29"/>
      <c r="R168" s="29"/>
      <c r="S168" s="304" t="s">
        <v>922</v>
      </c>
      <c r="T168" s="97" t="s">
        <v>23</v>
      </c>
      <c r="U168" s="29"/>
      <c r="V168" s="29"/>
      <c r="W168" s="29"/>
      <c r="X168" s="189"/>
      <c r="Y168" s="64"/>
      <c r="Z168" s="26" t="s">
        <v>33</v>
      </c>
      <c r="AA168" s="234"/>
      <c r="AB168" s="234"/>
      <c r="AC168" s="234"/>
      <c r="AD168" s="234"/>
      <c r="AE168" s="234"/>
      <c r="AF168" s="234"/>
      <c r="AG168" s="234"/>
      <c r="AH168" s="234"/>
      <c r="AI168" s="234"/>
      <c r="AJ168" s="234"/>
      <c r="AK168" s="234"/>
      <c r="AL168" s="234"/>
      <c r="AM168" s="234"/>
      <c r="AN168" s="234"/>
      <c r="AO168" s="234"/>
      <c r="AP168" s="234"/>
      <c r="AQ168" s="234"/>
      <c r="AR168" s="234"/>
      <c r="AS168" s="234"/>
      <c r="AT168" s="234"/>
      <c r="AU168" s="234"/>
      <c r="AV168" s="234"/>
      <c r="AW168" s="234"/>
      <c r="AX168" s="234"/>
      <c r="AY168" s="234"/>
      <c r="AZ168" s="234"/>
      <c r="BA168" s="234"/>
      <c r="BB168" s="234"/>
      <c r="BC168" s="234"/>
      <c r="BD168" s="234"/>
      <c r="BE168" s="234"/>
      <c r="BF168" s="234"/>
      <c r="BG168" s="234"/>
      <c r="BH168" s="234"/>
      <c r="BI168" s="234"/>
      <c r="BJ168" s="234"/>
      <c r="BK168" s="234"/>
      <c r="BL168" s="234"/>
      <c r="BM168" s="234"/>
      <c r="BN168" s="234"/>
      <c r="BO168" s="234"/>
      <c r="BP168" s="234"/>
      <c r="BQ168" s="234"/>
      <c r="BR168" s="234"/>
      <c r="BS168" s="234"/>
      <c r="BT168" s="234"/>
      <c r="BU168" s="234"/>
      <c r="BV168" s="234"/>
      <c r="BW168" s="234"/>
      <c r="BX168" s="234"/>
      <c r="BY168" s="234"/>
      <c r="BZ168" s="234"/>
      <c r="CA168" s="234"/>
      <c r="CB168" s="234"/>
      <c r="CC168" s="234"/>
      <c r="CD168" s="234"/>
      <c r="CE168" s="234"/>
      <c r="CF168" s="234"/>
      <c r="CG168" s="234"/>
      <c r="CH168" s="234"/>
      <c r="CI168" s="234"/>
      <c r="CJ168" s="234"/>
      <c r="CK168" s="234"/>
      <c r="CL168" s="234"/>
      <c r="CM168" s="234"/>
      <c r="CN168" s="234"/>
      <c r="CO168" s="234"/>
      <c r="CP168" s="234"/>
      <c r="CQ168" s="234"/>
      <c r="CR168" s="234"/>
      <c r="CS168" s="234"/>
      <c r="CT168" s="234"/>
      <c r="CU168" s="234"/>
      <c r="CV168" s="234"/>
      <c r="CW168" s="234"/>
      <c r="CX168" s="234"/>
      <c r="CY168" s="234"/>
      <c r="CZ168" s="234"/>
      <c r="DA168" s="234"/>
      <c r="DB168" s="234"/>
      <c r="DC168" s="234"/>
      <c r="DD168" s="234"/>
      <c r="DE168" s="234"/>
      <c r="DF168" s="234"/>
      <c r="DG168" s="234"/>
      <c r="DH168" s="234"/>
      <c r="DI168" s="234"/>
      <c r="DJ168" s="234"/>
      <c r="DK168" s="234"/>
      <c r="DL168" s="234"/>
      <c r="DM168" s="234"/>
      <c r="DN168" s="234"/>
      <c r="DO168" s="234"/>
      <c r="DP168" s="234"/>
      <c r="DQ168" s="234"/>
      <c r="DR168" s="234"/>
      <c r="DS168" s="234"/>
      <c r="DT168" s="234"/>
      <c r="DU168" s="234"/>
      <c r="DV168" s="234"/>
      <c r="DW168" s="234"/>
      <c r="DX168" s="234"/>
      <c r="DY168" s="234"/>
      <c r="DZ168" s="234"/>
      <c r="EA168" s="234"/>
      <c r="EB168" s="234"/>
      <c r="EC168" s="234"/>
      <c r="ED168" s="234"/>
      <c r="EE168" s="234"/>
      <c r="EF168" s="234"/>
      <c r="EG168" s="234"/>
      <c r="EH168" s="234"/>
      <c r="EI168" s="234"/>
      <c r="EJ168" s="234"/>
      <c r="EK168" s="234"/>
      <c r="EL168" s="234"/>
      <c r="EM168" s="234"/>
      <c r="EN168" s="234"/>
      <c r="EO168" s="234"/>
      <c r="EP168" s="234"/>
    </row>
    <row r="169" spans="1:146" s="147" customFormat="1" ht="45" customHeight="1">
      <c r="A169" s="46" t="s">
        <v>951</v>
      </c>
      <c r="B169" s="42"/>
      <c r="C169" s="29" t="s">
        <v>736</v>
      </c>
      <c r="D169" s="29">
        <v>2008</v>
      </c>
      <c r="E169" s="29">
        <v>2008</v>
      </c>
      <c r="F169" s="29" t="s">
        <v>737</v>
      </c>
      <c r="G169" s="31" t="s">
        <v>254</v>
      </c>
      <c r="H169" s="29" t="s">
        <v>738</v>
      </c>
      <c r="I169" s="29" t="s">
        <v>739</v>
      </c>
      <c r="J169" s="80" t="s">
        <v>31</v>
      </c>
      <c r="K169" s="29"/>
      <c r="L169" s="32">
        <v>105761</v>
      </c>
      <c r="M169" s="29" t="s">
        <v>31</v>
      </c>
      <c r="N169" s="29" t="s">
        <v>31</v>
      </c>
      <c r="O169" s="29"/>
      <c r="P169" s="29"/>
      <c r="Q169" s="29"/>
      <c r="R169" s="29"/>
      <c r="S169" s="304" t="s">
        <v>1650</v>
      </c>
      <c r="T169" s="36"/>
      <c r="U169" s="29"/>
      <c r="V169" s="29"/>
      <c r="W169" s="29"/>
      <c r="X169" s="171" t="s">
        <v>952</v>
      </c>
      <c r="Y169" s="69" t="s">
        <v>953</v>
      </c>
      <c r="Z169" s="26" t="s">
        <v>33</v>
      </c>
      <c r="AA169" s="234"/>
      <c r="AB169" s="234"/>
      <c r="AC169" s="234"/>
      <c r="AD169" s="234"/>
      <c r="AE169" s="234"/>
      <c r="AF169" s="234"/>
      <c r="AG169" s="234"/>
      <c r="AH169" s="234"/>
      <c r="AI169" s="234"/>
      <c r="AJ169" s="234"/>
      <c r="AK169" s="234"/>
      <c r="AL169" s="234"/>
      <c r="AM169" s="234"/>
      <c r="AN169" s="234"/>
      <c r="AO169" s="234"/>
      <c r="AP169" s="234"/>
      <c r="AQ169" s="234"/>
      <c r="AR169" s="234"/>
      <c r="AS169" s="234"/>
      <c r="AT169" s="234"/>
      <c r="AU169" s="234"/>
      <c r="AV169" s="234"/>
      <c r="AW169" s="234"/>
      <c r="AX169" s="234"/>
      <c r="AY169" s="234"/>
      <c r="AZ169" s="234"/>
      <c r="BA169" s="234"/>
      <c r="BB169" s="234"/>
      <c r="BC169" s="234"/>
      <c r="BD169" s="234"/>
      <c r="BE169" s="234"/>
      <c r="BF169" s="234"/>
      <c r="BG169" s="234"/>
      <c r="BH169" s="234"/>
      <c r="BI169" s="234"/>
      <c r="BJ169" s="234"/>
      <c r="BK169" s="234"/>
      <c r="BL169" s="234"/>
      <c r="BM169" s="234"/>
      <c r="BN169" s="234"/>
      <c r="BO169" s="234"/>
      <c r="BP169" s="234"/>
      <c r="BQ169" s="234"/>
      <c r="BR169" s="234"/>
      <c r="BS169" s="234"/>
      <c r="BT169" s="234"/>
      <c r="BU169" s="234"/>
      <c r="BV169" s="234"/>
      <c r="BW169" s="234"/>
      <c r="BX169" s="234"/>
      <c r="BY169" s="234"/>
      <c r="BZ169" s="234"/>
      <c r="CA169" s="234"/>
      <c r="CB169" s="234"/>
      <c r="CC169" s="234"/>
      <c r="CD169" s="234"/>
      <c r="CE169" s="234"/>
      <c r="CF169" s="234"/>
      <c r="CG169" s="234"/>
      <c r="CH169" s="234"/>
      <c r="CI169" s="234"/>
      <c r="CJ169" s="234"/>
      <c r="CK169" s="234"/>
      <c r="CL169" s="234"/>
      <c r="CM169" s="234"/>
      <c r="CN169" s="234"/>
      <c r="CO169" s="234"/>
      <c r="CP169" s="234"/>
      <c r="CQ169" s="234"/>
      <c r="CR169" s="234"/>
      <c r="CS169" s="234"/>
      <c r="CT169" s="234"/>
      <c r="CU169" s="234"/>
      <c r="CV169" s="234"/>
      <c r="CW169" s="234"/>
      <c r="CX169" s="234"/>
      <c r="CY169" s="234"/>
      <c r="CZ169" s="234"/>
      <c r="DA169" s="234"/>
      <c r="DB169" s="234"/>
      <c r="DC169" s="234"/>
      <c r="DD169" s="234"/>
      <c r="DE169" s="234"/>
      <c r="DF169" s="234"/>
      <c r="DG169" s="234"/>
      <c r="DH169" s="234"/>
      <c r="DI169" s="234"/>
      <c r="DJ169" s="234"/>
      <c r="DK169" s="234"/>
      <c r="DL169" s="234"/>
      <c r="DM169" s="234"/>
      <c r="DN169" s="234"/>
      <c r="DO169" s="234"/>
      <c r="DP169" s="234"/>
      <c r="DQ169" s="234"/>
      <c r="DR169" s="234"/>
      <c r="DS169" s="234"/>
      <c r="DT169" s="234"/>
      <c r="DU169" s="234"/>
      <c r="DV169" s="234"/>
      <c r="DW169" s="234"/>
      <c r="DX169" s="234"/>
      <c r="DY169" s="234"/>
      <c r="DZ169" s="234"/>
      <c r="EA169" s="234"/>
      <c r="EB169" s="234"/>
      <c r="EC169" s="234"/>
      <c r="ED169" s="234"/>
      <c r="EE169" s="234"/>
      <c r="EF169" s="234"/>
      <c r="EG169" s="234"/>
      <c r="EH169" s="234"/>
      <c r="EI169" s="234"/>
      <c r="EJ169" s="234"/>
      <c r="EK169" s="234"/>
      <c r="EL169" s="234"/>
      <c r="EM169" s="234"/>
      <c r="EN169" s="234"/>
      <c r="EO169" s="234"/>
      <c r="EP169" s="234"/>
    </row>
    <row r="170" spans="1:146" ht="45" customHeight="1">
      <c r="A170" s="47" t="s">
        <v>974</v>
      </c>
      <c r="B170" s="28"/>
      <c r="C170" s="82"/>
      <c r="D170" s="29">
        <v>2008</v>
      </c>
      <c r="E170" s="29">
        <v>2011</v>
      </c>
      <c r="F170" s="29" t="s">
        <v>975</v>
      </c>
      <c r="G170" s="31" t="s">
        <v>271</v>
      </c>
      <c r="H170" s="99" t="s">
        <v>976</v>
      </c>
      <c r="I170" s="213" t="s">
        <v>1663</v>
      </c>
      <c r="J170" s="28" t="s">
        <v>906</v>
      </c>
      <c r="K170" s="29" t="s">
        <v>31</v>
      </c>
      <c r="L170" s="83"/>
      <c r="M170" s="29" t="s">
        <v>31</v>
      </c>
      <c r="N170" s="29"/>
      <c r="O170" s="29"/>
      <c r="P170" s="29"/>
      <c r="Q170" s="29"/>
      <c r="R170" s="29" t="s">
        <v>31</v>
      </c>
      <c r="S170" s="304" t="s">
        <v>977</v>
      </c>
      <c r="T170" s="29"/>
      <c r="U170" s="29"/>
      <c r="V170" s="29"/>
      <c r="W170" s="31"/>
      <c r="X170" s="171"/>
      <c r="Z170" s="26" t="s">
        <v>33</v>
      </c>
    </row>
    <row r="171" spans="1:146" ht="45" customHeight="1">
      <c r="A171" s="47" t="s">
        <v>962</v>
      </c>
      <c r="B171" s="28"/>
      <c r="C171" s="82"/>
      <c r="D171" s="29">
        <v>2008</v>
      </c>
      <c r="E171" s="29">
        <v>2008</v>
      </c>
      <c r="F171" s="29" t="s">
        <v>253</v>
      </c>
      <c r="G171" s="31" t="s">
        <v>271</v>
      </c>
      <c r="H171" s="87" t="s">
        <v>255</v>
      </c>
      <c r="I171" s="29" t="s">
        <v>57</v>
      </c>
      <c r="J171" s="28" t="s">
        <v>760</v>
      </c>
      <c r="K171" s="29" t="s">
        <v>31</v>
      </c>
      <c r="L171" s="83"/>
      <c r="M171" s="80" t="s">
        <v>31</v>
      </c>
      <c r="N171" s="29" t="s">
        <v>31</v>
      </c>
      <c r="O171" s="29"/>
      <c r="P171" s="29"/>
      <c r="Q171" s="29"/>
      <c r="R171" s="29"/>
      <c r="S171" s="304" t="s">
        <v>963</v>
      </c>
      <c r="T171" s="93" t="s">
        <v>23</v>
      </c>
      <c r="U171" s="31"/>
      <c r="V171" s="31"/>
      <c r="W171" s="31"/>
      <c r="X171" s="224"/>
      <c r="Y171" s="198" t="s">
        <v>964</v>
      </c>
      <c r="Z171" s="26" t="s">
        <v>33</v>
      </c>
    </row>
    <row r="172" spans="1:146" ht="45" customHeight="1">
      <c r="A172" s="47" t="s">
        <v>967</v>
      </c>
      <c r="B172" s="28"/>
      <c r="C172" s="86" t="s">
        <v>736</v>
      </c>
      <c r="D172" s="29">
        <v>2008</v>
      </c>
      <c r="E172" s="29">
        <v>2008</v>
      </c>
      <c r="F172" s="29" t="s">
        <v>965</v>
      </c>
      <c r="G172" s="31" t="s">
        <v>271</v>
      </c>
      <c r="H172" s="87" t="s">
        <v>966</v>
      </c>
      <c r="I172" s="29" t="s">
        <v>57</v>
      </c>
      <c r="J172" s="29" t="s">
        <v>31</v>
      </c>
      <c r="K172" s="29"/>
      <c r="L172" s="306">
        <v>332827</v>
      </c>
      <c r="M172" s="80" t="s">
        <v>31</v>
      </c>
      <c r="N172" s="29" t="s">
        <v>31</v>
      </c>
      <c r="O172" s="29"/>
      <c r="P172" s="29"/>
      <c r="Q172" s="29"/>
      <c r="R172" s="29"/>
      <c r="S172" s="304" t="s">
        <v>968</v>
      </c>
      <c r="T172" s="97" t="s">
        <v>23</v>
      </c>
      <c r="U172" s="31"/>
      <c r="V172" s="31"/>
      <c r="W172" s="31"/>
      <c r="X172" s="176" t="s">
        <v>969</v>
      </c>
      <c r="Y172" s="198" t="s">
        <v>970</v>
      </c>
      <c r="Z172" s="26" t="s">
        <v>33</v>
      </c>
    </row>
    <row r="173" spans="1:146" ht="45" customHeight="1">
      <c r="A173" s="154" t="s">
        <v>1651</v>
      </c>
      <c r="B173" s="28"/>
      <c r="C173" s="82"/>
      <c r="D173" s="29">
        <v>2008</v>
      </c>
      <c r="E173" s="29">
        <v>2010</v>
      </c>
      <c r="F173" s="29" t="s">
        <v>888</v>
      </c>
      <c r="G173" s="31" t="s">
        <v>271</v>
      </c>
      <c r="H173" s="87" t="s">
        <v>889</v>
      </c>
      <c r="I173" s="31" t="s">
        <v>57</v>
      </c>
      <c r="J173" s="29" t="s">
        <v>31</v>
      </c>
      <c r="K173" s="29"/>
      <c r="L173" s="83"/>
      <c r="M173" s="29" t="s">
        <v>31</v>
      </c>
      <c r="N173" s="29"/>
      <c r="O173" s="29"/>
      <c r="P173" s="29"/>
      <c r="Q173" s="29"/>
      <c r="R173" s="29"/>
      <c r="S173" s="304" t="s">
        <v>971</v>
      </c>
      <c r="T173" s="65"/>
      <c r="U173" s="29"/>
      <c r="V173" s="29"/>
      <c r="W173" s="29"/>
      <c r="X173" s="177" t="s">
        <v>972</v>
      </c>
      <c r="Y173" s="64" t="s">
        <v>973</v>
      </c>
      <c r="Z173" s="26" t="s">
        <v>33</v>
      </c>
    </row>
    <row r="174" spans="1:146" ht="45" customHeight="1">
      <c r="A174" s="47" t="s">
        <v>955</v>
      </c>
      <c r="B174" s="28"/>
      <c r="C174" s="29" t="s">
        <v>956</v>
      </c>
      <c r="D174" s="29">
        <v>2008</v>
      </c>
      <c r="E174" s="29">
        <v>2012</v>
      </c>
      <c r="F174" s="29" t="s">
        <v>957</v>
      </c>
      <c r="G174" s="31" t="s">
        <v>226</v>
      </c>
      <c r="H174" s="87" t="s">
        <v>958</v>
      </c>
      <c r="I174" s="29" t="s">
        <v>57</v>
      </c>
      <c r="J174" s="40" t="s">
        <v>750</v>
      </c>
      <c r="K174" s="29" t="s">
        <v>31</v>
      </c>
      <c r="L174" s="83"/>
      <c r="M174" s="29"/>
      <c r="N174" s="29"/>
      <c r="O174" s="29"/>
      <c r="P174" s="29"/>
      <c r="Q174" s="29"/>
      <c r="R174" s="29" t="s">
        <v>31</v>
      </c>
      <c r="S174" s="304" t="s">
        <v>959</v>
      </c>
      <c r="T174" s="29"/>
      <c r="U174" s="31"/>
      <c r="V174" s="31"/>
      <c r="W174" s="31"/>
      <c r="X174" s="180" t="s">
        <v>960</v>
      </c>
      <c r="Y174" s="69" t="s">
        <v>961</v>
      </c>
      <c r="Z174" s="26" t="s">
        <v>33</v>
      </c>
    </row>
    <row r="175" spans="1:146" ht="45" customHeight="1">
      <c r="A175" s="46" t="s">
        <v>948</v>
      </c>
      <c r="B175" s="42"/>
      <c r="C175" s="29" t="s">
        <v>949</v>
      </c>
      <c r="D175" s="29">
        <v>2008</v>
      </c>
      <c r="E175" s="29">
        <v>2009</v>
      </c>
      <c r="F175" s="29" t="s">
        <v>512</v>
      </c>
      <c r="G175" s="31" t="s">
        <v>36</v>
      </c>
      <c r="H175" s="29" t="s">
        <v>56</v>
      </c>
      <c r="I175" s="214" t="s">
        <v>950</v>
      </c>
      <c r="J175" s="80" t="s">
        <v>31</v>
      </c>
      <c r="K175" s="80"/>
      <c r="L175" s="306">
        <v>387500</v>
      </c>
      <c r="M175" s="29" t="s">
        <v>31</v>
      </c>
      <c r="N175" s="29"/>
      <c r="O175" s="29"/>
      <c r="P175" s="29"/>
      <c r="Q175" s="80" t="s">
        <v>31</v>
      </c>
      <c r="R175" s="29"/>
      <c r="S175" s="304" t="s">
        <v>954</v>
      </c>
      <c r="T175" s="36"/>
      <c r="U175" s="29"/>
      <c r="V175" s="29"/>
      <c r="W175" s="29"/>
      <c r="X175" s="167"/>
      <c r="Z175" s="26" t="s">
        <v>33</v>
      </c>
    </row>
    <row r="176" spans="1:146" ht="45" customHeight="1">
      <c r="A176" s="47" t="s">
        <v>978</v>
      </c>
      <c r="B176" s="28"/>
      <c r="C176" s="82" t="s">
        <v>979</v>
      </c>
      <c r="D176" s="29">
        <v>2009</v>
      </c>
      <c r="E176" s="29">
        <v>2012</v>
      </c>
      <c r="F176" s="82"/>
      <c r="G176" s="31" t="s">
        <v>290</v>
      </c>
      <c r="H176" s="87" t="s">
        <v>290</v>
      </c>
      <c r="I176" s="31" t="s">
        <v>57</v>
      </c>
      <c r="J176" s="29"/>
      <c r="K176" s="29" t="s">
        <v>31</v>
      </c>
      <c r="L176" s="83"/>
      <c r="M176" s="29" t="s">
        <v>31</v>
      </c>
      <c r="N176" s="29"/>
      <c r="O176" s="29"/>
      <c r="P176" s="29"/>
      <c r="Q176" s="29"/>
      <c r="R176" s="29"/>
      <c r="S176" s="304" t="s">
        <v>980</v>
      </c>
      <c r="T176" s="41"/>
      <c r="U176" s="29"/>
      <c r="V176" s="29"/>
      <c r="W176" s="29"/>
      <c r="X176" s="180" t="s">
        <v>1835</v>
      </c>
      <c r="Y176" s="198" t="s">
        <v>982</v>
      </c>
      <c r="Z176" s="26" t="s">
        <v>33</v>
      </c>
    </row>
    <row r="177" spans="1:146" ht="45" customHeight="1">
      <c r="A177" s="47" t="s">
        <v>993</v>
      </c>
      <c r="B177" s="28"/>
      <c r="C177" s="29" t="s">
        <v>994</v>
      </c>
      <c r="D177" s="29">
        <v>2010</v>
      </c>
      <c r="E177" s="29">
        <v>2015</v>
      </c>
      <c r="F177" s="29" t="s">
        <v>888</v>
      </c>
      <c r="G177" s="31" t="s">
        <v>254</v>
      </c>
      <c r="H177" s="87" t="s">
        <v>889</v>
      </c>
      <c r="I177" s="29" t="s">
        <v>57</v>
      </c>
      <c r="J177" s="29" t="s">
        <v>31</v>
      </c>
      <c r="K177" s="29"/>
      <c r="L177" s="306">
        <v>2000000</v>
      </c>
      <c r="M177" s="29" t="s">
        <v>31</v>
      </c>
      <c r="N177" s="29"/>
      <c r="O177" s="29"/>
      <c r="P177" s="29"/>
      <c r="Q177" s="80" t="s">
        <v>31</v>
      </c>
      <c r="R177" s="29" t="s">
        <v>31</v>
      </c>
      <c r="S177" s="304" t="s">
        <v>995</v>
      </c>
      <c r="T177" s="29"/>
      <c r="U177" s="29" t="s">
        <v>996</v>
      </c>
      <c r="V177" s="29" t="s">
        <v>997</v>
      </c>
      <c r="W177" s="29" t="s">
        <v>998</v>
      </c>
      <c r="X177" s="251" t="s">
        <v>1836</v>
      </c>
      <c r="Y177" s="69" t="s">
        <v>999</v>
      </c>
      <c r="Z177" s="26" t="s">
        <v>33</v>
      </c>
    </row>
    <row r="178" spans="1:146" ht="45" customHeight="1">
      <c r="A178" s="47" t="s">
        <v>991</v>
      </c>
      <c r="B178" s="28"/>
      <c r="C178" s="214" t="s">
        <v>1694</v>
      </c>
      <c r="D178" s="29">
        <v>2010</v>
      </c>
      <c r="E178" s="29">
        <v>2014</v>
      </c>
      <c r="F178" s="29" t="s">
        <v>766</v>
      </c>
      <c r="G178" s="31" t="s">
        <v>271</v>
      </c>
      <c r="H178" s="87" t="s">
        <v>463</v>
      </c>
      <c r="I178" s="29" t="s">
        <v>57</v>
      </c>
      <c r="J178" s="29" t="s">
        <v>782</v>
      </c>
      <c r="K178" s="29" t="s">
        <v>31</v>
      </c>
      <c r="L178" s="32">
        <v>261434</v>
      </c>
      <c r="M178" s="29" t="s">
        <v>31</v>
      </c>
      <c r="N178" s="29"/>
      <c r="O178" s="29" t="s">
        <v>31</v>
      </c>
      <c r="P178" s="29"/>
      <c r="Q178" s="29"/>
      <c r="R178" s="29"/>
      <c r="S178" s="304" t="s">
        <v>992</v>
      </c>
      <c r="T178" s="93" t="s">
        <v>862</v>
      </c>
      <c r="U178" s="31"/>
      <c r="V178" s="29"/>
      <c r="W178" s="29"/>
      <c r="X178" s="171"/>
      <c r="Y178" s="64"/>
      <c r="Z178" s="26" t="s">
        <v>33</v>
      </c>
    </row>
    <row r="179" spans="1:146" ht="45" customHeight="1">
      <c r="A179" s="47" t="s">
        <v>983</v>
      </c>
      <c r="B179" s="28"/>
      <c r="C179" s="29" t="s">
        <v>984</v>
      </c>
      <c r="D179" s="29">
        <v>2010</v>
      </c>
      <c r="E179" s="29">
        <v>2014</v>
      </c>
      <c r="F179" s="29" t="s">
        <v>276</v>
      </c>
      <c r="G179" s="31" t="s">
        <v>47</v>
      </c>
      <c r="H179" s="29" t="s">
        <v>277</v>
      </c>
      <c r="I179" s="29" t="s">
        <v>57</v>
      </c>
      <c r="J179" s="29" t="s">
        <v>31</v>
      </c>
      <c r="K179" s="29"/>
      <c r="L179" s="32">
        <v>13236801</v>
      </c>
      <c r="M179" s="29" t="s">
        <v>31</v>
      </c>
      <c r="N179" s="29"/>
      <c r="O179" s="29"/>
      <c r="P179" s="29"/>
      <c r="Q179" s="29"/>
      <c r="R179" s="29"/>
      <c r="S179" s="304" t="s">
        <v>985</v>
      </c>
      <c r="T179" s="93" t="s">
        <v>23</v>
      </c>
      <c r="U179" s="29" t="s">
        <v>986</v>
      </c>
      <c r="V179" s="29" t="s">
        <v>987</v>
      </c>
      <c r="W179" s="29" t="s">
        <v>988</v>
      </c>
      <c r="X179" s="178" t="s">
        <v>1837</v>
      </c>
      <c r="Y179" s="64" t="s">
        <v>1089</v>
      </c>
      <c r="Z179" s="26" t="s">
        <v>33</v>
      </c>
    </row>
    <row r="180" spans="1:146" ht="45" customHeight="1">
      <c r="A180" s="47" t="s">
        <v>1036</v>
      </c>
      <c r="B180" s="28"/>
      <c r="C180" s="31" t="s">
        <v>1037</v>
      </c>
      <c r="D180" s="29">
        <v>2011</v>
      </c>
      <c r="E180" s="29">
        <v>2016</v>
      </c>
      <c r="F180" s="29" t="s">
        <v>745</v>
      </c>
      <c r="G180" s="31" t="s">
        <v>271</v>
      </c>
      <c r="H180" s="87" t="s">
        <v>767</v>
      </c>
      <c r="I180" s="29" t="s">
        <v>57</v>
      </c>
      <c r="J180" s="29" t="s">
        <v>31</v>
      </c>
      <c r="K180" s="29"/>
      <c r="L180" s="32">
        <v>608506</v>
      </c>
      <c r="M180" s="29" t="s">
        <v>31</v>
      </c>
      <c r="N180" s="29"/>
      <c r="O180" s="29"/>
      <c r="P180" s="29"/>
      <c r="Q180" s="29"/>
      <c r="R180" s="29"/>
      <c r="S180" s="304" t="s">
        <v>1038</v>
      </c>
      <c r="T180" s="29"/>
      <c r="U180" s="29"/>
      <c r="V180" s="29"/>
      <c r="W180" s="29"/>
      <c r="X180" s="180" t="s">
        <v>1039</v>
      </c>
      <c r="Y180" s="69" t="s">
        <v>1040</v>
      </c>
      <c r="Z180" s="26" t="s">
        <v>33</v>
      </c>
    </row>
    <row r="181" spans="1:146" ht="45" customHeight="1">
      <c r="A181" s="46" t="s">
        <v>1024</v>
      </c>
      <c r="B181" s="42"/>
      <c r="C181" s="29" t="s">
        <v>1025</v>
      </c>
      <c r="D181" s="29">
        <v>2011</v>
      </c>
      <c r="E181" s="29">
        <v>2013</v>
      </c>
      <c r="F181" s="82"/>
      <c r="G181" s="31" t="s">
        <v>200</v>
      </c>
      <c r="H181" s="87" t="s">
        <v>200</v>
      </c>
      <c r="I181" s="80" t="s">
        <v>57</v>
      </c>
      <c r="J181" s="80" t="s">
        <v>31</v>
      </c>
      <c r="K181" s="29"/>
      <c r="L181" s="83"/>
      <c r="M181" s="29"/>
      <c r="N181" s="29" t="s">
        <v>31</v>
      </c>
      <c r="O181" s="29"/>
      <c r="P181" s="29" t="s">
        <v>31</v>
      </c>
      <c r="Q181" s="29"/>
      <c r="R181" s="29"/>
      <c r="S181" s="305" t="s">
        <v>1026</v>
      </c>
      <c r="T181" s="29"/>
      <c r="U181" s="29"/>
      <c r="V181" s="29"/>
      <c r="W181" s="29"/>
      <c r="X181" s="171"/>
      <c r="Y181" s="64"/>
      <c r="Z181" s="26" t="s">
        <v>33</v>
      </c>
    </row>
    <row r="182" spans="1:146" ht="45" customHeight="1">
      <c r="A182" s="229" t="s">
        <v>1032</v>
      </c>
      <c r="B182" s="229"/>
      <c r="C182" s="210" t="s">
        <v>979</v>
      </c>
      <c r="D182" s="210">
        <v>2011</v>
      </c>
      <c r="E182" s="210">
        <v>2017</v>
      </c>
      <c r="F182" s="210" t="s">
        <v>314</v>
      </c>
      <c r="G182" s="230" t="s">
        <v>289</v>
      </c>
      <c r="H182" s="210" t="s">
        <v>290</v>
      </c>
      <c r="I182" s="210" t="s">
        <v>1033</v>
      </c>
      <c r="J182" s="210" t="s">
        <v>391</v>
      </c>
      <c r="K182" s="210"/>
      <c r="L182" s="231">
        <v>16451373</v>
      </c>
      <c r="M182" s="210" t="s">
        <v>31</v>
      </c>
      <c r="N182" s="210"/>
      <c r="O182" s="210"/>
      <c r="P182" s="210"/>
      <c r="Q182" s="210" t="s">
        <v>31</v>
      </c>
      <c r="R182" s="210"/>
      <c r="S182" s="323" t="s">
        <v>1734</v>
      </c>
      <c r="T182" s="232" t="s">
        <v>23</v>
      </c>
      <c r="U182" s="230" t="s">
        <v>1034</v>
      </c>
      <c r="V182" s="230"/>
      <c r="W182" s="230" t="s">
        <v>1035</v>
      </c>
      <c r="X182" s="183"/>
      <c r="Y182" s="233"/>
      <c r="Z182" s="234" t="s">
        <v>33</v>
      </c>
    </row>
    <row r="183" spans="1:146" ht="45" customHeight="1">
      <c r="A183" s="228" t="s">
        <v>1029</v>
      </c>
      <c r="B183" s="35"/>
      <c r="C183" s="36" t="s">
        <v>1030</v>
      </c>
      <c r="D183" s="36">
        <v>2011</v>
      </c>
      <c r="E183" s="36">
        <v>2011</v>
      </c>
      <c r="F183" s="36" t="s">
        <v>27</v>
      </c>
      <c r="G183" s="37" t="s">
        <v>28</v>
      </c>
      <c r="H183" s="104" t="s">
        <v>29</v>
      </c>
      <c r="I183" s="36" t="s">
        <v>57</v>
      </c>
      <c r="J183" s="36" t="s">
        <v>31</v>
      </c>
      <c r="K183" s="36"/>
      <c r="L183" s="68">
        <v>83860</v>
      </c>
      <c r="M183" s="227" t="s">
        <v>31</v>
      </c>
      <c r="N183" s="36" t="s">
        <v>31</v>
      </c>
      <c r="O183" s="36"/>
      <c r="P183" s="36"/>
      <c r="Q183" s="36"/>
      <c r="R183" s="36"/>
      <c r="S183" s="305" t="s">
        <v>1031</v>
      </c>
      <c r="T183" s="97" t="s">
        <v>862</v>
      </c>
      <c r="U183" s="37"/>
      <c r="V183" s="37"/>
      <c r="W183" s="37"/>
      <c r="X183" s="171"/>
      <c r="Y183" s="64"/>
      <c r="Z183" s="26" t="s">
        <v>33</v>
      </c>
    </row>
    <row r="184" spans="1:146" s="147" customFormat="1" ht="45" customHeight="1">
      <c r="A184" s="228" t="s">
        <v>1063</v>
      </c>
      <c r="B184" s="35"/>
      <c r="C184" s="227" t="s">
        <v>1682</v>
      </c>
      <c r="D184" s="36">
        <v>2012</v>
      </c>
      <c r="E184" s="36">
        <v>2015</v>
      </c>
      <c r="F184" s="227" t="s">
        <v>1685</v>
      </c>
      <c r="G184" s="37" t="s">
        <v>271</v>
      </c>
      <c r="H184" s="238" t="s">
        <v>1686</v>
      </c>
      <c r="I184" s="227" t="s">
        <v>1077</v>
      </c>
      <c r="J184" s="36" t="s">
        <v>31</v>
      </c>
      <c r="K184" s="227" t="s">
        <v>1683</v>
      </c>
      <c r="L184" s="68">
        <v>386447.57</v>
      </c>
      <c r="M184" s="36" t="s">
        <v>31</v>
      </c>
      <c r="N184" s="36" t="s">
        <v>31</v>
      </c>
      <c r="O184" s="36"/>
      <c r="P184" s="36"/>
      <c r="Q184" s="36"/>
      <c r="R184" s="36"/>
      <c r="S184" s="305" t="s">
        <v>1684</v>
      </c>
      <c r="T184" s="36"/>
      <c r="U184" s="36" t="s">
        <v>1064</v>
      </c>
      <c r="V184" s="36"/>
      <c r="W184" s="36" t="s">
        <v>1065</v>
      </c>
      <c r="X184" s="171"/>
      <c r="Y184" s="69"/>
      <c r="Z184" s="26" t="s">
        <v>33</v>
      </c>
      <c r="AA184" s="234"/>
      <c r="AB184" s="234"/>
      <c r="AC184" s="234"/>
      <c r="AD184" s="234"/>
      <c r="AE184" s="234"/>
      <c r="AF184" s="234"/>
      <c r="AG184" s="234"/>
      <c r="AH184" s="234"/>
      <c r="AI184" s="234"/>
      <c r="AJ184" s="234"/>
      <c r="AK184" s="234"/>
      <c r="AL184" s="234"/>
      <c r="AM184" s="234"/>
      <c r="AN184" s="234"/>
      <c r="AO184" s="234"/>
      <c r="AP184" s="234"/>
      <c r="AQ184" s="234"/>
      <c r="AR184" s="234"/>
      <c r="AS184" s="234"/>
      <c r="AT184" s="234"/>
      <c r="AU184" s="234"/>
      <c r="AV184" s="234"/>
      <c r="AW184" s="234"/>
      <c r="AX184" s="234"/>
      <c r="AY184" s="234"/>
      <c r="AZ184" s="234"/>
      <c r="BA184" s="234"/>
      <c r="BB184" s="234"/>
      <c r="BC184" s="234"/>
      <c r="BD184" s="234"/>
      <c r="BE184" s="234"/>
      <c r="BF184" s="234"/>
      <c r="BG184" s="234"/>
      <c r="BH184" s="234"/>
      <c r="BI184" s="234"/>
      <c r="BJ184" s="234"/>
      <c r="BK184" s="234"/>
      <c r="BL184" s="234"/>
      <c r="BM184" s="234"/>
      <c r="BN184" s="234"/>
      <c r="BO184" s="234"/>
      <c r="BP184" s="234"/>
      <c r="BQ184" s="234"/>
      <c r="BR184" s="234"/>
      <c r="BS184" s="234"/>
      <c r="BT184" s="234"/>
      <c r="BU184" s="234"/>
      <c r="BV184" s="234"/>
      <c r="BW184" s="234"/>
      <c r="BX184" s="234"/>
      <c r="BY184" s="234"/>
      <c r="BZ184" s="234"/>
      <c r="CA184" s="234"/>
      <c r="CB184" s="234"/>
      <c r="CC184" s="234"/>
      <c r="CD184" s="234"/>
      <c r="CE184" s="234"/>
      <c r="CF184" s="234"/>
      <c r="CG184" s="234"/>
      <c r="CH184" s="234"/>
      <c r="CI184" s="234"/>
      <c r="CJ184" s="234"/>
      <c r="CK184" s="234"/>
      <c r="CL184" s="234"/>
      <c r="CM184" s="234"/>
      <c r="CN184" s="234"/>
      <c r="CO184" s="234"/>
      <c r="CP184" s="234"/>
      <c r="CQ184" s="234"/>
      <c r="CR184" s="234"/>
      <c r="CS184" s="234"/>
      <c r="CT184" s="234"/>
      <c r="CU184" s="234"/>
      <c r="CV184" s="234"/>
      <c r="CW184" s="234"/>
      <c r="CX184" s="234"/>
      <c r="CY184" s="234"/>
      <c r="CZ184" s="234"/>
      <c r="DA184" s="234"/>
      <c r="DB184" s="234"/>
      <c r="DC184" s="234"/>
      <c r="DD184" s="234"/>
      <c r="DE184" s="234"/>
      <c r="DF184" s="234"/>
      <c r="DG184" s="234"/>
      <c r="DH184" s="234"/>
      <c r="DI184" s="234"/>
      <c r="DJ184" s="234"/>
      <c r="DK184" s="234"/>
      <c r="DL184" s="234"/>
      <c r="DM184" s="234"/>
      <c r="DN184" s="234"/>
      <c r="DO184" s="234"/>
      <c r="DP184" s="234"/>
      <c r="DQ184" s="234"/>
      <c r="DR184" s="234"/>
      <c r="DS184" s="234"/>
      <c r="DT184" s="234"/>
      <c r="DU184" s="234"/>
      <c r="DV184" s="234"/>
      <c r="DW184" s="234"/>
      <c r="DX184" s="234"/>
      <c r="DY184" s="234"/>
      <c r="DZ184" s="234"/>
      <c r="EA184" s="234"/>
      <c r="EB184" s="234"/>
      <c r="EC184" s="234"/>
      <c r="ED184" s="234"/>
      <c r="EE184" s="234"/>
      <c r="EF184" s="234"/>
      <c r="EG184" s="234"/>
      <c r="EH184" s="234"/>
      <c r="EI184" s="234"/>
      <c r="EJ184" s="234"/>
      <c r="EK184" s="234"/>
      <c r="EL184" s="234"/>
      <c r="EM184" s="234"/>
      <c r="EN184" s="234"/>
      <c r="EO184" s="234"/>
      <c r="EP184" s="234"/>
    </row>
    <row r="185" spans="1:146" ht="45" customHeight="1">
      <c r="A185" s="240" t="s">
        <v>1714</v>
      </c>
      <c r="B185" s="35"/>
      <c r="C185" s="227" t="s">
        <v>1715</v>
      </c>
      <c r="D185" s="36">
        <v>2012</v>
      </c>
      <c r="E185" s="36">
        <v>2013</v>
      </c>
      <c r="F185" s="227" t="s">
        <v>1718</v>
      </c>
      <c r="G185" s="239" t="s">
        <v>200</v>
      </c>
      <c r="H185" s="238" t="s">
        <v>1717</v>
      </c>
      <c r="I185" s="239" t="s">
        <v>1716</v>
      </c>
      <c r="J185" s="227" t="s">
        <v>31</v>
      </c>
      <c r="K185" s="36"/>
      <c r="L185" s="68">
        <v>230833</v>
      </c>
      <c r="M185" s="227" t="s">
        <v>31</v>
      </c>
      <c r="N185" s="36"/>
      <c r="O185" s="36"/>
      <c r="P185" s="36"/>
      <c r="Q185" s="36"/>
      <c r="R185" s="36"/>
      <c r="S185" s="305" t="s">
        <v>1719</v>
      </c>
      <c r="T185" s="97"/>
      <c r="U185" s="65"/>
      <c r="V185" s="65"/>
      <c r="W185" s="65"/>
      <c r="X185" s="176"/>
      <c r="Z185" s="221" t="s">
        <v>33</v>
      </c>
    </row>
    <row r="186" spans="1:146" ht="45" customHeight="1">
      <c r="A186" s="268" t="s">
        <v>1794</v>
      </c>
      <c r="B186" s="229"/>
      <c r="C186" s="269" t="s">
        <v>918</v>
      </c>
      <c r="D186" s="210">
        <v>2012</v>
      </c>
      <c r="E186" s="210">
        <v>2018</v>
      </c>
      <c r="F186" s="210"/>
      <c r="G186" s="269" t="s">
        <v>290</v>
      </c>
      <c r="H186" s="270" t="s">
        <v>290</v>
      </c>
      <c r="I186" s="269" t="s">
        <v>57</v>
      </c>
      <c r="J186" s="270" t="s">
        <v>31</v>
      </c>
      <c r="K186" s="210"/>
      <c r="L186" s="271">
        <v>21852354</v>
      </c>
      <c r="M186" s="210"/>
      <c r="N186" s="270" t="s">
        <v>31</v>
      </c>
      <c r="O186" s="210"/>
      <c r="P186" s="210"/>
      <c r="Q186" s="270" t="s">
        <v>31</v>
      </c>
      <c r="R186" s="270" t="s">
        <v>31</v>
      </c>
      <c r="S186" s="323" t="s">
        <v>919</v>
      </c>
      <c r="T186" s="232"/>
      <c r="U186" s="210"/>
      <c r="V186" s="210"/>
      <c r="W186" s="210"/>
      <c r="X186" s="183"/>
      <c r="Y186" s="204"/>
      <c r="Z186" s="262" t="s">
        <v>1074</v>
      </c>
    </row>
    <row r="187" spans="1:146" ht="45" customHeight="1">
      <c r="A187" s="228" t="s">
        <v>1066</v>
      </c>
      <c r="B187" s="35"/>
      <c r="C187" s="37" t="s">
        <v>1067</v>
      </c>
      <c r="D187" s="36">
        <v>2012</v>
      </c>
      <c r="E187" s="36">
        <v>2012</v>
      </c>
      <c r="F187" s="36" t="s">
        <v>512</v>
      </c>
      <c r="G187" s="37" t="s">
        <v>36</v>
      </c>
      <c r="H187" s="104" t="s">
        <v>56</v>
      </c>
      <c r="I187" s="36" t="s">
        <v>57</v>
      </c>
      <c r="J187" s="36" t="s">
        <v>31</v>
      </c>
      <c r="K187" s="36"/>
      <c r="L187" s="226"/>
      <c r="M187" s="36" t="s">
        <v>31</v>
      </c>
      <c r="N187" s="36"/>
      <c r="O187" s="36"/>
      <c r="P187" s="36"/>
      <c r="Q187" s="36"/>
      <c r="R187" s="36"/>
      <c r="S187" s="305" t="s">
        <v>1068</v>
      </c>
      <c r="T187" s="97" t="s">
        <v>862</v>
      </c>
      <c r="U187" s="70"/>
      <c r="V187" s="70"/>
      <c r="W187" s="70"/>
      <c r="X187" s="180" t="s">
        <v>1069</v>
      </c>
      <c r="Y187" s="69" t="s">
        <v>1070</v>
      </c>
      <c r="Z187" s="26" t="s">
        <v>33</v>
      </c>
    </row>
    <row r="188" spans="1:146" ht="45" customHeight="1">
      <c r="A188" s="240" t="s">
        <v>1692</v>
      </c>
      <c r="B188" s="35"/>
      <c r="C188" s="239" t="s">
        <v>1690</v>
      </c>
      <c r="D188" s="36">
        <v>2012</v>
      </c>
      <c r="E188" s="36">
        <v>2013</v>
      </c>
      <c r="F188" s="36" t="s">
        <v>71</v>
      </c>
      <c r="G188" s="37" t="s">
        <v>47</v>
      </c>
      <c r="H188" s="225" t="s">
        <v>72</v>
      </c>
      <c r="I188" s="36" t="s">
        <v>57</v>
      </c>
      <c r="J188" s="44" t="s">
        <v>1028</v>
      </c>
      <c r="K188" s="44" t="s">
        <v>31</v>
      </c>
      <c r="L188" s="241">
        <v>212291</v>
      </c>
      <c r="M188" s="36" t="s">
        <v>31</v>
      </c>
      <c r="N188" s="36"/>
      <c r="O188" s="36"/>
      <c r="P188" s="36"/>
      <c r="Q188" s="36"/>
      <c r="R188" s="227" t="s">
        <v>31</v>
      </c>
      <c r="S188" s="305" t="s">
        <v>1691</v>
      </c>
      <c r="T188" s="97" t="s">
        <v>23</v>
      </c>
      <c r="U188" s="36"/>
      <c r="V188" s="36"/>
      <c r="W188" s="36"/>
      <c r="X188" s="171"/>
      <c r="Y188" s="64"/>
      <c r="Z188" s="26" t="s">
        <v>33</v>
      </c>
    </row>
    <row r="189" spans="1:146" ht="45" customHeight="1">
      <c r="A189" s="228" t="s">
        <v>1055</v>
      </c>
      <c r="B189" s="35"/>
      <c r="C189" s="36" t="s">
        <v>1027</v>
      </c>
      <c r="D189" s="36">
        <v>2012</v>
      </c>
      <c r="E189" s="36">
        <v>2013</v>
      </c>
      <c r="F189" s="36" t="s">
        <v>71</v>
      </c>
      <c r="G189" s="239" t="s">
        <v>1095</v>
      </c>
      <c r="H189" s="225" t="s">
        <v>72</v>
      </c>
      <c r="I189" s="36" t="s">
        <v>57</v>
      </c>
      <c r="J189" s="44" t="s">
        <v>1028</v>
      </c>
      <c r="K189" s="44" t="s">
        <v>31</v>
      </c>
      <c r="L189" s="68">
        <v>201038</v>
      </c>
      <c r="M189" s="36"/>
      <c r="N189" s="36" t="s">
        <v>31</v>
      </c>
      <c r="O189" s="36"/>
      <c r="P189" s="36"/>
      <c r="Q189" s="36"/>
      <c r="R189" s="227"/>
      <c r="S189" s="305" t="s">
        <v>1056</v>
      </c>
      <c r="T189" s="97" t="s">
        <v>23</v>
      </c>
      <c r="U189" s="98" t="s">
        <v>1057</v>
      </c>
      <c r="V189" s="36"/>
      <c r="W189" s="36"/>
      <c r="X189" s="171"/>
      <c r="Y189" s="64"/>
      <c r="Z189" s="26" t="s">
        <v>33</v>
      </c>
    </row>
    <row r="190" spans="1:146" ht="45" customHeight="1">
      <c r="A190" s="228" t="s">
        <v>1058</v>
      </c>
      <c r="B190" s="35"/>
      <c r="C190" s="36" t="s">
        <v>1059</v>
      </c>
      <c r="D190" s="36">
        <v>2012</v>
      </c>
      <c r="E190" s="36">
        <v>2013</v>
      </c>
      <c r="F190" s="36" t="s">
        <v>276</v>
      </c>
      <c r="G190" s="239" t="s">
        <v>1662</v>
      </c>
      <c r="H190" s="104" t="s">
        <v>277</v>
      </c>
      <c r="I190" s="36" t="s">
        <v>57</v>
      </c>
      <c r="J190" s="227" t="s">
        <v>31</v>
      </c>
      <c r="K190" s="36"/>
      <c r="L190" s="68">
        <v>318473</v>
      </c>
      <c r="M190" s="36" t="s">
        <v>31</v>
      </c>
      <c r="N190" s="36"/>
      <c r="O190" s="227" t="s">
        <v>31</v>
      </c>
      <c r="P190" s="36"/>
      <c r="Q190" s="36"/>
      <c r="R190" s="36"/>
      <c r="S190" s="357" t="s">
        <v>1735</v>
      </c>
      <c r="T190" s="97" t="s">
        <v>23</v>
      </c>
      <c r="U190" s="36" t="s">
        <v>1060</v>
      </c>
      <c r="V190" s="97" t="s">
        <v>1061</v>
      </c>
      <c r="W190" s="36" t="s">
        <v>1062</v>
      </c>
      <c r="X190" s="171"/>
      <c r="Y190" s="64"/>
      <c r="Z190" s="26" t="s">
        <v>33</v>
      </c>
    </row>
    <row r="191" spans="1:146" ht="45" customHeight="1">
      <c r="A191" s="220" t="s">
        <v>1093</v>
      </c>
      <c r="B191" s="53"/>
      <c r="C191" s="36" t="s">
        <v>1094</v>
      </c>
      <c r="D191" s="36">
        <v>2013</v>
      </c>
      <c r="E191" s="36">
        <v>2018</v>
      </c>
      <c r="F191" s="36" t="s">
        <v>512</v>
      </c>
      <c r="G191" s="239" t="s">
        <v>36</v>
      </c>
      <c r="H191" s="36" t="s">
        <v>56</v>
      </c>
      <c r="I191" s="36" t="s">
        <v>57</v>
      </c>
      <c r="J191" s="36" t="s">
        <v>31</v>
      </c>
      <c r="K191" s="36"/>
      <c r="L191" s="226">
        <v>14752983.307522124</v>
      </c>
      <c r="M191" s="36" t="s">
        <v>31</v>
      </c>
      <c r="N191" s="36"/>
      <c r="O191" s="36"/>
      <c r="P191" s="36"/>
      <c r="Q191" s="36"/>
      <c r="R191" s="36"/>
      <c r="S191" s="305" t="s">
        <v>1695</v>
      </c>
      <c r="T191" s="36"/>
      <c r="U191" s="36"/>
      <c r="V191" s="36"/>
      <c r="W191" s="36"/>
      <c r="X191" s="235"/>
      <c r="Y191" s="244"/>
      <c r="Z191" s="221" t="s">
        <v>1074</v>
      </c>
    </row>
    <row r="192" spans="1:146" ht="45" customHeight="1">
      <c r="A192" s="240" t="s">
        <v>1653</v>
      </c>
      <c r="B192" s="228"/>
      <c r="C192" s="104" t="s">
        <v>1090</v>
      </c>
      <c r="D192" s="104">
        <v>2013</v>
      </c>
      <c r="E192" s="104">
        <v>2015</v>
      </c>
      <c r="F192" s="238" t="s">
        <v>276</v>
      </c>
      <c r="G192" s="225" t="s">
        <v>47</v>
      </c>
      <c r="H192" s="252" t="s">
        <v>277</v>
      </c>
      <c r="I192" s="227" t="s">
        <v>1077</v>
      </c>
      <c r="J192" s="104" t="s">
        <v>31</v>
      </c>
      <c r="K192" s="104"/>
      <c r="L192" s="241">
        <v>712018</v>
      </c>
      <c r="M192" s="104" t="s">
        <v>31</v>
      </c>
      <c r="N192" s="104"/>
      <c r="O192" s="238" t="s">
        <v>31</v>
      </c>
      <c r="P192" s="104"/>
      <c r="Q192" s="104"/>
      <c r="R192" s="104"/>
      <c r="S192" s="343" t="s">
        <v>1091</v>
      </c>
      <c r="T192" s="139" t="s">
        <v>23</v>
      </c>
      <c r="U192" s="225" t="s">
        <v>1092</v>
      </c>
      <c r="V192" s="225"/>
      <c r="W192" s="225"/>
      <c r="X192" s="242"/>
      <c r="Y192" s="243"/>
      <c r="Z192" s="103" t="s">
        <v>33</v>
      </c>
    </row>
    <row r="193" spans="1:146" ht="45" customHeight="1">
      <c r="A193" s="228" t="s">
        <v>1071</v>
      </c>
      <c r="B193" s="35"/>
      <c r="C193" s="36" t="s">
        <v>1072</v>
      </c>
      <c r="D193" s="36">
        <v>2013</v>
      </c>
      <c r="E193" s="36">
        <v>2019</v>
      </c>
      <c r="F193" s="36" t="s">
        <v>363</v>
      </c>
      <c r="G193" s="37" t="s">
        <v>47</v>
      </c>
      <c r="H193" s="104" t="s">
        <v>364</v>
      </c>
      <c r="I193" s="36" t="s">
        <v>57</v>
      </c>
      <c r="J193" s="227" t="s">
        <v>31</v>
      </c>
      <c r="K193" s="36"/>
      <c r="L193" s="339">
        <v>13195858</v>
      </c>
      <c r="M193" s="36"/>
      <c r="N193" s="36" t="s">
        <v>31</v>
      </c>
      <c r="O193" s="36"/>
      <c r="P193" s="36"/>
      <c r="Q193" s="36"/>
      <c r="R193" s="36"/>
      <c r="S193" s="305" t="s">
        <v>1073</v>
      </c>
      <c r="T193" s="97" t="s">
        <v>862</v>
      </c>
      <c r="U193" s="36"/>
      <c r="V193" s="36"/>
      <c r="W193" s="36"/>
      <c r="X193" s="235"/>
      <c r="Y193" s="236"/>
      <c r="Z193" s="26" t="s">
        <v>1074</v>
      </c>
    </row>
    <row r="194" spans="1:146" ht="45" customHeight="1">
      <c r="A194" s="240" t="s">
        <v>1724</v>
      </c>
      <c r="B194" s="35"/>
      <c r="C194" s="252" t="s">
        <v>1725</v>
      </c>
      <c r="D194" s="36">
        <v>2013</v>
      </c>
      <c r="E194" s="36">
        <v>2013</v>
      </c>
      <c r="F194" s="227" t="s">
        <v>1727</v>
      </c>
      <c r="G194" s="37" t="s">
        <v>677</v>
      </c>
      <c r="H194" s="238" t="s">
        <v>1726</v>
      </c>
      <c r="I194" s="227" t="s">
        <v>1077</v>
      </c>
      <c r="J194" s="238" t="s">
        <v>31</v>
      </c>
      <c r="K194" s="104"/>
      <c r="L194" s="241">
        <v>104949</v>
      </c>
      <c r="M194" s="36" t="s">
        <v>31</v>
      </c>
      <c r="N194" s="36" t="s">
        <v>31</v>
      </c>
      <c r="O194" s="36"/>
      <c r="P194" s="36"/>
      <c r="Q194" s="36"/>
      <c r="R194" s="36"/>
      <c r="S194" s="305" t="s">
        <v>1728</v>
      </c>
      <c r="T194" s="36"/>
      <c r="U194" s="37"/>
      <c r="V194" s="36"/>
      <c r="W194" s="36"/>
      <c r="Y194" s="64"/>
      <c r="Z194" s="26" t="s">
        <v>33</v>
      </c>
    </row>
    <row r="195" spans="1:146" ht="45" customHeight="1">
      <c r="A195" s="228" t="s">
        <v>1083</v>
      </c>
      <c r="B195" s="35"/>
      <c r="C195" s="227" t="s">
        <v>1736</v>
      </c>
      <c r="D195" s="36">
        <v>2013</v>
      </c>
      <c r="E195" s="36">
        <v>2013</v>
      </c>
      <c r="F195" s="227" t="s">
        <v>149</v>
      </c>
      <c r="G195" s="239" t="s">
        <v>157</v>
      </c>
      <c r="H195" s="238" t="s">
        <v>149</v>
      </c>
      <c r="I195" s="227" t="s">
        <v>1077</v>
      </c>
      <c r="J195" s="227" t="s">
        <v>31</v>
      </c>
      <c r="K195" s="36"/>
      <c r="L195" s="68">
        <v>50468</v>
      </c>
      <c r="M195" s="36" t="s">
        <v>31</v>
      </c>
      <c r="N195" s="36"/>
      <c r="O195" s="36"/>
      <c r="P195" s="36"/>
      <c r="Q195" s="227" t="s">
        <v>31</v>
      </c>
      <c r="R195" s="36"/>
      <c r="S195" s="305" t="s">
        <v>1084</v>
      </c>
      <c r="T195" s="97" t="s">
        <v>23</v>
      </c>
      <c r="U195" s="37" t="s">
        <v>1085</v>
      </c>
      <c r="V195" s="36" t="s">
        <v>1086</v>
      </c>
      <c r="W195" s="36" t="s">
        <v>1087</v>
      </c>
      <c r="X195" s="171"/>
      <c r="Y195" s="64"/>
      <c r="Z195" s="26" t="s">
        <v>33</v>
      </c>
    </row>
    <row r="196" spans="1:146" s="101" customFormat="1" ht="45" customHeight="1">
      <c r="A196" s="228" t="s">
        <v>1075</v>
      </c>
      <c r="B196" s="35"/>
      <c r="C196" s="36" t="s">
        <v>1076</v>
      </c>
      <c r="D196" s="36">
        <v>2013</v>
      </c>
      <c r="E196" s="36">
        <v>2013</v>
      </c>
      <c r="F196" s="238" t="s">
        <v>149</v>
      </c>
      <c r="G196" s="239" t="s">
        <v>157</v>
      </c>
      <c r="H196" s="238" t="s">
        <v>149</v>
      </c>
      <c r="I196" s="36" t="s">
        <v>1077</v>
      </c>
      <c r="J196" s="36" t="s">
        <v>31</v>
      </c>
      <c r="K196" s="36"/>
      <c r="L196" s="68">
        <v>157768</v>
      </c>
      <c r="M196" s="227" t="s">
        <v>31</v>
      </c>
      <c r="N196" s="36" t="s">
        <v>31</v>
      </c>
      <c r="O196" s="36"/>
      <c r="P196" s="36"/>
      <c r="Q196" s="227" t="s">
        <v>31</v>
      </c>
      <c r="R196" s="36"/>
      <c r="S196" s="305" t="s">
        <v>1078</v>
      </c>
      <c r="T196" s="97" t="s">
        <v>23</v>
      </c>
      <c r="U196" s="36" t="s">
        <v>1079</v>
      </c>
      <c r="V196" s="97" t="s">
        <v>1080</v>
      </c>
      <c r="W196" s="36"/>
      <c r="X196" s="168"/>
      <c r="Y196" s="64"/>
      <c r="Z196" s="26" t="s">
        <v>33</v>
      </c>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c r="BS196" s="103"/>
      <c r="BT196" s="103"/>
      <c r="BU196" s="103"/>
      <c r="BV196" s="103"/>
      <c r="BW196" s="103"/>
      <c r="BX196" s="103"/>
      <c r="BY196" s="103"/>
      <c r="BZ196" s="103"/>
      <c r="CA196" s="103"/>
      <c r="CB196" s="103"/>
      <c r="CC196" s="103"/>
      <c r="CD196" s="103"/>
      <c r="CE196" s="103"/>
      <c r="CF196" s="103"/>
      <c r="CG196" s="103"/>
      <c r="CH196" s="103"/>
      <c r="CI196" s="103"/>
      <c r="CJ196" s="103"/>
      <c r="CK196" s="103"/>
      <c r="CL196" s="103"/>
      <c r="CM196" s="103"/>
      <c r="CN196" s="103"/>
      <c r="CO196" s="103"/>
      <c r="CP196" s="103"/>
      <c r="CQ196" s="103"/>
      <c r="CR196" s="103"/>
      <c r="CS196" s="103"/>
      <c r="CT196" s="103"/>
      <c r="CU196" s="103"/>
      <c r="CV196" s="103"/>
      <c r="CW196" s="103"/>
      <c r="CX196" s="103"/>
      <c r="CY196" s="103"/>
      <c r="CZ196" s="103"/>
      <c r="DA196" s="103"/>
      <c r="DB196" s="103"/>
      <c r="DC196" s="103"/>
      <c r="DD196" s="103"/>
      <c r="DE196" s="103"/>
      <c r="DF196" s="103"/>
      <c r="DG196" s="103"/>
      <c r="DH196" s="103"/>
      <c r="DI196" s="103"/>
      <c r="DJ196" s="103"/>
      <c r="DK196" s="103"/>
      <c r="DL196" s="103"/>
      <c r="DM196" s="103"/>
      <c r="DN196" s="103"/>
      <c r="DO196" s="103"/>
      <c r="DP196" s="103"/>
      <c r="DQ196" s="103"/>
      <c r="DR196" s="103"/>
      <c r="DS196" s="103"/>
      <c r="DT196" s="103"/>
      <c r="DU196" s="103"/>
      <c r="DV196" s="103"/>
      <c r="DW196" s="103"/>
      <c r="DX196" s="103"/>
      <c r="DY196" s="103"/>
      <c r="DZ196" s="103"/>
      <c r="EA196" s="103"/>
      <c r="EB196" s="103"/>
      <c r="EC196" s="103"/>
      <c r="ED196" s="103"/>
      <c r="EE196" s="103"/>
      <c r="EF196" s="103"/>
      <c r="EG196" s="103"/>
      <c r="EH196" s="103"/>
      <c r="EI196" s="103"/>
      <c r="EJ196" s="103"/>
      <c r="EK196" s="103"/>
      <c r="EL196" s="103"/>
      <c r="EM196" s="103"/>
      <c r="EN196" s="103"/>
      <c r="EO196" s="103"/>
      <c r="EP196" s="103"/>
    </row>
    <row r="197" spans="1:146" ht="45" customHeight="1">
      <c r="A197" s="228" t="s">
        <v>1081</v>
      </c>
      <c r="B197" s="35"/>
      <c r="C197" s="36" t="s">
        <v>1082</v>
      </c>
      <c r="D197" s="36">
        <v>2013</v>
      </c>
      <c r="E197" s="36">
        <v>2014</v>
      </c>
      <c r="F197" s="227" t="s">
        <v>149</v>
      </c>
      <c r="G197" s="239" t="s">
        <v>157</v>
      </c>
      <c r="H197" s="238" t="s">
        <v>149</v>
      </c>
      <c r="I197" s="36" t="s">
        <v>1077</v>
      </c>
      <c r="J197" s="36" t="s">
        <v>31</v>
      </c>
      <c r="K197" s="36"/>
      <c r="L197" s="68">
        <v>100276</v>
      </c>
      <c r="M197" s="227" t="s">
        <v>31</v>
      </c>
      <c r="N197" s="36" t="s">
        <v>31</v>
      </c>
      <c r="O197" s="36"/>
      <c r="P197" s="36"/>
      <c r="Q197" s="36"/>
      <c r="R197" s="36"/>
      <c r="S197" s="305" t="s">
        <v>1652</v>
      </c>
      <c r="T197" s="97" t="s">
        <v>23</v>
      </c>
      <c r="U197" s="36" t="s">
        <v>1079</v>
      </c>
      <c r="V197" s="97" t="s">
        <v>1080</v>
      </c>
      <c r="W197" s="36"/>
      <c r="X197" s="171"/>
      <c r="Y197" s="64"/>
      <c r="Z197" s="26" t="s">
        <v>33</v>
      </c>
    </row>
    <row r="198" spans="1:146" ht="45" customHeight="1">
      <c r="A198" s="228" t="s">
        <v>1115</v>
      </c>
      <c r="B198" s="35"/>
      <c r="C198" s="36" t="s">
        <v>1116</v>
      </c>
      <c r="D198" s="36">
        <v>2014</v>
      </c>
      <c r="E198" s="36">
        <v>2015</v>
      </c>
      <c r="F198" s="36" t="s">
        <v>766</v>
      </c>
      <c r="G198" s="37" t="s">
        <v>271</v>
      </c>
      <c r="H198" s="36" t="s">
        <v>463</v>
      </c>
      <c r="I198" s="337" t="s">
        <v>57</v>
      </c>
      <c r="J198" s="36" t="s">
        <v>31</v>
      </c>
      <c r="K198" s="36"/>
      <c r="L198" s="68">
        <v>25000</v>
      </c>
      <c r="M198" s="227" t="s">
        <v>31</v>
      </c>
      <c r="N198" s="227" t="s">
        <v>31</v>
      </c>
      <c r="O198" s="36"/>
      <c r="P198" s="36"/>
      <c r="Q198" s="36"/>
      <c r="R198" s="36"/>
      <c r="S198" s="356"/>
      <c r="T198" s="97" t="s">
        <v>23</v>
      </c>
      <c r="U198" s="36"/>
      <c r="V198" s="36"/>
      <c r="W198" s="36"/>
      <c r="Y198" s="64"/>
      <c r="Z198" s="26" t="s">
        <v>33</v>
      </c>
    </row>
    <row r="199" spans="1:146" s="136" customFormat="1" ht="45" customHeight="1">
      <c r="A199" s="240" t="s">
        <v>1669</v>
      </c>
      <c r="B199" s="35"/>
      <c r="C199" s="36" t="s">
        <v>1127</v>
      </c>
      <c r="D199" s="36">
        <v>2014</v>
      </c>
      <c r="E199" s="36">
        <v>2015</v>
      </c>
      <c r="F199" s="36" t="s">
        <v>253</v>
      </c>
      <c r="G199" s="37" t="s">
        <v>271</v>
      </c>
      <c r="H199" s="104" t="s">
        <v>255</v>
      </c>
      <c r="I199" s="37" t="s">
        <v>57</v>
      </c>
      <c r="J199" s="227" t="s">
        <v>1148</v>
      </c>
      <c r="K199" s="227" t="s">
        <v>31</v>
      </c>
      <c r="L199" s="241">
        <v>325489</v>
      </c>
      <c r="M199" s="36" t="s">
        <v>31</v>
      </c>
      <c r="N199" s="36" t="s">
        <v>31</v>
      </c>
      <c r="O199" s="36"/>
      <c r="P199" s="36"/>
      <c r="Q199" s="36"/>
      <c r="R199" s="36"/>
      <c r="S199" s="305" t="s">
        <v>1670</v>
      </c>
      <c r="T199" s="97" t="s">
        <v>862</v>
      </c>
      <c r="U199" s="36"/>
      <c r="V199" s="36"/>
      <c r="W199" s="36"/>
      <c r="X199" s="168"/>
      <c r="Y199" s="64"/>
      <c r="Z199" s="26" t="s">
        <v>33</v>
      </c>
      <c r="AA199" s="137"/>
      <c r="AB199" s="137"/>
      <c r="AC199" s="137"/>
      <c r="AD199" s="137"/>
      <c r="AE199" s="137"/>
      <c r="AF199" s="137"/>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37"/>
      <c r="BL199" s="137"/>
      <c r="BM199" s="137"/>
      <c r="BN199" s="137"/>
      <c r="BO199" s="137"/>
      <c r="BP199" s="137"/>
      <c r="BQ199" s="137"/>
      <c r="BR199" s="137"/>
      <c r="BS199" s="137"/>
      <c r="BT199" s="137"/>
      <c r="BU199" s="137"/>
      <c r="BV199" s="137"/>
      <c r="BW199" s="137"/>
      <c r="BX199" s="137"/>
      <c r="BY199" s="137"/>
      <c r="BZ199" s="137"/>
      <c r="CA199" s="137"/>
      <c r="CB199" s="137"/>
      <c r="CC199" s="137"/>
      <c r="CD199" s="137"/>
      <c r="CE199" s="137"/>
      <c r="CF199" s="137"/>
      <c r="CG199" s="137"/>
      <c r="CH199" s="137"/>
      <c r="CI199" s="137"/>
      <c r="CJ199" s="137"/>
      <c r="CK199" s="137"/>
      <c r="CL199" s="137"/>
      <c r="CM199" s="137"/>
      <c r="CN199" s="137"/>
      <c r="CO199" s="137"/>
      <c r="CP199" s="137"/>
      <c r="CQ199" s="137"/>
      <c r="CR199" s="137"/>
      <c r="CS199" s="137"/>
      <c r="CT199" s="137"/>
      <c r="CU199" s="137"/>
      <c r="CV199" s="137"/>
      <c r="CW199" s="137"/>
      <c r="CX199" s="137"/>
      <c r="CY199" s="137"/>
      <c r="CZ199" s="137"/>
      <c r="DA199" s="137"/>
      <c r="DB199" s="137"/>
      <c r="DC199" s="137"/>
      <c r="DD199" s="137"/>
      <c r="DE199" s="137"/>
      <c r="DF199" s="137"/>
      <c r="DG199" s="137"/>
      <c r="DH199" s="137"/>
      <c r="DI199" s="137"/>
      <c r="DJ199" s="137"/>
      <c r="DK199" s="137"/>
      <c r="DL199" s="137"/>
      <c r="DM199" s="137"/>
      <c r="DN199" s="137"/>
      <c r="DO199" s="137"/>
      <c r="DP199" s="137"/>
      <c r="DQ199" s="137"/>
      <c r="DR199" s="137"/>
      <c r="DS199" s="137"/>
      <c r="DT199" s="137"/>
      <c r="DU199" s="137"/>
      <c r="DV199" s="137"/>
      <c r="DW199" s="137"/>
      <c r="DX199" s="137"/>
      <c r="DY199" s="137"/>
      <c r="DZ199" s="137"/>
      <c r="EA199" s="137"/>
      <c r="EB199" s="137"/>
      <c r="EC199" s="137"/>
      <c r="ED199" s="137"/>
      <c r="EE199" s="137"/>
      <c r="EF199" s="137"/>
      <c r="EG199" s="137"/>
      <c r="EH199" s="137"/>
      <c r="EI199" s="137"/>
      <c r="EJ199" s="137"/>
      <c r="EK199" s="137"/>
      <c r="EL199" s="137"/>
      <c r="EM199" s="137"/>
      <c r="EN199" s="137"/>
      <c r="EO199" s="137"/>
      <c r="EP199" s="137"/>
    </row>
    <row r="200" spans="1:146" ht="45" customHeight="1">
      <c r="A200" s="228" t="s">
        <v>1096</v>
      </c>
      <c r="B200" s="35"/>
      <c r="C200" s="36" t="s">
        <v>1097</v>
      </c>
      <c r="D200" s="36">
        <v>2014</v>
      </c>
      <c r="E200" s="36">
        <v>2015</v>
      </c>
      <c r="F200" s="104"/>
      <c r="G200" s="225" t="s">
        <v>200</v>
      </c>
      <c r="H200" s="238" t="s">
        <v>200</v>
      </c>
      <c r="I200" s="238" t="s">
        <v>1723</v>
      </c>
      <c r="J200" s="36" t="s">
        <v>31</v>
      </c>
      <c r="K200" s="36"/>
      <c r="L200" s="68">
        <v>173483</v>
      </c>
      <c r="M200" s="227" t="s">
        <v>31</v>
      </c>
      <c r="N200" s="36"/>
      <c r="O200" s="36"/>
      <c r="P200" s="36"/>
      <c r="Q200" s="36" t="s">
        <v>31</v>
      </c>
      <c r="R200" s="36"/>
      <c r="S200" s="305" t="s">
        <v>1098</v>
      </c>
      <c r="T200" s="97"/>
      <c r="U200" s="36" t="s">
        <v>1099</v>
      </c>
      <c r="V200" s="36"/>
      <c r="W200" s="36" t="s">
        <v>1100</v>
      </c>
      <c r="X200" s="180" t="s">
        <v>1101</v>
      </c>
      <c r="Y200" s="64" t="s">
        <v>1102</v>
      </c>
      <c r="Z200" s="26" t="s">
        <v>33</v>
      </c>
    </row>
    <row r="201" spans="1:146" ht="45" customHeight="1">
      <c r="A201" s="131" t="s">
        <v>1103</v>
      </c>
      <c r="B201" s="131"/>
      <c r="C201" s="132" t="s">
        <v>1104</v>
      </c>
      <c r="D201" s="132">
        <v>2014</v>
      </c>
      <c r="E201" s="132">
        <v>2019</v>
      </c>
      <c r="F201" s="132"/>
      <c r="G201" s="133" t="s">
        <v>290</v>
      </c>
      <c r="H201" s="132"/>
      <c r="I201" s="133" t="s">
        <v>57</v>
      </c>
      <c r="J201" s="132"/>
      <c r="K201" s="132"/>
      <c r="L201" s="134"/>
      <c r="M201" s="132"/>
      <c r="N201" s="377" t="s">
        <v>31</v>
      </c>
      <c r="O201" s="132"/>
      <c r="P201" s="132"/>
      <c r="Q201" s="132"/>
      <c r="R201" s="132"/>
      <c r="S201" s="359" t="s">
        <v>1105</v>
      </c>
      <c r="T201" s="135"/>
      <c r="U201" s="132"/>
      <c r="V201" s="135"/>
      <c r="W201" s="132"/>
      <c r="X201" s="190"/>
      <c r="Y201" s="209"/>
      <c r="Z201" s="137" t="s">
        <v>1074</v>
      </c>
    </row>
    <row r="202" spans="1:146" ht="45" customHeight="1">
      <c r="A202" s="240" t="s">
        <v>1696</v>
      </c>
      <c r="B202" s="35"/>
      <c r="C202" s="227" t="s">
        <v>1697</v>
      </c>
      <c r="D202" s="36">
        <v>2014</v>
      </c>
      <c r="E202" s="36">
        <v>2015</v>
      </c>
      <c r="F202" s="104"/>
      <c r="G202" s="239" t="s">
        <v>290</v>
      </c>
      <c r="H202" s="238" t="s">
        <v>290</v>
      </c>
      <c r="I202" s="340" t="s">
        <v>1698</v>
      </c>
      <c r="J202" s="227" t="s">
        <v>31</v>
      </c>
      <c r="K202" s="36"/>
      <c r="L202" s="68">
        <v>150438</v>
      </c>
      <c r="M202" s="227" t="s">
        <v>31</v>
      </c>
      <c r="N202" s="36"/>
      <c r="O202" s="36"/>
      <c r="P202" s="227" t="s">
        <v>31</v>
      </c>
      <c r="Q202" s="36"/>
      <c r="R202" s="36"/>
      <c r="S202" s="305" t="s">
        <v>1699</v>
      </c>
      <c r="T202" s="97"/>
      <c r="U202" s="36"/>
      <c r="V202" s="36"/>
      <c r="W202" s="36"/>
      <c r="X202" s="180"/>
      <c r="Y202" s="64"/>
      <c r="Z202" s="221" t="s">
        <v>33</v>
      </c>
    </row>
    <row r="203" spans="1:146" ht="45" customHeight="1">
      <c r="A203" s="228" t="s">
        <v>1112</v>
      </c>
      <c r="B203" s="35"/>
      <c r="C203" s="238" t="s">
        <v>1106</v>
      </c>
      <c r="D203" s="36">
        <v>2014</v>
      </c>
      <c r="E203" s="36">
        <v>2016</v>
      </c>
      <c r="F203" s="238" t="s">
        <v>1680</v>
      </c>
      <c r="G203" s="37" t="s">
        <v>36</v>
      </c>
      <c r="H203" s="227" t="s">
        <v>1679</v>
      </c>
      <c r="I203" s="227" t="s">
        <v>1077</v>
      </c>
      <c r="J203" s="104" t="s">
        <v>1114</v>
      </c>
      <c r="K203" s="104" t="s">
        <v>31</v>
      </c>
      <c r="L203" s="241">
        <v>618966</v>
      </c>
      <c r="M203" s="36" t="s">
        <v>31</v>
      </c>
      <c r="N203" s="36"/>
      <c r="O203" s="227" t="s">
        <v>31</v>
      </c>
      <c r="P203" s="36"/>
      <c r="Q203" s="36"/>
      <c r="R203" s="36"/>
      <c r="S203" s="343" t="s">
        <v>1681</v>
      </c>
      <c r="T203" s="36"/>
      <c r="U203" s="36"/>
      <c r="V203" s="36"/>
      <c r="W203" s="36"/>
      <c r="X203" s="172"/>
      <c r="Y203" s="201"/>
      <c r="Z203" s="26" t="s">
        <v>33</v>
      </c>
    </row>
    <row r="204" spans="1:146" s="247" customFormat="1" ht="45" customHeight="1">
      <c r="A204" s="240" t="s">
        <v>1737</v>
      </c>
      <c r="B204" s="35"/>
      <c r="C204" s="227" t="s">
        <v>1738</v>
      </c>
      <c r="D204" s="36">
        <v>2014</v>
      </c>
      <c r="E204" s="36">
        <v>2015</v>
      </c>
      <c r="F204" s="36" t="s">
        <v>1107</v>
      </c>
      <c r="G204" s="37" t="s">
        <v>677</v>
      </c>
      <c r="H204" s="104" t="s">
        <v>1108</v>
      </c>
      <c r="I204" s="227" t="s">
        <v>1077</v>
      </c>
      <c r="J204" s="71" t="s">
        <v>31</v>
      </c>
      <c r="K204" s="36"/>
      <c r="L204" s="68">
        <v>576712.52</v>
      </c>
      <c r="M204" s="36"/>
      <c r="N204" s="36" t="s">
        <v>31</v>
      </c>
      <c r="O204" s="36"/>
      <c r="P204" s="36"/>
      <c r="Q204" s="36"/>
      <c r="R204" s="36"/>
      <c r="S204" s="356"/>
      <c r="T204" s="36"/>
      <c r="U204" s="37" t="s">
        <v>1109</v>
      </c>
      <c r="V204" s="95" t="s">
        <v>1110</v>
      </c>
      <c r="W204" s="37" t="s">
        <v>1111</v>
      </c>
      <c r="X204" s="179"/>
      <c r="Y204" s="64"/>
      <c r="Z204" s="26" t="s">
        <v>33</v>
      </c>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c r="CO204" s="246"/>
      <c r="CP204" s="246"/>
      <c r="CQ204" s="246"/>
      <c r="CR204" s="246"/>
      <c r="CS204" s="246"/>
      <c r="CT204" s="246"/>
      <c r="CU204" s="246"/>
      <c r="CV204" s="246"/>
      <c r="CW204" s="246"/>
      <c r="CX204" s="246"/>
      <c r="CY204" s="246"/>
      <c r="CZ204" s="246"/>
      <c r="DA204" s="246"/>
      <c r="DB204" s="246"/>
      <c r="DC204" s="246"/>
      <c r="DD204" s="246"/>
      <c r="DE204" s="246"/>
      <c r="DF204" s="246"/>
      <c r="DG204" s="246"/>
      <c r="DH204" s="246"/>
      <c r="DI204" s="246"/>
      <c r="DJ204" s="246"/>
      <c r="DK204" s="246"/>
      <c r="DL204" s="246"/>
      <c r="DM204" s="246"/>
      <c r="DN204" s="246"/>
      <c r="DO204" s="246"/>
      <c r="DP204" s="246"/>
      <c r="DQ204" s="246"/>
      <c r="DR204" s="246"/>
      <c r="DS204" s="246"/>
      <c r="DT204" s="246"/>
      <c r="DU204" s="246"/>
      <c r="DV204" s="246"/>
      <c r="DW204" s="246"/>
      <c r="DX204" s="246"/>
      <c r="DY204" s="246"/>
      <c r="DZ204" s="246"/>
      <c r="EA204" s="246"/>
      <c r="EB204" s="246"/>
      <c r="EC204" s="246"/>
      <c r="ED204" s="246"/>
      <c r="EE204" s="246"/>
      <c r="EF204" s="246"/>
      <c r="EG204" s="246"/>
      <c r="EH204" s="246"/>
      <c r="EI204" s="246"/>
      <c r="EJ204" s="246"/>
      <c r="EK204" s="246"/>
      <c r="EL204" s="246"/>
      <c r="EM204" s="246"/>
      <c r="EN204" s="246"/>
      <c r="EO204" s="246"/>
      <c r="EP204" s="246"/>
    </row>
    <row r="205" spans="1:146" s="101" customFormat="1" ht="45" customHeight="1">
      <c r="A205" s="240" t="s">
        <v>1791</v>
      </c>
      <c r="B205" s="228"/>
      <c r="C205" s="311" t="s">
        <v>1149</v>
      </c>
      <c r="D205" s="337">
        <v>2014</v>
      </c>
      <c r="E205" s="104">
        <v>2019</v>
      </c>
      <c r="F205" s="238" t="s">
        <v>766</v>
      </c>
      <c r="G205" s="335" t="s">
        <v>254</v>
      </c>
      <c r="H205" s="311" t="s">
        <v>463</v>
      </c>
      <c r="I205" s="335" t="s">
        <v>57</v>
      </c>
      <c r="J205" s="238" t="s">
        <v>31</v>
      </c>
      <c r="K205" s="311"/>
      <c r="L205" s="339"/>
      <c r="M205" s="238" t="s">
        <v>31</v>
      </c>
      <c r="N205" s="238" t="s">
        <v>31</v>
      </c>
      <c r="O205" s="104"/>
      <c r="P205" s="104"/>
      <c r="Q205" s="104"/>
      <c r="R205" s="104"/>
      <c r="S205" s="343" t="s">
        <v>1792</v>
      </c>
      <c r="T205" s="312"/>
      <c r="U205" s="104"/>
      <c r="V205" s="312"/>
      <c r="W205" s="104"/>
      <c r="X205" s="185"/>
      <c r="Y205" s="330"/>
      <c r="Z205" s="103" t="s">
        <v>1074</v>
      </c>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c r="BS205" s="103"/>
      <c r="BT205" s="103"/>
      <c r="BU205" s="103"/>
      <c r="BV205" s="103"/>
      <c r="BW205" s="103"/>
      <c r="BX205" s="103"/>
      <c r="BY205" s="103"/>
      <c r="BZ205" s="103"/>
      <c r="CA205" s="103"/>
      <c r="CB205" s="103"/>
      <c r="CC205" s="103"/>
      <c r="CD205" s="103"/>
      <c r="CE205" s="103"/>
      <c r="CF205" s="103"/>
      <c r="CG205" s="103"/>
      <c r="CH205" s="103"/>
      <c r="CI205" s="103"/>
      <c r="CJ205" s="103"/>
      <c r="CK205" s="103"/>
      <c r="CL205" s="103"/>
      <c r="CM205" s="103"/>
      <c r="CN205" s="103"/>
      <c r="CO205" s="103"/>
      <c r="CP205" s="103"/>
      <c r="CQ205" s="103"/>
      <c r="CR205" s="103"/>
      <c r="CS205" s="103"/>
      <c r="CT205" s="103"/>
      <c r="CU205" s="103"/>
      <c r="CV205" s="103"/>
      <c r="CW205" s="103"/>
      <c r="CX205" s="103"/>
      <c r="CY205" s="103"/>
      <c r="CZ205" s="103"/>
      <c r="DA205" s="103"/>
      <c r="DB205" s="103"/>
      <c r="DC205" s="103"/>
      <c r="DD205" s="103"/>
      <c r="DE205" s="103"/>
      <c r="DF205" s="103"/>
      <c r="DG205" s="103"/>
      <c r="DH205" s="103"/>
      <c r="DI205" s="103"/>
      <c r="DJ205" s="103"/>
      <c r="DK205" s="103"/>
      <c r="DL205" s="103"/>
      <c r="DM205" s="103"/>
      <c r="DN205" s="103"/>
      <c r="DO205" s="103"/>
      <c r="DP205" s="103"/>
      <c r="DQ205" s="103"/>
      <c r="DR205" s="103"/>
      <c r="DS205" s="103"/>
      <c r="DT205" s="103"/>
      <c r="DU205" s="103"/>
      <c r="DV205" s="103"/>
      <c r="DW205" s="103"/>
      <c r="DX205" s="103"/>
      <c r="DY205" s="103"/>
      <c r="DZ205" s="103"/>
      <c r="EA205" s="103"/>
      <c r="EB205" s="103"/>
      <c r="EC205" s="103"/>
      <c r="ED205" s="103"/>
      <c r="EE205" s="103"/>
      <c r="EF205" s="103"/>
      <c r="EG205" s="103"/>
      <c r="EH205" s="103"/>
      <c r="EI205" s="103"/>
      <c r="EJ205" s="103"/>
      <c r="EK205" s="103"/>
      <c r="EL205" s="103"/>
      <c r="EM205" s="103"/>
      <c r="EN205" s="103"/>
      <c r="EO205" s="103"/>
      <c r="EP205" s="103"/>
    </row>
    <row r="206" spans="1:146" s="217" customFormat="1" ht="45" customHeight="1">
      <c r="A206" s="338" t="s">
        <v>1673</v>
      </c>
      <c r="B206" s="228"/>
      <c r="C206" s="238" t="s">
        <v>1147</v>
      </c>
      <c r="D206" s="104">
        <v>2015</v>
      </c>
      <c r="E206" s="104">
        <v>2016</v>
      </c>
      <c r="F206" s="238" t="s">
        <v>253</v>
      </c>
      <c r="G206" s="340" t="s">
        <v>254</v>
      </c>
      <c r="H206" s="238" t="s">
        <v>255</v>
      </c>
      <c r="I206" s="340" t="s">
        <v>1672</v>
      </c>
      <c r="J206" s="337" t="s">
        <v>1148</v>
      </c>
      <c r="K206" s="337" t="s">
        <v>31</v>
      </c>
      <c r="L206" s="337">
        <v>188560</v>
      </c>
      <c r="M206" s="337" t="s">
        <v>31</v>
      </c>
      <c r="N206" s="337" t="s">
        <v>31</v>
      </c>
      <c r="O206" s="311"/>
      <c r="P206" s="104"/>
      <c r="Q206" s="104"/>
      <c r="R206" s="104"/>
      <c r="S206" s="343" t="s">
        <v>1674</v>
      </c>
      <c r="T206" s="311"/>
      <c r="U206" s="104"/>
      <c r="V206" s="311"/>
      <c r="W206" s="104"/>
      <c r="X206" s="326"/>
      <c r="Y206" s="203"/>
      <c r="Z206" s="103"/>
      <c r="AA206" s="245"/>
      <c r="AB206" s="245"/>
      <c r="AC206" s="245"/>
      <c r="AD206" s="245"/>
      <c r="AE206" s="245"/>
      <c r="AF206" s="245"/>
      <c r="AG206" s="245"/>
      <c r="AH206" s="245"/>
      <c r="AI206" s="245"/>
      <c r="AJ206" s="245"/>
      <c r="AK206" s="245"/>
      <c r="AL206" s="245"/>
      <c r="AM206" s="245"/>
      <c r="AN206" s="245"/>
      <c r="AO206" s="245"/>
      <c r="AP206" s="245"/>
      <c r="AQ206" s="245"/>
      <c r="AR206" s="245"/>
      <c r="AS206" s="245"/>
      <c r="AT206" s="245"/>
      <c r="AU206" s="245"/>
      <c r="AV206" s="245"/>
      <c r="AW206" s="245"/>
      <c r="AX206" s="245"/>
      <c r="AY206" s="245"/>
      <c r="AZ206" s="245"/>
      <c r="BA206" s="245"/>
      <c r="BB206" s="245"/>
      <c r="BC206" s="245"/>
      <c r="BD206" s="245"/>
      <c r="BE206" s="245"/>
      <c r="BF206" s="245"/>
      <c r="BG206" s="245"/>
      <c r="BH206" s="245"/>
      <c r="BI206" s="245"/>
      <c r="BJ206" s="245"/>
      <c r="BK206" s="245"/>
      <c r="BL206" s="245"/>
      <c r="BM206" s="245"/>
      <c r="BN206" s="245"/>
      <c r="BO206" s="245"/>
      <c r="BP206" s="245"/>
      <c r="BQ206" s="245"/>
      <c r="BR206" s="245"/>
      <c r="BS206" s="245"/>
      <c r="BT206" s="245"/>
      <c r="BU206" s="245"/>
      <c r="BV206" s="245"/>
      <c r="BW206" s="245"/>
      <c r="BX206" s="245"/>
      <c r="BY206" s="245"/>
      <c r="BZ206" s="245"/>
      <c r="CA206" s="245"/>
      <c r="CB206" s="245"/>
      <c r="CC206" s="245"/>
      <c r="CD206" s="245"/>
      <c r="CE206" s="245"/>
      <c r="CF206" s="245"/>
      <c r="CG206" s="245"/>
      <c r="CH206" s="245"/>
      <c r="CI206" s="245"/>
      <c r="CJ206" s="245"/>
      <c r="CK206" s="245"/>
      <c r="CL206" s="245"/>
      <c r="CM206" s="245"/>
      <c r="CN206" s="245"/>
      <c r="CO206" s="245"/>
      <c r="CP206" s="245"/>
      <c r="CQ206" s="245"/>
      <c r="CR206" s="245"/>
      <c r="CS206" s="245"/>
      <c r="CT206" s="245"/>
      <c r="CU206" s="245"/>
      <c r="CV206" s="245"/>
      <c r="CW206" s="245"/>
      <c r="CX206" s="245"/>
      <c r="CY206" s="245"/>
      <c r="CZ206" s="245"/>
      <c r="DA206" s="245"/>
      <c r="DB206" s="245"/>
      <c r="DC206" s="245"/>
      <c r="DD206" s="245"/>
      <c r="DE206" s="245"/>
      <c r="DF206" s="245"/>
      <c r="DG206" s="245"/>
      <c r="DH206" s="245"/>
      <c r="DI206" s="245"/>
      <c r="DJ206" s="245"/>
      <c r="DK206" s="245"/>
      <c r="DL206" s="245"/>
      <c r="DM206" s="245"/>
      <c r="DN206" s="245"/>
      <c r="DO206" s="245"/>
      <c r="DP206" s="245"/>
      <c r="DQ206" s="245"/>
      <c r="DR206" s="245"/>
      <c r="DS206" s="245"/>
      <c r="DT206" s="245"/>
      <c r="DU206" s="245"/>
      <c r="DV206" s="245"/>
      <c r="DW206" s="245"/>
      <c r="DX206" s="245"/>
      <c r="DY206" s="245"/>
      <c r="DZ206" s="245"/>
      <c r="EA206" s="245"/>
      <c r="EB206" s="245"/>
      <c r="EC206" s="245"/>
      <c r="ED206" s="245"/>
      <c r="EE206" s="245"/>
      <c r="EF206" s="245"/>
      <c r="EG206" s="245"/>
      <c r="EH206" s="245"/>
      <c r="EI206" s="245"/>
      <c r="EJ206" s="245"/>
      <c r="EK206" s="245"/>
      <c r="EL206" s="245"/>
      <c r="EM206" s="245"/>
      <c r="EN206" s="245"/>
      <c r="EO206" s="245"/>
      <c r="EP206" s="245"/>
    </row>
    <row r="207" spans="1:146" ht="45" customHeight="1">
      <c r="A207" s="336" t="s">
        <v>1117</v>
      </c>
      <c r="B207" s="228"/>
      <c r="C207" s="238" t="s">
        <v>1668</v>
      </c>
      <c r="D207" s="104">
        <v>2015</v>
      </c>
      <c r="E207" s="104">
        <v>2017</v>
      </c>
      <c r="F207" s="337" t="s">
        <v>1666</v>
      </c>
      <c r="G207" s="225" t="s">
        <v>271</v>
      </c>
      <c r="H207" s="337" t="s">
        <v>1654</v>
      </c>
      <c r="I207" s="238" t="s">
        <v>1077</v>
      </c>
      <c r="J207" s="311" t="s">
        <v>31</v>
      </c>
      <c r="K207" s="311"/>
      <c r="L207" s="241">
        <v>524163</v>
      </c>
      <c r="M207" s="311" t="s">
        <v>31</v>
      </c>
      <c r="N207" s="104"/>
      <c r="O207" s="337" t="s">
        <v>31</v>
      </c>
      <c r="P207" s="104"/>
      <c r="Q207" s="104"/>
      <c r="R207" s="104"/>
      <c r="S207" s="343" t="s">
        <v>1667</v>
      </c>
      <c r="T207" s="312" t="s">
        <v>862</v>
      </c>
      <c r="U207" s="104" t="s">
        <v>1118</v>
      </c>
      <c r="V207" s="312" t="s">
        <v>1110</v>
      </c>
      <c r="W207" s="104" t="s">
        <v>1111</v>
      </c>
      <c r="X207" s="341"/>
      <c r="Y207" s="203"/>
      <c r="Z207" s="103" t="s">
        <v>33</v>
      </c>
    </row>
    <row r="208" spans="1:146" ht="45" customHeight="1">
      <c r="A208" s="338" t="s">
        <v>1671</v>
      </c>
      <c r="B208" s="336"/>
      <c r="C208" s="337" t="s">
        <v>1147</v>
      </c>
      <c r="D208" s="311">
        <v>2015</v>
      </c>
      <c r="E208" s="311">
        <v>2016</v>
      </c>
      <c r="F208" s="311" t="s">
        <v>253</v>
      </c>
      <c r="G208" s="335" t="s">
        <v>271</v>
      </c>
      <c r="H208" s="311" t="s">
        <v>255</v>
      </c>
      <c r="I208" s="337" t="s">
        <v>1672</v>
      </c>
      <c r="J208" s="337" t="s">
        <v>1148</v>
      </c>
      <c r="K208" s="337" t="s">
        <v>31</v>
      </c>
      <c r="L208" s="339">
        <v>778885</v>
      </c>
      <c r="M208" s="337" t="s">
        <v>31</v>
      </c>
      <c r="N208" s="311"/>
      <c r="O208" s="311"/>
      <c r="P208" s="311"/>
      <c r="Q208" s="311"/>
      <c r="R208" s="311"/>
      <c r="S208" s="356"/>
      <c r="T208" s="311"/>
      <c r="U208" s="311"/>
      <c r="V208" s="311"/>
      <c r="W208" s="311"/>
      <c r="X208" s="326"/>
      <c r="Y208" s="203"/>
      <c r="Z208" s="310" t="s">
        <v>33</v>
      </c>
    </row>
    <row r="209" spans="1:146" ht="45" customHeight="1">
      <c r="A209" s="228" t="s">
        <v>1125</v>
      </c>
      <c r="B209" s="35"/>
      <c r="C209" s="227" t="s">
        <v>1655</v>
      </c>
      <c r="D209" s="36">
        <v>2015</v>
      </c>
      <c r="E209" s="36">
        <v>2016</v>
      </c>
      <c r="F209" s="295" t="s">
        <v>276</v>
      </c>
      <c r="G209" s="37" t="s">
        <v>1126</v>
      </c>
      <c r="H209" s="36" t="s">
        <v>277</v>
      </c>
      <c r="I209" s="227" t="s">
        <v>1077</v>
      </c>
      <c r="J209" s="36" t="s">
        <v>391</v>
      </c>
      <c r="K209" s="36"/>
      <c r="L209" s="68">
        <v>230315</v>
      </c>
      <c r="M209" s="227" t="s">
        <v>31</v>
      </c>
      <c r="N209" s="36"/>
      <c r="O209" s="36"/>
      <c r="P209" s="295"/>
      <c r="Q209" s="36"/>
      <c r="R209" s="36"/>
      <c r="S209" s="343" t="s">
        <v>1675</v>
      </c>
      <c r="T209" s="36"/>
      <c r="U209" s="36"/>
      <c r="V209" s="36"/>
      <c r="W209" s="36"/>
      <c r="X209" s="171"/>
      <c r="Y209" s="64"/>
      <c r="Z209" s="26" t="s">
        <v>33</v>
      </c>
    </row>
    <row r="210" spans="1:146" s="101" customFormat="1" ht="45" customHeight="1">
      <c r="A210" s="336" t="s">
        <v>1123</v>
      </c>
      <c r="B210" s="35"/>
      <c r="C210" s="295" t="s">
        <v>1124</v>
      </c>
      <c r="D210" s="36">
        <v>2015</v>
      </c>
      <c r="E210" s="36">
        <v>2016</v>
      </c>
      <c r="F210" s="311"/>
      <c r="G210" s="37" t="s">
        <v>36</v>
      </c>
      <c r="H210" s="36" t="s">
        <v>36</v>
      </c>
      <c r="I210" s="227" t="s">
        <v>1077</v>
      </c>
      <c r="J210" s="36" t="s">
        <v>31</v>
      </c>
      <c r="K210" s="295"/>
      <c r="L210" s="68">
        <v>148748</v>
      </c>
      <c r="M210" s="36" t="s">
        <v>31</v>
      </c>
      <c r="N210" s="36"/>
      <c r="O210" s="295"/>
      <c r="P210" s="227" t="s">
        <v>31</v>
      </c>
      <c r="Q210" s="36"/>
      <c r="R210" s="36"/>
      <c r="S210" s="343" t="s">
        <v>1687</v>
      </c>
      <c r="T210" s="36"/>
      <c r="U210" s="36"/>
      <c r="V210" s="36"/>
      <c r="W210" s="36"/>
      <c r="X210" s="324"/>
      <c r="Y210" s="64"/>
      <c r="Z210" s="26" t="s">
        <v>33</v>
      </c>
      <c r="AA210" s="103"/>
      <c r="AB210" s="103"/>
      <c r="AC210" s="103"/>
      <c r="AD210" s="103"/>
      <c r="AE210" s="103"/>
      <c r="AF210" s="103"/>
      <c r="AG210" s="103"/>
      <c r="AH210" s="103"/>
      <c r="AI210" s="103"/>
      <c r="AJ210" s="103"/>
      <c r="AK210" s="103"/>
      <c r="AL210" s="103"/>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c r="BS210" s="103"/>
      <c r="BT210" s="103"/>
      <c r="BU210" s="103"/>
      <c r="BV210" s="103"/>
      <c r="BW210" s="103"/>
      <c r="BX210" s="103"/>
      <c r="BY210" s="103"/>
      <c r="BZ210" s="103"/>
      <c r="CA210" s="103"/>
      <c r="CB210" s="103"/>
      <c r="CC210" s="103"/>
      <c r="CD210" s="103"/>
      <c r="CE210" s="103"/>
      <c r="CF210" s="103"/>
      <c r="CG210" s="103"/>
      <c r="CH210" s="103"/>
      <c r="CI210" s="103"/>
      <c r="CJ210" s="103"/>
      <c r="CK210" s="103"/>
      <c r="CL210" s="103"/>
      <c r="CM210" s="103"/>
      <c r="CN210" s="103"/>
      <c r="CO210" s="103"/>
      <c r="CP210" s="103"/>
      <c r="CQ210" s="103"/>
      <c r="CR210" s="103"/>
      <c r="CS210" s="103"/>
      <c r="CT210" s="103"/>
      <c r="CU210" s="103"/>
      <c r="CV210" s="103"/>
      <c r="CW210" s="103"/>
      <c r="CX210" s="103"/>
      <c r="CY210" s="103"/>
      <c r="CZ210" s="103"/>
      <c r="DA210" s="103"/>
      <c r="DB210" s="103"/>
      <c r="DC210" s="103"/>
      <c r="DD210" s="103"/>
      <c r="DE210" s="103"/>
      <c r="DF210" s="103"/>
      <c r="DG210" s="103"/>
      <c r="DH210" s="103"/>
      <c r="DI210" s="103"/>
      <c r="DJ210" s="103"/>
      <c r="DK210" s="103"/>
      <c r="DL210" s="103"/>
      <c r="DM210" s="103"/>
      <c r="DN210" s="103"/>
      <c r="DO210" s="103"/>
      <c r="DP210" s="103"/>
      <c r="DQ210" s="103"/>
      <c r="DR210" s="103"/>
      <c r="DS210" s="103"/>
      <c r="DT210" s="103"/>
      <c r="DU210" s="103"/>
      <c r="DV210" s="103"/>
      <c r="DW210" s="103"/>
      <c r="DX210" s="103"/>
      <c r="DY210" s="103"/>
      <c r="DZ210" s="103"/>
      <c r="EA210" s="103"/>
      <c r="EB210" s="103"/>
      <c r="EC210" s="103"/>
      <c r="ED210" s="103"/>
      <c r="EE210" s="103"/>
      <c r="EF210" s="103"/>
      <c r="EG210" s="103"/>
      <c r="EH210" s="103"/>
      <c r="EI210" s="103"/>
      <c r="EJ210" s="103"/>
      <c r="EK210" s="103"/>
      <c r="EL210" s="103"/>
      <c r="EM210" s="103"/>
      <c r="EN210" s="103"/>
      <c r="EO210" s="103"/>
      <c r="EP210" s="103"/>
    </row>
    <row r="211" spans="1:146" s="101" customFormat="1" ht="45" customHeight="1">
      <c r="A211" s="338" t="s">
        <v>1678</v>
      </c>
      <c r="B211" s="35"/>
      <c r="C211" s="337" t="s">
        <v>1128</v>
      </c>
      <c r="D211" s="36">
        <v>2015</v>
      </c>
      <c r="E211" s="36">
        <v>2016</v>
      </c>
      <c r="F211" s="36" t="s">
        <v>936</v>
      </c>
      <c r="G211" s="37" t="s">
        <v>677</v>
      </c>
      <c r="H211" s="36" t="s">
        <v>937</v>
      </c>
      <c r="I211" s="227" t="s">
        <v>1077</v>
      </c>
      <c r="J211" s="36" t="s">
        <v>31</v>
      </c>
      <c r="K211" s="36"/>
      <c r="L211" s="72">
        <v>2349782</v>
      </c>
      <c r="M211" s="36" t="s">
        <v>31</v>
      </c>
      <c r="N211" s="36"/>
      <c r="O211" s="227" t="s">
        <v>31</v>
      </c>
      <c r="P211" s="36"/>
      <c r="Q211" s="36"/>
      <c r="R211" s="36"/>
      <c r="S211" s="343" t="s">
        <v>1665</v>
      </c>
      <c r="T211" s="36"/>
      <c r="U211" s="295"/>
      <c r="V211" s="295"/>
      <c r="W211" s="295"/>
      <c r="X211" s="168"/>
      <c r="Y211" s="64"/>
      <c r="Z211" s="26" t="s">
        <v>33</v>
      </c>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c r="BS211" s="103"/>
      <c r="BT211" s="103"/>
      <c r="BU211" s="103"/>
      <c r="BV211" s="103"/>
      <c r="BW211" s="103"/>
      <c r="BX211" s="103"/>
      <c r="BY211" s="103"/>
      <c r="BZ211" s="103"/>
      <c r="CA211" s="103"/>
      <c r="CB211" s="103"/>
      <c r="CC211" s="103"/>
      <c r="CD211" s="103"/>
      <c r="CE211" s="103"/>
      <c r="CF211" s="103"/>
      <c r="CG211" s="103"/>
      <c r="CH211" s="103"/>
      <c r="CI211" s="103"/>
      <c r="CJ211" s="103"/>
      <c r="CK211" s="103"/>
      <c r="CL211" s="103"/>
      <c r="CM211" s="103"/>
      <c r="CN211" s="103"/>
      <c r="CO211" s="103"/>
      <c r="CP211" s="103"/>
      <c r="CQ211" s="103"/>
      <c r="CR211" s="103"/>
      <c r="CS211" s="103"/>
      <c r="CT211" s="103"/>
      <c r="CU211" s="103"/>
      <c r="CV211" s="103"/>
      <c r="CW211" s="103"/>
      <c r="CX211" s="103"/>
      <c r="CY211" s="103"/>
      <c r="CZ211" s="103"/>
      <c r="DA211" s="103"/>
      <c r="DB211" s="103"/>
      <c r="DC211" s="103"/>
      <c r="DD211" s="103"/>
      <c r="DE211" s="103"/>
      <c r="DF211" s="103"/>
      <c r="DG211" s="103"/>
      <c r="DH211" s="103"/>
      <c r="DI211" s="103"/>
      <c r="DJ211" s="103"/>
      <c r="DK211" s="103"/>
      <c r="DL211" s="103"/>
      <c r="DM211" s="103"/>
      <c r="DN211" s="103"/>
      <c r="DO211" s="103"/>
      <c r="DP211" s="103"/>
      <c r="DQ211" s="103"/>
      <c r="DR211" s="103"/>
      <c r="DS211" s="103"/>
      <c r="DT211" s="103"/>
      <c r="DU211" s="103"/>
      <c r="DV211" s="103"/>
      <c r="DW211" s="103"/>
      <c r="DX211" s="103"/>
      <c r="DY211" s="103"/>
      <c r="DZ211" s="103"/>
      <c r="EA211" s="103"/>
      <c r="EB211" s="103"/>
      <c r="EC211" s="103"/>
      <c r="ED211" s="103"/>
      <c r="EE211" s="103"/>
      <c r="EF211" s="103"/>
      <c r="EG211" s="103"/>
      <c r="EH211" s="103"/>
      <c r="EI211" s="103"/>
      <c r="EJ211" s="103"/>
      <c r="EK211" s="103"/>
      <c r="EL211" s="103"/>
      <c r="EM211" s="103"/>
      <c r="EN211" s="103"/>
      <c r="EO211" s="103"/>
      <c r="EP211" s="103"/>
    </row>
    <row r="212" spans="1:146" s="101" customFormat="1" ht="45" customHeight="1">
      <c r="A212" s="336" t="s">
        <v>1119</v>
      </c>
      <c r="B212" s="35"/>
      <c r="C212" s="239" t="s">
        <v>1708</v>
      </c>
      <c r="D212" s="295">
        <v>2015</v>
      </c>
      <c r="E212" s="295">
        <v>2016</v>
      </c>
      <c r="F212" s="295" t="s">
        <v>149</v>
      </c>
      <c r="G212" s="37" t="s">
        <v>150</v>
      </c>
      <c r="H212" s="295" t="s">
        <v>149</v>
      </c>
      <c r="I212" s="238" t="s">
        <v>1709</v>
      </c>
      <c r="J212" s="295" t="s">
        <v>31</v>
      </c>
      <c r="K212" s="295"/>
      <c r="L212" s="68">
        <v>54000</v>
      </c>
      <c r="M212" s="295" t="s">
        <v>31</v>
      </c>
      <c r="N212" s="295"/>
      <c r="O212" s="295"/>
      <c r="P212" s="295"/>
      <c r="Q212" s="295"/>
      <c r="R212" s="295"/>
      <c r="S212" s="343" t="s">
        <v>1710</v>
      </c>
      <c r="T212" s="295"/>
      <c r="U212" s="37" t="s">
        <v>1120</v>
      </c>
      <c r="V212" s="97" t="s">
        <v>1121</v>
      </c>
      <c r="W212" s="37" t="s">
        <v>1122</v>
      </c>
      <c r="X212" s="168"/>
      <c r="Y212" s="299"/>
      <c r="Z212" s="292" t="s">
        <v>33</v>
      </c>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c r="BS212" s="103"/>
      <c r="BT212" s="103"/>
      <c r="BU212" s="103"/>
      <c r="BV212" s="103"/>
      <c r="BW212" s="103"/>
      <c r="BX212" s="103"/>
      <c r="BY212" s="103"/>
      <c r="BZ212" s="103"/>
      <c r="CA212" s="103"/>
      <c r="CB212" s="103"/>
      <c r="CC212" s="103"/>
      <c r="CD212" s="103"/>
      <c r="CE212" s="103"/>
      <c r="CF212" s="103"/>
      <c r="CG212" s="103"/>
      <c r="CH212" s="103"/>
      <c r="CI212" s="103"/>
      <c r="CJ212" s="103"/>
      <c r="CK212" s="103"/>
      <c r="CL212" s="103"/>
      <c r="CM212" s="103"/>
      <c r="CN212" s="103"/>
      <c r="CO212" s="103"/>
      <c r="CP212" s="103"/>
      <c r="CQ212" s="103"/>
      <c r="CR212" s="103"/>
      <c r="CS212" s="103"/>
      <c r="CT212" s="103"/>
      <c r="CU212" s="103"/>
      <c r="CV212" s="103"/>
      <c r="CW212" s="103"/>
      <c r="CX212" s="103"/>
      <c r="CY212" s="103"/>
      <c r="CZ212" s="103"/>
      <c r="DA212" s="103"/>
      <c r="DB212" s="103"/>
      <c r="DC212" s="103"/>
      <c r="DD212" s="103"/>
      <c r="DE212" s="103"/>
      <c r="DF212" s="103"/>
      <c r="DG212" s="103"/>
      <c r="DH212" s="103"/>
      <c r="DI212" s="103"/>
      <c r="DJ212" s="103"/>
      <c r="DK212" s="103"/>
      <c r="DL212" s="103"/>
      <c r="DM212" s="103"/>
      <c r="DN212" s="103"/>
      <c r="DO212" s="103"/>
      <c r="DP212" s="103"/>
      <c r="DQ212" s="103"/>
      <c r="DR212" s="103"/>
      <c r="DS212" s="103"/>
      <c r="DT212" s="103"/>
      <c r="DU212" s="103"/>
      <c r="DV212" s="103"/>
      <c r="DW212" s="103"/>
      <c r="DX212" s="103"/>
      <c r="DY212" s="103"/>
      <c r="DZ212" s="103"/>
      <c r="EA212" s="103"/>
      <c r="EB212" s="103"/>
      <c r="EC212" s="103"/>
      <c r="ED212" s="103"/>
      <c r="EE212" s="103"/>
      <c r="EF212" s="103"/>
      <c r="EG212" s="103"/>
      <c r="EH212" s="103"/>
      <c r="EI212" s="103"/>
      <c r="EJ212" s="103"/>
      <c r="EK212" s="103"/>
      <c r="EL212" s="103"/>
      <c r="EM212" s="103"/>
      <c r="EN212" s="103"/>
      <c r="EO212" s="103"/>
      <c r="EP212" s="103"/>
    </row>
    <row r="213" spans="1:146" s="217" customFormat="1" ht="45" customHeight="1">
      <c r="A213" s="240" t="s">
        <v>1703</v>
      </c>
      <c r="B213" s="336"/>
      <c r="C213" s="340" t="s">
        <v>1656</v>
      </c>
      <c r="D213" s="311">
        <v>2016</v>
      </c>
      <c r="E213" s="311">
        <v>2017</v>
      </c>
      <c r="F213" s="238" t="s">
        <v>1705</v>
      </c>
      <c r="G213" s="335" t="s">
        <v>254</v>
      </c>
      <c r="H213" s="238" t="s">
        <v>1704</v>
      </c>
      <c r="I213" s="337" t="s">
        <v>1077</v>
      </c>
      <c r="J213" s="337" t="s">
        <v>31</v>
      </c>
      <c r="K213" s="311"/>
      <c r="L213" s="339">
        <v>193015</v>
      </c>
      <c r="M213" s="337" t="s">
        <v>31</v>
      </c>
      <c r="N213" s="311"/>
      <c r="O213" s="311"/>
      <c r="P213" s="311"/>
      <c r="Q213" s="311"/>
      <c r="R213" s="337" t="s">
        <v>31</v>
      </c>
      <c r="S213" s="343" t="s">
        <v>1706</v>
      </c>
      <c r="T213" s="312"/>
      <c r="U213" s="311" t="s">
        <v>1130</v>
      </c>
      <c r="V213" s="312" t="s">
        <v>1131</v>
      </c>
      <c r="W213" s="311"/>
      <c r="X213" s="326"/>
      <c r="Y213" s="203"/>
      <c r="Z213" s="310" t="s">
        <v>1074</v>
      </c>
      <c r="AA213" s="245"/>
      <c r="AB213" s="245"/>
      <c r="AC213" s="245"/>
      <c r="AD213" s="245"/>
      <c r="AE213" s="245"/>
      <c r="AF213" s="245"/>
      <c r="AG213" s="245"/>
      <c r="AH213" s="245"/>
      <c r="AI213" s="245"/>
      <c r="AJ213" s="245"/>
      <c r="AK213" s="245"/>
      <c r="AL213" s="245"/>
      <c r="AM213" s="245"/>
      <c r="AN213" s="245"/>
      <c r="AO213" s="245"/>
      <c r="AP213" s="245"/>
      <c r="AQ213" s="245"/>
      <c r="AR213" s="245"/>
      <c r="AS213" s="245"/>
      <c r="AT213" s="245"/>
      <c r="AU213" s="245"/>
      <c r="AV213" s="245"/>
      <c r="AW213" s="245"/>
      <c r="AX213" s="245"/>
      <c r="AY213" s="245"/>
      <c r="AZ213" s="245"/>
      <c r="BA213" s="245"/>
      <c r="BB213" s="245"/>
      <c r="BC213" s="245"/>
      <c r="BD213" s="245"/>
      <c r="BE213" s="245"/>
      <c r="BF213" s="245"/>
      <c r="BG213" s="245"/>
      <c r="BH213" s="245"/>
      <c r="BI213" s="245"/>
      <c r="BJ213" s="245"/>
      <c r="BK213" s="245"/>
      <c r="BL213" s="245"/>
      <c r="BM213" s="245"/>
      <c r="BN213" s="245"/>
      <c r="BO213" s="245"/>
      <c r="BP213" s="245"/>
      <c r="BQ213" s="245"/>
      <c r="BR213" s="245"/>
      <c r="BS213" s="245"/>
      <c r="BT213" s="245"/>
      <c r="BU213" s="245"/>
      <c r="BV213" s="245"/>
      <c r="BW213" s="245"/>
      <c r="BX213" s="245"/>
      <c r="BY213" s="245"/>
      <c r="BZ213" s="245"/>
      <c r="CA213" s="245"/>
      <c r="CB213" s="245"/>
      <c r="CC213" s="245"/>
      <c r="CD213" s="245"/>
      <c r="CE213" s="245"/>
      <c r="CF213" s="245"/>
      <c r="CG213" s="245"/>
      <c r="CH213" s="245"/>
      <c r="CI213" s="245"/>
      <c r="CJ213" s="245"/>
      <c r="CK213" s="245"/>
      <c r="CL213" s="245"/>
      <c r="CM213" s="245"/>
      <c r="CN213" s="245"/>
      <c r="CO213" s="245"/>
      <c r="CP213" s="245"/>
      <c r="CQ213" s="245"/>
      <c r="CR213" s="245"/>
      <c r="CS213" s="245"/>
      <c r="CT213" s="245"/>
      <c r="CU213" s="245"/>
      <c r="CV213" s="245"/>
      <c r="CW213" s="245"/>
      <c r="CX213" s="245"/>
      <c r="CY213" s="245"/>
      <c r="CZ213" s="245"/>
      <c r="DA213" s="245"/>
      <c r="DB213" s="245"/>
      <c r="DC213" s="245"/>
      <c r="DD213" s="245"/>
      <c r="DE213" s="245"/>
      <c r="DF213" s="245"/>
      <c r="DG213" s="245"/>
      <c r="DH213" s="245"/>
      <c r="DI213" s="245"/>
      <c r="DJ213" s="245"/>
      <c r="DK213" s="245"/>
      <c r="DL213" s="245"/>
      <c r="DM213" s="245"/>
      <c r="DN213" s="245"/>
      <c r="DO213" s="245"/>
      <c r="DP213" s="245"/>
      <c r="DQ213" s="245"/>
      <c r="DR213" s="245"/>
      <c r="DS213" s="245"/>
      <c r="DT213" s="245"/>
      <c r="DU213" s="245"/>
      <c r="DV213" s="245"/>
      <c r="DW213" s="245"/>
      <c r="DX213" s="245"/>
      <c r="DY213" s="245"/>
      <c r="DZ213" s="245"/>
      <c r="EA213" s="245"/>
      <c r="EB213" s="245"/>
      <c r="EC213" s="245"/>
      <c r="ED213" s="245"/>
      <c r="EE213" s="245"/>
      <c r="EF213" s="245"/>
      <c r="EG213" s="245"/>
      <c r="EH213" s="245"/>
      <c r="EI213" s="245"/>
      <c r="EJ213" s="245"/>
      <c r="EK213" s="245"/>
      <c r="EL213" s="245"/>
      <c r="EM213" s="245"/>
      <c r="EN213" s="245"/>
      <c r="EO213" s="245"/>
      <c r="EP213" s="245"/>
    </row>
    <row r="214" spans="1:146" s="247" customFormat="1" ht="45" customHeight="1">
      <c r="A214" s="240" t="s">
        <v>1136</v>
      </c>
      <c r="B214" s="35"/>
      <c r="C214" s="295" t="s">
        <v>1106</v>
      </c>
      <c r="D214" s="295">
        <v>2016</v>
      </c>
      <c r="E214" s="295">
        <v>2017</v>
      </c>
      <c r="F214" s="238" t="s">
        <v>1677</v>
      </c>
      <c r="G214" s="37" t="s">
        <v>254</v>
      </c>
      <c r="H214" s="238" t="s">
        <v>1676</v>
      </c>
      <c r="I214" s="227" t="s">
        <v>1077</v>
      </c>
      <c r="J214" s="227" t="s">
        <v>31</v>
      </c>
      <c r="K214" s="295"/>
      <c r="L214" s="68">
        <v>773224</v>
      </c>
      <c r="M214" s="295" t="s">
        <v>31</v>
      </c>
      <c r="N214" s="295"/>
      <c r="O214" s="227" t="s">
        <v>31</v>
      </c>
      <c r="P214" s="295"/>
      <c r="Q214" s="295"/>
      <c r="R214" s="295"/>
      <c r="S214" s="305" t="s">
        <v>1137</v>
      </c>
      <c r="T214" s="97"/>
      <c r="U214" s="295" t="s">
        <v>1130</v>
      </c>
      <c r="V214" s="97" t="s">
        <v>1131</v>
      </c>
      <c r="W214" s="295"/>
      <c r="X214" s="259"/>
      <c r="Y214" s="205"/>
      <c r="Z214" s="292" t="s">
        <v>1074</v>
      </c>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c r="CO214" s="246"/>
      <c r="CP214" s="246"/>
      <c r="CQ214" s="246"/>
      <c r="CR214" s="246"/>
      <c r="CS214" s="246"/>
      <c r="CT214" s="246"/>
      <c r="CU214" s="246"/>
      <c r="CV214" s="246"/>
      <c r="CW214" s="246"/>
      <c r="CX214" s="246"/>
      <c r="CY214" s="246"/>
      <c r="CZ214" s="246"/>
      <c r="DA214" s="246"/>
      <c r="DB214" s="246"/>
      <c r="DC214" s="246"/>
      <c r="DD214" s="246"/>
      <c r="DE214" s="246"/>
      <c r="DF214" s="246"/>
      <c r="DG214" s="246"/>
      <c r="DH214" s="246"/>
      <c r="DI214" s="246"/>
      <c r="DJ214" s="246"/>
      <c r="DK214" s="246"/>
      <c r="DL214" s="246"/>
      <c r="DM214" s="246"/>
      <c r="DN214" s="246"/>
      <c r="DO214" s="246"/>
      <c r="DP214" s="246"/>
      <c r="DQ214" s="246"/>
      <c r="DR214" s="246"/>
      <c r="DS214" s="246"/>
      <c r="DT214" s="246"/>
      <c r="DU214" s="246"/>
      <c r="DV214" s="246"/>
      <c r="DW214" s="246"/>
      <c r="DX214" s="246"/>
      <c r="DY214" s="246"/>
      <c r="DZ214" s="246"/>
      <c r="EA214" s="246"/>
      <c r="EB214" s="246"/>
      <c r="EC214" s="246"/>
      <c r="ED214" s="246"/>
      <c r="EE214" s="246"/>
      <c r="EF214" s="246"/>
      <c r="EG214" s="246"/>
      <c r="EH214" s="246"/>
      <c r="EI214" s="246"/>
      <c r="EJ214" s="246"/>
      <c r="EK214" s="246"/>
      <c r="EL214" s="246"/>
      <c r="EM214" s="246"/>
      <c r="EN214" s="246"/>
      <c r="EO214" s="246"/>
      <c r="EP214" s="246"/>
    </row>
    <row r="215" spans="1:146" s="101" customFormat="1" ht="45" customHeight="1">
      <c r="A215" s="240" t="s">
        <v>1700</v>
      </c>
      <c r="B215" s="228"/>
      <c r="C215" s="225" t="s">
        <v>1161</v>
      </c>
      <c r="D215" s="311">
        <v>2016</v>
      </c>
      <c r="E215" s="311">
        <v>2017</v>
      </c>
      <c r="F215" s="337" t="s">
        <v>1688</v>
      </c>
      <c r="G215" s="340" t="s">
        <v>254</v>
      </c>
      <c r="H215" s="337" t="s">
        <v>1162</v>
      </c>
      <c r="I215" s="337" t="s">
        <v>1077</v>
      </c>
      <c r="J215" s="337" t="s">
        <v>31</v>
      </c>
      <c r="K215" s="311"/>
      <c r="L215" s="241">
        <v>333420</v>
      </c>
      <c r="M215" s="311"/>
      <c r="N215" s="311"/>
      <c r="O215" s="337" t="s">
        <v>31</v>
      </c>
      <c r="P215" s="311"/>
      <c r="Q215" s="311"/>
      <c r="R215" s="311"/>
      <c r="S215" s="356"/>
      <c r="T215" s="312"/>
      <c r="U215" s="311" t="s">
        <v>1158</v>
      </c>
      <c r="V215" s="312" t="s">
        <v>1140</v>
      </c>
      <c r="W215" s="311"/>
      <c r="X215" s="341"/>
      <c r="Y215" s="260" t="s">
        <v>1689</v>
      </c>
      <c r="Z215" s="246" t="s">
        <v>1074</v>
      </c>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c r="BS215" s="103"/>
      <c r="BT215" s="103"/>
      <c r="BU215" s="103"/>
      <c r="BV215" s="103"/>
      <c r="BW215" s="103"/>
      <c r="BX215" s="103"/>
      <c r="BY215" s="103"/>
      <c r="BZ215" s="103"/>
      <c r="CA215" s="103"/>
      <c r="CB215" s="103"/>
      <c r="CC215" s="103"/>
      <c r="CD215" s="103"/>
      <c r="CE215" s="103"/>
      <c r="CF215" s="103"/>
      <c r="CG215" s="103"/>
      <c r="CH215" s="103"/>
      <c r="CI215" s="103"/>
      <c r="CJ215" s="103"/>
      <c r="CK215" s="103"/>
      <c r="CL215" s="103"/>
      <c r="CM215" s="103"/>
      <c r="CN215" s="103"/>
      <c r="CO215" s="103"/>
      <c r="CP215" s="103"/>
      <c r="CQ215" s="103"/>
      <c r="CR215" s="103"/>
      <c r="CS215" s="103"/>
      <c r="CT215" s="103"/>
      <c r="CU215" s="103"/>
      <c r="CV215" s="103"/>
      <c r="CW215" s="103"/>
      <c r="CX215" s="103"/>
      <c r="CY215" s="103"/>
      <c r="CZ215" s="103"/>
      <c r="DA215" s="103"/>
      <c r="DB215" s="103"/>
      <c r="DC215" s="103"/>
      <c r="DD215" s="103"/>
      <c r="DE215" s="103"/>
      <c r="DF215" s="103"/>
      <c r="DG215" s="103"/>
      <c r="DH215" s="103"/>
      <c r="DI215" s="103"/>
      <c r="DJ215" s="103"/>
      <c r="DK215" s="103"/>
      <c r="DL215" s="103"/>
      <c r="DM215" s="103"/>
      <c r="DN215" s="103"/>
      <c r="DO215" s="103"/>
      <c r="DP215" s="103"/>
      <c r="DQ215" s="103"/>
      <c r="DR215" s="103"/>
      <c r="DS215" s="103"/>
      <c r="DT215" s="103"/>
      <c r="DU215" s="103"/>
      <c r="DV215" s="103"/>
      <c r="DW215" s="103"/>
      <c r="DX215" s="103"/>
      <c r="DY215" s="103"/>
      <c r="DZ215" s="103"/>
      <c r="EA215" s="103"/>
      <c r="EB215" s="103"/>
      <c r="EC215" s="103"/>
      <c r="ED215" s="103"/>
      <c r="EE215" s="103"/>
      <c r="EF215" s="103"/>
      <c r="EG215" s="103"/>
      <c r="EH215" s="103"/>
      <c r="EI215" s="103"/>
      <c r="EJ215" s="103"/>
      <c r="EK215" s="103"/>
      <c r="EL215" s="103"/>
      <c r="EM215" s="103"/>
      <c r="EN215" s="103"/>
      <c r="EO215" s="103"/>
      <c r="EP215" s="103"/>
    </row>
    <row r="216" spans="1:146" ht="45" customHeight="1">
      <c r="A216" s="338" t="s">
        <v>1657</v>
      </c>
      <c r="B216" s="336"/>
      <c r="C216" s="335" t="s">
        <v>1138</v>
      </c>
      <c r="D216" s="36">
        <v>2016</v>
      </c>
      <c r="E216" s="36">
        <v>2020</v>
      </c>
      <c r="F216" s="36" t="s">
        <v>658</v>
      </c>
      <c r="G216" s="37" t="s">
        <v>271</v>
      </c>
      <c r="H216" s="311" t="s">
        <v>659</v>
      </c>
      <c r="I216" s="37" t="s">
        <v>57</v>
      </c>
      <c r="J216" s="227" t="s">
        <v>31</v>
      </c>
      <c r="K216" s="77"/>
      <c r="L216" s="339">
        <v>17662801</v>
      </c>
      <c r="M216" s="227" t="s">
        <v>31</v>
      </c>
      <c r="N216" s="295"/>
      <c r="O216" s="36"/>
      <c r="P216" s="36"/>
      <c r="Q216" s="227" t="s">
        <v>31</v>
      </c>
      <c r="R216" s="36"/>
      <c r="S216" s="343" t="s">
        <v>1721</v>
      </c>
      <c r="T216" s="97"/>
      <c r="U216" s="36" t="s">
        <v>1139</v>
      </c>
      <c r="V216" s="97" t="s">
        <v>1140</v>
      </c>
      <c r="W216" s="36" t="s">
        <v>1141</v>
      </c>
      <c r="X216" s="172"/>
      <c r="Y216" s="201"/>
      <c r="Z216" s="292" t="s">
        <v>1074</v>
      </c>
    </row>
    <row r="217" spans="1:146" s="247" customFormat="1" ht="45" customHeight="1">
      <c r="A217" s="228" t="s">
        <v>1129</v>
      </c>
      <c r="B217" s="35"/>
      <c r="C217" s="237"/>
      <c r="D217" s="295">
        <v>2016</v>
      </c>
      <c r="E217" s="295">
        <v>2016</v>
      </c>
      <c r="F217" s="295" t="s">
        <v>876</v>
      </c>
      <c r="G217" s="37" t="s">
        <v>201</v>
      </c>
      <c r="H217" s="295" t="s">
        <v>877</v>
      </c>
      <c r="I217" s="239" t="s">
        <v>57</v>
      </c>
      <c r="J217" s="37" t="s">
        <v>516</v>
      </c>
      <c r="K217" s="295" t="s">
        <v>31</v>
      </c>
      <c r="L217" s="226"/>
      <c r="M217" s="295"/>
      <c r="N217" s="227" t="s">
        <v>31</v>
      </c>
      <c r="O217" s="295"/>
      <c r="P217" s="295"/>
      <c r="Q217" s="227" t="s">
        <v>31</v>
      </c>
      <c r="R217" s="295"/>
      <c r="S217" s="356"/>
      <c r="T217" s="295"/>
      <c r="U217" s="295"/>
      <c r="V217" s="295"/>
      <c r="W217" s="295"/>
      <c r="X217" s="324"/>
      <c r="Y217" s="299"/>
      <c r="Z217" s="221" t="s">
        <v>33</v>
      </c>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c r="CO217" s="246"/>
      <c r="CP217" s="246"/>
      <c r="CQ217" s="246"/>
      <c r="CR217" s="246"/>
      <c r="CS217" s="246"/>
      <c r="CT217" s="246"/>
      <c r="CU217" s="246"/>
      <c r="CV217" s="246"/>
      <c r="CW217" s="246"/>
      <c r="CX217" s="246"/>
      <c r="CY217" s="246"/>
      <c r="CZ217" s="246"/>
      <c r="DA217" s="246"/>
      <c r="DB217" s="246"/>
      <c r="DC217" s="246"/>
      <c r="DD217" s="246"/>
      <c r="DE217" s="246"/>
      <c r="DF217" s="246"/>
      <c r="DG217" s="246"/>
      <c r="DH217" s="246"/>
      <c r="DI217" s="246"/>
      <c r="DJ217" s="246"/>
      <c r="DK217" s="246"/>
      <c r="DL217" s="246"/>
      <c r="DM217" s="246"/>
      <c r="DN217" s="246"/>
      <c r="DO217" s="246"/>
      <c r="DP217" s="246"/>
      <c r="DQ217" s="246"/>
      <c r="DR217" s="246"/>
      <c r="DS217" s="246"/>
      <c r="DT217" s="246"/>
      <c r="DU217" s="246"/>
      <c r="DV217" s="246"/>
      <c r="DW217" s="246"/>
      <c r="DX217" s="246"/>
      <c r="DY217" s="246"/>
      <c r="DZ217" s="246"/>
      <c r="EA217" s="246"/>
      <c r="EB217" s="246"/>
      <c r="EC217" s="246"/>
      <c r="ED217" s="246"/>
      <c r="EE217" s="246"/>
      <c r="EF217" s="246"/>
      <c r="EG217" s="246"/>
      <c r="EH217" s="246"/>
      <c r="EI217" s="246"/>
      <c r="EJ217" s="246"/>
      <c r="EK217" s="246"/>
      <c r="EL217" s="246"/>
      <c r="EM217" s="246"/>
      <c r="EN217" s="246"/>
      <c r="EO217" s="246"/>
      <c r="EP217" s="246"/>
    </row>
    <row r="218" spans="1:146" s="309" customFormat="1" ht="45" customHeight="1">
      <c r="A218" s="336" t="s">
        <v>1151</v>
      </c>
      <c r="B218" s="336"/>
      <c r="C218" s="335" t="s">
        <v>1152</v>
      </c>
      <c r="D218" s="311">
        <v>2016</v>
      </c>
      <c r="E218" s="311">
        <v>2017</v>
      </c>
      <c r="F218" s="311"/>
      <c r="G218" s="335" t="s">
        <v>290</v>
      </c>
      <c r="H218" s="337" t="s">
        <v>290</v>
      </c>
      <c r="I218" s="340" t="s">
        <v>73</v>
      </c>
      <c r="J218" s="337" t="s">
        <v>31</v>
      </c>
      <c r="K218" s="311"/>
      <c r="L218" s="339">
        <v>379998</v>
      </c>
      <c r="M218" s="337" t="s">
        <v>31</v>
      </c>
      <c r="N218" s="311"/>
      <c r="O218" s="311"/>
      <c r="P218" s="311"/>
      <c r="Q218" s="311"/>
      <c r="R218" s="337" t="s">
        <v>31</v>
      </c>
      <c r="S218" s="343" t="s">
        <v>1722</v>
      </c>
      <c r="T218" s="312"/>
      <c r="U218" s="311" t="s">
        <v>1153</v>
      </c>
      <c r="V218" s="312" t="s">
        <v>1131</v>
      </c>
      <c r="W218" s="311"/>
      <c r="X218" s="341"/>
      <c r="Y218" s="203"/>
      <c r="Z218" s="310" t="s">
        <v>1074</v>
      </c>
      <c r="AA218" s="291"/>
      <c r="AB218" s="291"/>
      <c r="AC218" s="291"/>
      <c r="AD218" s="291"/>
      <c r="AE218" s="291"/>
      <c r="AF218" s="291"/>
      <c r="AG218" s="291"/>
      <c r="AH218" s="291"/>
      <c r="AI218" s="291"/>
      <c r="AJ218" s="291"/>
      <c r="AK218" s="291"/>
      <c r="AL218" s="291"/>
      <c r="AM218" s="291"/>
      <c r="AN218" s="291"/>
      <c r="AO218" s="291"/>
      <c r="AP218" s="291"/>
      <c r="AQ218" s="291"/>
      <c r="AR218" s="291"/>
      <c r="AS218" s="291"/>
      <c r="AT218" s="291"/>
      <c r="AU218" s="291"/>
      <c r="AV218" s="291"/>
      <c r="AW218" s="291"/>
      <c r="AX218" s="291"/>
      <c r="AY218" s="291"/>
      <c r="AZ218" s="291"/>
      <c r="BA218" s="291"/>
      <c r="BB218" s="291"/>
      <c r="BC218" s="291"/>
      <c r="BD218" s="291"/>
      <c r="BE218" s="291"/>
      <c r="BF218" s="291"/>
      <c r="BG218" s="291"/>
      <c r="BH218" s="291"/>
      <c r="BI218" s="291"/>
      <c r="BJ218" s="291"/>
      <c r="BK218" s="291"/>
      <c r="BL218" s="291"/>
      <c r="BM218" s="291"/>
      <c r="BN218" s="291"/>
      <c r="BO218" s="291"/>
      <c r="BP218" s="291"/>
      <c r="BQ218" s="291"/>
      <c r="BR218" s="291"/>
      <c r="BS218" s="291"/>
      <c r="BT218" s="291"/>
      <c r="BU218" s="291"/>
      <c r="BV218" s="291"/>
      <c r="BW218" s="291"/>
      <c r="BX218" s="291"/>
      <c r="BY218" s="291"/>
      <c r="BZ218" s="291"/>
      <c r="CA218" s="291"/>
      <c r="CB218" s="291"/>
      <c r="CC218" s="291"/>
      <c r="CD218" s="291"/>
      <c r="CE218" s="291"/>
      <c r="CF218" s="291"/>
      <c r="CG218" s="291"/>
      <c r="CH218" s="291"/>
      <c r="CI218" s="291"/>
      <c r="CJ218" s="291"/>
      <c r="CK218" s="291"/>
      <c r="CL218" s="291"/>
      <c r="CM218" s="291"/>
      <c r="CN218" s="291"/>
      <c r="CO218" s="291"/>
      <c r="CP218" s="291"/>
      <c r="CQ218" s="291"/>
      <c r="CR218" s="291"/>
      <c r="CS218" s="291"/>
      <c r="CT218" s="291"/>
      <c r="CU218" s="291"/>
      <c r="CV218" s="291"/>
      <c r="CW218" s="291"/>
      <c r="CX218" s="291"/>
      <c r="CY218" s="291"/>
      <c r="CZ218" s="291"/>
      <c r="DA218" s="291"/>
      <c r="DB218" s="291"/>
      <c r="DC218" s="291"/>
      <c r="DD218" s="291"/>
      <c r="DE218" s="291"/>
      <c r="DF218" s="291"/>
      <c r="DG218" s="291"/>
      <c r="DH218" s="291"/>
      <c r="DI218" s="291"/>
      <c r="DJ218" s="291"/>
      <c r="DK218" s="291"/>
      <c r="DL218" s="291"/>
      <c r="DM218" s="291"/>
      <c r="DN218" s="291"/>
      <c r="DO218" s="291"/>
      <c r="DP218" s="291"/>
      <c r="DQ218" s="291"/>
      <c r="DR218" s="291"/>
      <c r="DS218" s="291"/>
      <c r="DT218" s="291"/>
      <c r="DU218" s="291"/>
      <c r="DV218" s="291"/>
      <c r="DW218" s="291"/>
      <c r="DX218" s="291"/>
      <c r="DY218" s="291"/>
      <c r="DZ218" s="291"/>
      <c r="EA218" s="291"/>
      <c r="EB218" s="291"/>
      <c r="EC218" s="291"/>
      <c r="ED218" s="291"/>
      <c r="EE218" s="291"/>
      <c r="EF218" s="291"/>
      <c r="EG218" s="291"/>
      <c r="EH218" s="291"/>
      <c r="EI218" s="291"/>
      <c r="EJ218" s="291"/>
      <c r="EK218" s="291"/>
      <c r="EL218" s="291"/>
      <c r="EM218" s="291"/>
      <c r="EN218" s="291"/>
      <c r="EO218" s="291"/>
      <c r="EP218" s="291"/>
    </row>
    <row r="219" spans="1:146" s="217" customFormat="1" ht="45" customHeight="1">
      <c r="A219" s="240" t="s">
        <v>1658</v>
      </c>
      <c r="B219" s="228"/>
      <c r="C219" s="238" t="s">
        <v>1767</v>
      </c>
      <c r="D219" s="104">
        <v>2016</v>
      </c>
      <c r="E219" s="104" t="s">
        <v>1142</v>
      </c>
      <c r="F219" s="104" t="s">
        <v>1143</v>
      </c>
      <c r="G219" s="225" t="s">
        <v>36</v>
      </c>
      <c r="H219" s="104" t="s">
        <v>1144</v>
      </c>
      <c r="I219" s="340" t="s">
        <v>1768</v>
      </c>
      <c r="J219" s="238" t="s">
        <v>31</v>
      </c>
      <c r="K219" s="104"/>
      <c r="L219" s="241">
        <v>450000</v>
      </c>
      <c r="M219" s="104"/>
      <c r="N219" s="104"/>
      <c r="O219" s="104"/>
      <c r="P219" s="104"/>
      <c r="Q219" s="104"/>
      <c r="R219" s="337" t="s">
        <v>31</v>
      </c>
      <c r="S219" s="343" t="s">
        <v>1769</v>
      </c>
      <c r="T219" s="139"/>
      <c r="U219" s="104" t="s">
        <v>1145</v>
      </c>
      <c r="V219" s="139" t="s">
        <v>1146</v>
      </c>
      <c r="W219" s="104"/>
      <c r="X219" s="326"/>
      <c r="Y219" s="206"/>
      <c r="Z219" s="103" t="s">
        <v>1074</v>
      </c>
      <c r="AA219" s="245"/>
      <c r="AB219" s="245"/>
      <c r="AC219" s="245"/>
      <c r="AD219" s="245"/>
      <c r="AE219" s="245"/>
      <c r="AF219" s="245"/>
      <c r="AG219" s="245"/>
      <c r="AH219" s="245"/>
      <c r="AI219" s="245"/>
      <c r="AJ219" s="245"/>
      <c r="AK219" s="245"/>
      <c r="AL219" s="245"/>
      <c r="AM219" s="245"/>
      <c r="AN219" s="245"/>
      <c r="AO219" s="245"/>
      <c r="AP219" s="245"/>
      <c r="AQ219" s="245"/>
      <c r="AR219" s="245"/>
      <c r="AS219" s="245"/>
      <c r="AT219" s="245"/>
      <c r="AU219" s="245"/>
      <c r="AV219" s="245"/>
      <c r="AW219" s="245"/>
      <c r="AX219" s="245"/>
      <c r="AY219" s="245"/>
      <c r="AZ219" s="245"/>
      <c r="BA219" s="245"/>
      <c r="BB219" s="245"/>
      <c r="BC219" s="245"/>
      <c r="BD219" s="245"/>
      <c r="BE219" s="245"/>
      <c r="BF219" s="245"/>
      <c r="BG219" s="245"/>
      <c r="BH219" s="245"/>
      <c r="BI219" s="245"/>
      <c r="BJ219" s="245"/>
      <c r="BK219" s="245"/>
      <c r="BL219" s="245"/>
      <c r="BM219" s="245"/>
      <c r="BN219" s="245"/>
      <c r="BO219" s="245"/>
      <c r="BP219" s="245"/>
      <c r="BQ219" s="245"/>
      <c r="BR219" s="245"/>
      <c r="BS219" s="245"/>
      <c r="BT219" s="245"/>
      <c r="BU219" s="245"/>
      <c r="BV219" s="245"/>
      <c r="BW219" s="245"/>
      <c r="BX219" s="245"/>
      <c r="BY219" s="245"/>
      <c r="BZ219" s="245"/>
      <c r="CA219" s="245"/>
      <c r="CB219" s="245"/>
      <c r="CC219" s="245"/>
      <c r="CD219" s="245"/>
      <c r="CE219" s="245"/>
      <c r="CF219" s="245"/>
      <c r="CG219" s="245"/>
      <c r="CH219" s="245"/>
      <c r="CI219" s="245"/>
      <c r="CJ219" s="245"/>
      <c r="CK219" s="245"/>
      <c r="CL219" s="245"/>
      <c r="CM219" s="245"/>
      <c r="CN219" s="245"/>
      <c r="CO219" s="245"/>
      <c r="CP219" s="245"/>
      <c r="CQ219" s="245"/>
      <c r="CR219" s="245"/>
      <c r="CS219" s="245"/>
      <c r="CT219" s="245"/>
      <c r="CU219" s="245"/>
      <c r="CV219" s="245"/>
      <c r="CW219" s="245"/>
      <c r="CX219" s="245"/>
      <c r="CY219" s="245"/>
      <c r="CZ219" s="245"/>
      <c r="DA219" s="245"/>
      <c r="DB219" s="245"/>
      <c r="DC219" s="245"/>
      <c r="DD219" s="245"/>
      <c r="DE219" s="245"/>
      <c r="DF219" s="245"/>
      <c r="DG219" s="245"/>
      <c r="DH219" s="245"/>
      <c r="DI219" s="245"/>
      <c r="DJ219" s="245"/>
      <c r="DK219" s="245"/>
      <c r="DL219" s="245"/>
      <c r="DM219" s="245"/>
      <c r="DN219" s="245"/>
      <c r="DO219" s="245"/>
      <c r="DP219" s="245"/>
      <c r="DQ219" s="245"/>
      <c r="DR219" s="245"/>
      <c r="DS219" s="245"/>
      <c r="DT219" s="245"/>
      <c r="DU219" s="245"/>
      <c r="DV219" s="245"/>
      <c r="DW219" s="245"/>
      <c r="DX219" s="245"/>
      <c r="DY219" s="245"/>
      <c r="DZ219" s="245"/>
      <c r="EA219" s="245"/>
      <c r="EB219" s="245"/>
      <c r="EC219" s="245"/>
      <c r="ED219" s="245"/>
      <c r="EE219" s="245"/>
      <c r="EF219" s="245"/>
      <c r="EG219" s="245"/>
      <c r="EH219" s="245"/>
      <c r="EI219" s="245"/>
      <c r="EJ219" s="245"/>
      <c r="EK219" s="245"/>
      <c r="EL219" s="245"/>
      <c r="EM219" s="245"/>
      <c r="EN219" s="245"/>
      <c r="EO219" s="245"/>
      <c r="EP219" s="245"/>
    </row>
    <row r="220" spans="1:146" s="247" customFormat="1" ht="45" customHeight="1">
      <c r="A220" s="338" t="s">
        <v>1701</v>
      </c>
      <c r="B220" s="336"/>
      <c r="C220" s="337" t="s">
        <v>1702</v>
      </c>
      <c r="D220" s="311">
        <v>2016</v>
      </c>
      <c r="E220" s="311">
        <v>2017</v>
      </c>
      <c r="F220" s="104" t="s">
        <v>758</v>
      </c>
      <c r="G220" s="335" t="s">
        <v>677</v>
      </c>
      <c r="H220" s="311" t="s">
        <v>759</v>
      </c>
      <c r="I220" s="337" t="s">
        <v>1077</v>
      </c>
      <c r="J220" s="337" t="s">
        <v>31</v>
      </c>
      <c r="K220" s="311"/>
      <c r="L220" s="339">
        <v>394332</v>
      </c>
      <c r="M220" s="337" t="s">
        <v>31</v>
      </c>
      <c r="N220" s="337" t="s">
        <v>31</v>
      </c>
      <c r="O220" s="311"/>
      <c r="P220" s="311"/>
      <c r="Q220" s="311"/>
      <c r="R220" s="311"/>
      <c r="S220" s="360" t="s">
        <v>1771</v>
      </c>
      <c r="T220" s="312"/>
      <c r="U220" s="311" t="s">
        <v>1159</v>
      </c>
      <c r="V220" s="312" t="s">
        <v>1160</v>
      </c>
      <c r="W220" s="311"/>
      <c r="X220" s="341"/>
      <c r="Y220" s="206"/>
      <c r="Z220" s="103" t="s">
        <v>1074</v>
      </c>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c r="CO220" s="246"/>
      <c r="CP220" s="246"/>
      <c r="CQ220" s="246"/>
      <c r="CR220" s="246"/>
      <c r="CS220" s="246"/>
      <c r="CT220" s="246"/>
      <c r="CU220" s="246"/>
      <c r="CV220" s="246"/>
      <c r="CW220" s="246"/>
      <c r="CX220" s="246"/>
      <c r="CY220" s="246"/>
      <c r="CZ220" s="246"/>
      <c r="DA220" s="246"/>
      <c r="DB220" s="246"/>
      <c r="DC220" s="246"/>
      <c r="DD220" s="246"/>
      <c r="DE220" s="246"/>
      <c r="DF220" s="246"/>
      <c r="DG220" s="246"/>
      <c r="DH220" s="246"/>
      <c r="DI220" s="246"/>
      <c r="DJ220" s="246"/>
      <c r="DK220" s="246"/>
      <c r="DL220" s="246"/>
      <c r="DM220" s="246"/>
      <c r="DN220" s="246"/>
      <c r="DO220" s="246"/>
      <c r="DP220" s="246"/>
      <c r="DQ220" s="246"/>
      <c r="DR220" s="246"/>
      <c r="DS220" s="246"/>
      <c r="DT220" s="246"/>
      <c r="DU220" s="246"/>
      <c r="DV220" s="246"/>
      <c r="DW220" s="246"/>
      <c r="DX220" s="246"/>
      <c r="DY220" s="246"/>
      <c r="DZ220" s="246"/>
      <c r="EA220" s="246"/>
      <c r="EB220" s="246"/>
      <c r="EC220" s="246"/>
      <c r="ED220" s="246"/>
      <c r="EE220" s="246"/>
      <c r="EF220" s="246"/>
      <c r="EG220" s="246"/>
      <c r="EH220" s="246"/>
      <c r="EI220" s="246"/>
      <c r="EJ220" s="246"/>
      <c r="EK220" s="246"/>
      <c r="EL220" s="246"/>
      <c r="EM220" s="246"/>
      <c r="EN220" s="246"/>
      <c r="EO220" s="246"/>
      <c r="EP220" s="246"/>
    </row>
    <row r="221" spans="1:146" s="101" customFormat="1" ht="45" customHeight="1">
      <c r="A221" s="272" t="s">
        <v>1707</v>
      </c>
      <c r="B221" s="272" t="s">
        <v>1132</v>
      </c>
      <c r="C221" s="273" t="s">
        <v>1133</v>
      </c>
      <c r="D221" s="273">
        <v>2016</v>
      </c>
      <c r="E221" s="273">
        <v>2020</v>
      </c>
      <c r="F221" s="311" t="s">
        <v>27</v>
      </c>
      <c r="G221" s="274" t="s">
        <v>28</v>
      </c>
      <c r="H221" s="273" t="s">
        <v>29</v>
      </c>
      <c r="I221" s="273" t="s">
        <v>678</v>
      </c>
      <c r="J221" s="273" t="s">
        <v>1134</v>
      </c>
      <c r="K221" s="273" t="s">
        <v>31</v>
      </c>
      <c r="L221" s="275">
        <v>1496927</v>
      </c>
      <c r="M221" s="273"/>
      <c r="N221" s="276"/>
      <c r="O221" s="276"/>
      <c r="P221" s="276"/>
      <c r="Q221" s="276"/>
      <c r="R221" s="273" t="s">
        <v>31</v>
      </c>
      <c r="S221" s="343" t="s">
        <v>1135</v>
      </c>
      <c r="T221" s="276"/>
      <c r="U221" s="276"/>
      <c r="V221" s="276"/>
      <c r="W221" s="276"/>
      <c r="X221" s="326"/>
      <c r="Y221" s="330"/>
      <c r="Z221" s="103" t="s">
        <v>1074</v>
      </c>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c r="BS221" s="103"/>
      <c r="BT221" s="103"/>
      <c r="BU221" s="103"/>
      <c r="BV221" s="103"/>
      <c r="BW221" s="103"/>
      <c r="BX221" s="103"/>
      <c r="BY221" s="103"/>
      <c r="BZ221" s="103"/>
      <c r="CA221" s="103"/>
      <c r="CB221" s="103"/>
      <c r="CC221" s="103"/>
      <c r="CD221" s="103"/>
      <c r="CE221" s="103"/>
      <c r="CF221" s="103"/>
      <c r="CG221" s="103"/>
      <c r="CH221" s="103"/>
      <c r="CI221" s="103"/>
      <c r="CJ221" s="103"/>
      <c r="CK221" s="103"/>
      <c r="CL221" s="103"/>
      <c r="CM221" s="103"/>
      <c r="CN221" s="103"/>
      <c r="CO221" s="103"/>
      <c r="CP221" s="103"/>
      <c r="CQ221" s="103"/>
      <c r="CR221" s="103"/>
      <c r="CS221" s="103"/>
      <c r="CT221" s="103"/>
      <c r="CU221" s="103"/>
      <c r="CV221" s="103"/>
      <c r="CW221" s="103"/>
      <c r="CX221" s="103"/>
      <c r="CY221" s="103"/>
      <c r="CZ221" s="103"/>
      <c r="DA221" s="103"/>
      <c r="DB221" s="103"/>
      <c r="DC221" s="103"/>
      <c r="DD221" s="103"/>
      <c r="DE221" s="103"/>
      <c r="DF221" s="103"/>
      <c r="DG221" s="103"/>
      <c r="DH221" s="103"/>
      <c r="DI221" s="103"/>
      <c r="DJ221" s="103"/>
      <c r="DK221" s="103"/>
      <c r="DL221" s="103"/>
      <c r="DM221" s="103"/>
      <c r="DN221" s="103"/>
      <c r="DO221" s="103"/>
      <c r="DP221" s="103"/>
      <c r="DQ221" s="103"/>
      <c r="DR221" s="103"/>
      <c r="DS221" s="103"/>
      <c r="DT221" s="103"/>
      <c r="DU221" s="103"/>
      <c r="DV221" s="103"/>
      <c r="DW221" s="103"/>
      <c r="DX221" s="103"/>
      <c r="DY221" s="103"/>
      <c r="DZ221" s="103"/>
      <c r="EA221" s="103"/>
      <c r="EB221" s="103"/>
      <c r="EC221" s="103"/>
      <c r="ED221" s="103"/>
      <c r="EE221" s="103"/>
      <c r="EF221" s="103"/>
      <c r="EG221" s="103"/>
      <c r="EH221" s="103"/>
      <c r="EI221" s="103"/>
      <c r="EJ221" s="103"/>
      <c r="EK221" s="103"/>
      <c r="EL221" s="103"/>
      <c r="EM221" s="103"/>
      <c r="EN221" s="103"/>
      <c r="EO221" s="103"/>
      <c r="EP221" s="103"/>
    </row>
    <row r="222" spans="1:146" s="101" customFormat="1" ht="45" customHeight="1">
      <c r="A222" s="336" t="s">
        <v>1154</v>
      </c>
      <c r="B222" s="336"/>
      <c r="C222" s="335" t="s">
        <v>1155</v>
      </c>
      <c r="D222" s="311">
        <v>2016</v>
      </c>
      <c r="E222" s="311">
        <v>2017</v>
      </c>
      <c r="F222" s="337" t="s">
        <v>1760</v>
      </c>
      <c r="G222" s="340" t="s">
        <v>200</v>
      </c>
      <c r="H222" s="238" t="s">
        <v>1759</v>
      </c>
      <c r="I222" s="335" t="s">
        <v>1150</v>
      </c>
      <c r="J222" s="337" t="s">
        <v>31</v>
      </c>
      <c r="K222" s="285"/>
      <c r="L222" s="339">
        <v>356182.91</v>
      </c>
      <c r="M222" s="337" t="s">
        <v>31</v>
      </c>
      <c r="N222" s="311"/>
      <c r="O222" s="311"/>
      <c r="P222" s="337" t="s">
        <v>31</v>
      </c>
      <c r="Q222" s="311"/>
      <c r="R222" s="311"/>
      <c r="S222" s="343" t="s">
        <v>1761</v>
      </c>
      <c r="T222" s="312"/>
      <c r="U222" s="311" t="s">
        <v>1156</v>
      </c>
      <c r="V222" s="312" t="s">
        <v>1157</v>
      </c>
      <c r="W222" s="311"/>
      <c r="X222" s="341"/>
      <c r="Y222" s="203"/>
      <c r="Z222" s="310" t="s">
        <v>1074</v>
      </c>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c r="BS222" s="103"/>
      <c r="BT222" s="103"/>
      <c r="BU222" s="103"/>
      <c r="BV222" s="103"/>
      <c r="BW222" s="103"/>
      <c r="BX222" s="103"/>
      <c r="BY222" s="103"/>
      <c r="BZ222" s="103"/>
      <c r="CA222" s="103"/>
      <c r="CB222" s="103"/>
      <c r="CC222" s="103"/>
      <c r="CD222" s="103"/>
      <c r="CE222" s="103"/>
      <c r="CF222" s="103"/>
      <c r="CG222" s="103"/>
      <c r="CH222" s="103"/>
      <c r="CI222" s="103"/>
      <c r="CJ222" s="103"/>
      <c r="CK222" s="103"/>
      <c r="CL222" s="103"/>
      <c r="CM222" s="103"/>
      <c r="CN222" s="103"/>
      <c r="CO222" s="103"/>
      <c r="CP222" s="103"/>
      <c r="CQ222" s="103"/>
      <c r="CR222" s="103"/>
      <c r="CS222" s="103"/>
      <c r="CT222" s="103"/>
      <c r="CU222" s="103"/>
      <c r="CV222" s="103"/>
      <c r="CW222" s="103"/>
      <c r="CX222" s="103"/>
      <c r="CY222" s="103"/>
      <c r="CZ222" s="103"/>
      <c r="DA222" s="103"/>
      <c r="DB222" s="103"/>
      <c r="DC222" s="103"/>
      <c r="DD222" s="103"/>
      <c r="DE222" s="103"/>
      <c r="DF222" s="103"/>
      <c r="DG222" s="103"/>
      <c r="DH222" s="103"/>
      <c r="DI222" s="103"/>
      <c r="DJ222" s="103"/>
      <c r="DK222" s="103"/>
      <c r="DL222" s="103"/>
      <c r="DM222" s="103"/>
      <c r="DN222" s="103"/>
      <c r="DO222" s="103"/>
      <c r="DP222" s="103"/>
      <c r="DQ222" s="103"/>
      <c r="DR222" s="103"/>
      <c r="DS222" s="103"/>
      <c r="DT222" s="103"/>
      <c r="DU222" s="103"/>
      <c r="DV222" s="103"/>
      <c r="DW222" s="103"/>
      <c r="DX222" s="103"/>
      <c r="DY222" s="103"/>
      <c r="DZ222" s="103"/>
      <c r="EA222" s="103"/>
      <c r="EB222" s="103"/>
      <c r="EC222" s="103"/>
      <c r="ED222" s="103"/>
      <c r="EE222" s="103"/>
      <c r="EF222" s="103"/>
      <c r="EG222" s="103"/>
      <c r="EH222" s="103"/>
      <c r="EI222" s="103"/>
      <c r="EJ222" s="103"/>
      <c r="EK222" s="103"/>
      <c r="EL222" s="103"/>
      <c r="EM222" s="103"/>
      <c r="EN222" s="103"/>
      <c r="EO222" s="103"/>
      <c r="EP222" s="103"/>
    </row>
    <row r="223" spans="1:146" s="247" customFormat="1" ht="45" customHeight="1">
      <c r="A223" s="279" t="s">
        <v>1744</v>
      </c>
      <c r="B223" s="248"/>
      <c r="C223" s="277" t="s">
        <v>1745</v>
      </c>
      <c r="D223" s="36">
        <v>2017</v>
      </c>
      <c r="E223" s="295">
        <v>2021</v>
      </c>
      <c r="F223" s="227" t="s">
        <v>658</v>
      </c>
      <c r="G223" s="239" t="s">
        <v>254</v>
      </c>
      <c r="H223" s="238" t="s">
        <v>659</v>
      </c>
      <c r="I223" s="239" t="s">
        <v>1746</v>
      </c>
      <c r="J223" s="227" t="s">
        <v>31</v>
      </c>
      <c r="K223" s="295"/>
      <c r="L223" s="68">
        <v>22696378</v>
      </c>
      <c r="M223" s="227" t="s">
        <v>31</v>
      </c>
      <c r="N223" s="36"/>
      <c r="O223" s="36"/>
      <c r="P223" s="36"/>
      <c r="Q223" s="227" t="s">
        <v>31</v>
      </c>
      <c r="R223" s="36"/>
      <c r="S223" s="305" t="s">
        <v>1747</v>
      </c>
      <c r="T223" s="61"/>
      <c r="U223" s="36"/>
      <c r="V223" s="36"/>
      <c r="W223" s="36"/>
      <c r="X223" s="324"/>
      <c r="Y223" s="64"/>
      <c r="Z223" s="27"/>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c r="CO223" s="246"/>
      <c r="CP223" s="246"/>
      <c r="CQ223" s="246"/>
      <c r="CR223" s="246"/>
      <c r="CS223" s="246"/>
      <c r="CT223" s="246"/>
      <c r="CU223" s="246"/>
      <c r="CV223" s="246"/>
      <c r="CW223" s="246"/>
      <c r="CX223" s="246"/>
      <c r="CY223" s="246"/>
      <c r="CZ223" s="246"/>
      <c r="DA223" s="246"/>
      <c r="DB223" s="246"/>
      <c r="DC223" s="246"/>
      <c r="DD223" s="246"/>
      <c r="DE223" s="246"/>
      <c r="DF223" s="246"/>
      <c r="DG223" s="246"/>
      <c r="DH223" s="246"/>
      <c r="DI223" s="246"/>
      <c r="DJ223" s="246"/>
      <c r="DK223" s="246"/>
      <c r="DL223" s="246"/>
      <c r="DM223" s="246"/>
      <c r="DN223" s="246"/>
      <c r="DO223" s="246"/>
      <c r="DP223" s="246"/>
      <c r="DQ223" s="246"/>
      <c r="DR223" s="246"/>
      <c r="DS223" s="246"/>
      <c r="DT223" s="246"/>
      <c r="DU223" s="246"/>
      <c r="DV223" s="246"/>
      <c r="DW223" s="246"/>
      <c r="DX223" s="246"/>
      <c r="DY223" s="246"/>
      <c r="DZ223" s="246"/>
      <c r="EA223" s="246"/>
      <c r="EB223" s="246"/>
      <c r="EC223" s="246"/>
      <c r="ED223" s="246"/>
      <c r="EE223" s="246"/>
      <c r="EF223" s="246"/>
      <c r="EG223" s="246"/>
      <c r="EH223" s="246"/>
      <c r="EI223" s="246"/>
      <c r="EJ223" s="246"/>
      <c r="EK223" s="246"/>
      <c r="EL223" s="246"/>
      <c r="EM223" s="246"/>
      <c r="EN223" s="246"/>
      <c r="EO223" s="246"/>
      <c r="EP223" s="246"/>
    </row>
    <row r="224" spans="1:146" s="247" customFormat="1" ht="45" customHeight="1">
      <c r="A224" s="279" t="s">
        <v>1739</v>
      </c>
      <c r="B224" s="35"/>
      <c r="C224" s="227" t="s">
        <v>1741</v>
      </c>
      <c r="D224" s="36">
        <v>2017</v>
      </c>
      <c r="E224" s="237"/>
      <c r="F224" s="237"/>
      <c r="G224" s="239" t="s">
        <v>290</v>
      </c>
      <c r="H224" s="238" t="s">
        <v>290</v>
      </c>
      <c r="I224" s="239" t="s">
        <v>1740</v>
      </c>
      <c r="J224" s="227" t="s">
        <v>1742</v>
      </c>
      <c r="K224" s="227" t="s">
        <v>31</v>
      </c>
      <c r="L224" s="226"/>
      <c r="M224" s="295"/>
      <c r="N224" s="36"/>
      <c r="O224" s="36"/>
      <c r="P224" s="295"/>
      <c r="Q224" s="227" t="s">
        <v>31</v>
      </c>
      <c r="R224" s="36"/>
      <c r="S224" s="356"/>
      <c r="T224" s="61"/>
      <c r="U224" s="36"/>
      <c r="V224" s="36"/>
      <c r="W224" s="36"/>
      <c r="X224" s="168"/>
      <c r="Y224" s="64"/>
      <c r="Z224" s="151" t="s">
        <v>1074</v>
      </c>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c r="CO224" s="246"/>
      <c r="CP224" s="246"/>
      <c r="CQ224" s="246"/>
      <c r="CR224" s="246"/>
      <c r="CS224" s="246"/>
      <c r="CT224" s="246"/>
      <c r="CU224" s="246"/>
      <c r="CV224" s="246"/>
      <c r="CW224" s="246"/>
      <c r="CX224" s="246"/>
      <c r="CY224" s="246"/>
      <c r="CZ224" s="246"/>
      <c r="DA224" s="246"/>
      <c r="DB224" s="246"/>
      <c r="DC224" s="246"/>
      <c r="DD224" s="246"/>
      <c r="DE224" s="246"/>
      <c r="DF224" s="246"/>
      <c r="DG224" s="246"/>
      <c r="DH224" s="246"/>
      <c r="DI224" s="246"/>
      <c r="DJ224" s="246"/>
      <c r="DK224" s="246"/>
      <c r="DL224" s="246"/>
      <c r="DM224" s="246"/>
      <c r="DN224" s="246"/>
      <c r="DO224" s="246"/>
      <c r="DP224" s="246"/>
      <c r="DQ224" s="246"/>
      <c r="DR224" s="246"/>
      <c r="DS224" s="246"/>
      <c r="DT224" s="246"/>
      <c r="DU224" s="246"/>
      <c r="DV224" s="246"/>
      <c r="DW224" s="246"/>
      <c r="DX224" s="246"/>
      <c r="DY224" s="246"/>
      <c r="DZ224" s="246"/>
      <c r="EA224" s="246"/>
      <c r="EB224" s="246"/>
      <c r="EC224" s="246"/>
      <c r="ED224" s="246"/>
      <c r="EE224" s="246"/>
      <c r="EF224" s="246"/>
      <c r="EG224" s="246"/>
      <c r="EH224" s="246"/>
      <c r="EI224" s="246"/>
      <c r="EJ224" s="246"/>
      <c r="EK224" s="246"/>
      <c r="EL224" s="246"/>
      <c r="EM224" s="246"/>
      <c r="EN224" s="246"/>
      <c r="EO224" s="246"/>
      <c r="EP224" s="246"/>
    </row>
    <row r="225" spans="1:146" ht="45" customHeight="1">
      <c r="A225" s="279" t="s">
        <v>1729</v>
      </c>
      <c r="B225" s="35"/>
      <c r="C225" s="239" t="s">
        <v>1730</v>
      </c>
      <c r="D225" s="295">
        <v>2017</v>
      </c>
      <c r="E225" s="295">
        <v>2018</v>
      </c>
      <c r="F225" s="227" t="s">
        <v>1731</v>
      </c>
      <c r="G225" s="239" t="s">
        <v>36</v>
      </c>
      <c r="H225" s="337" t="s">
        <v>1732</v>
      </c>
      <c r="I225" s="239" t="s">
        <v>57</v>
      </c>
      <c r="J225" s="227" t="s">
        <v>31</v>
      </c>
      <c r="K225" s="295"/>
      <c r="L225" s="68">
        <v>1439172</v>
      </c>
      <c r="M225" s="227" t="s">
        <v>31</v>
      </c>
      <c r="N225" s="295"/>
      <c r="O225" s="295"/>
      <c r="P225" s="227" t="s">
        <v>31</v>
      </c>
      <c r="Q225" s="295"/>
      <c r="R225" s="295"/>
      <c r="S225" s="305" t="s">
        <v>1733</v>
      </c>
      <c r="T225" s="295"/>
      <c r="U225" s="295"/>
      <c r="V225" s="295"/>
      <c r="W225" s="295"/>
      <c r="Y225" s="299"/>
      <c r="Z225" s="27"/>
    </row>
    <row r="226" spans="1:146" s="309" customFormat="1" ht="45" customHeight="1">
      <c r="A226" s="338" t="s">
        <v>1763</v>
      </c>
      <c r="B226" s="286"/>
      <c r="C226" s="287" t="s">
        <v>1762</v>
      </c>
      <c r="D226" s="288">
        <v>2017</v>
      </c>
      <c r="E226" s="288">
        <v>2018</v>
      </c>
      <c r="F226" s="289" t="s">
        <v>1765</v>
      </c>
      <c r="G226" s="287" t="s">
        <v>254</v>
      </c>
      <c r="H226" s="289" t="s">
        <v>1764</v>
      </c>
      <c r="I226" s="287" t="s">
        <v>1077</v>
      </c>
      <c r="J226" s="289" t="s">
        <v>31</v>
      </c>
      <c r="K226" s="288"/>
      <c r="L226" s="290">
        <v>598400</v>
      </c>
      <c r="M226" s="289" t="s">
        <v>31</v>
      </c>
      <c r="N226" s="289" t="s">
        <v>31</v>
      </c>
      <c r="O226" s="289" t="s">
        <v>31</v>
      </c>
      <c r="P226" s="288"/>
      <c r="Q226" s="288"/>
      <c r="R226" s="288"/>
      <c r="S226" s="361" t="s">
        <v>1766</v>
      </c>
      <c r="T226" s="288"/>
      <c r="U226" s="288"/>
      <c r="V226" s="288"/>
      <c r="W226" s="288"/>
      <c r="X226" s="341"/>
      <c r="Y226" s="203"/>
      <c r="AA226" s="310"/>
      <c r="AB226" s="310"/>
      <c r="AC226" s="310"/>
      <c r="AD226" s="310"/>
      <c r="AE226" s="310"/>
      <c r="AF226" s="310"/>
      <c r="AG226" s="310"/>
      <c r="AH226" s="310"/>
      <c r="AI226" s="310"/>
      <c r="AJ226" s="310"/>
      <c r="AK226" s="310"/>
      <c r="AL226" s="310"/>
      <c r="AM226" s="310"/>
      <c r="AN226" s="310"/>
      <c r="AO226" s="310"/>
      <c r="AP226" s="310"/>
      <c r="AQ226" s="310"/>
      <c r="AR226" s="310"/>
      <c r="AS226" s="310"/>
      <c r="AT226" s="310"/>
      <c r="AU226" s="310"/>
      <c r="AV226" s="310"/>
      <c r="AW226" s="310"/>
      <c r="AX226" s="310"/>
      <c r="AY226" s="310"/>
      <c r="AZ226" s="310"/>
      <c r="BA226" s="310"/>
      <c r="BB226" s="310"/>
      <c r="BC226" s="310"/>
      <c r="BD226" s="310"/>
      <c r="BE226" s="310"/>
      <c r="BF226" s="310"/>
      <c r="BG226" s="310"/>
      <c r="BH226" s="310"/>
      <c r="BI226" s="310"/>
      <c r="BJ226" s="310"/>
      <c r="BK226" s="310"/>
      <c r="BL226" s="310"/>
      <c r="BM226" s="310"/>
      <c r="BN226" s="310"/>
      <c r="BO226" s="310"/>
      <c r="BP226" s="310"/>
      <c r="BQ226" s="310"/>
      <c r="BR226" s="310"/>
      <c r="BS226" s="310"/>
      <c r="BT226" s="310"/>
      <c r="BU226" s="310"/>
      <c r="BV226" s="310"/>
      <c r="BW226" s="310"/>
      <c r="BX226" s="310"/>
      <c r="BY226" s="310"/>
      <c r="BZ226" s="310"/>
      <c r="CA226" s="310"/>
      <c r="CB226" s="310"/>
      <c r="CC226" s="310"/>
      <c r="CD226" s="310"/>
      <c r="CE226" s="310"/>
      <c r="CF226" s="310"/>
      <c r="CG226" s="310"/>
      <c r="CH226" s="310"/>
      <c r="CI226" s="310"/>
      <c r="CJ226" s="310"/>
      <c r="CK226" s="310"/>
      <c r="CL226" s="310"/>
      <c r="CM226" s="310"/>
      <c r="CN226" s="310"/>
      <c r="CO226" s="310"/>
      <c r="CP226" s="310"/>
      <c r="CQ226" s="310"/>
      <c r="CR226" s="310"/>
      <c r="CS226" s="310"/>
      <c r="CT226" s="310"/>
      <c r="CU226" s="310"/>
      <c r="CV226" s="310"/>
      <c r="CW226" s="310"/>
      <c r="CX226" s="310"/>
      <c r="CY226" s="310"/>
      <c r="CZ226" s="310"/>
      <c r="DA226" s="310"/>
      <c r="DB226" s="310"/>
      <c r="DC226" s="310"/>
      <c r="DD226" s="310"/>
      <c r="DE226" s="310"/>
      <c r="DF226" s="310"/>
      <c r="DG226" s="310"/>
      <c r="DH226" s="310"/>
      <c r="DI226" s="310"/>
      <c r="DJ226" s="310"/>
      <c r="DK226" s="310"/>
      <c r="DL226" s="310"/>
      <c r="DM226" s="310"/>
      <c r="DN226" s="310"/>
      <c r="DO226" s="310"/>
      <c r="DP226" s="310"/>
      <c r="DQ226" s="310"/>
      <c r="DR226" s="310"/>
      <c r="DS226" s="310"/>
      <c r="DT226" s="310"/>
      <c r="DU226" s="310"/>
      <c r="DV226" s="310"/>
      <c r="DW226" s="310"/>
      <c r="DX226" s="310"/>
      <c r="DY226" s="310"/>
      <c r="DZ226" s="310"/>
      <c r="EA226" s="310"/>
      <c r="EB226" s="310"/>
      <c r="EC226" s="310"/>
      <c r="ED226" s="310"/>
      <c r="EE226" s="310"/>
      <c r="EF226" s="310"/>
      <c r="EG226" s="310"/>
      <c r="EH226" s="310"/>
      <c r="EI226" s="310"/>
      <c r="EJ226" s="310"/>
      <c r="EK226" s="310"/>
      <c r="EL226" s="310"/>
      <c r="EM226" s="310"/>
      <c r="EN226" s="310"/>
      <c r="EO226" s="310"/>
      <c r="EP226" s="310"/>
    </row>
    <row r="227" spans="1:146" ht="45" customHeight="1">
      <c r="A227" s="67"/>
      <c r="B227" s="67"/>
      <c r="C227" s="67"/>
      <c r="D227" s="67"/>
      <c r="E227" s="67"/>
      <c r="F227" s="67"/>
      <c r="G227" s="79"/>
      <c r="H227" s="67"/>
      <c r="I227" s="85"/>
      <c r="J227" s="67"/>
      <c r="K227" s="67"/>
      <c r="L227" s="73"/>
      <c r="M227" s="67"/>
      <c r="N227" s="67"/>
      <c r="O227" s="67"/>
      <c r="P227" s="67"/>
      <c r="Q227" s="67"/>
      <c r="R227" s="67"/>
      <c r="S227" s="362"/>
      <c r="T227" s="67"/>
      <c r="U227" s="67"/>
      <c r="V227" s="67"/>
      <c r="W227" s="67"/>
      <c r="X227" s="191"/>
      <c r="Y227" s="79"/>
      <c r="Z227" s="67"/>
    </row>
    <row r="228" spans="1:146" ht="45" customHeight="1">
      <c r="A228" s="67"/>
      <c r="B228" s="67"/>
      <c r="C228" s="67"/>
      <c r="D228" s="67"/>
      <c r="E228" s="67"/>
      <c r="F228" s="67"/>
      <c r="G228" s="79"/>
      <c r="H228" s="67"/>
      <c r="I228" s="85"/>
      <c r="J228" s="67"/>
      <c r="K228" s="67"/>
      <c r="L228" s="73"/>
      <c r="M228" s="67"/>
      <c r="N228" s="67"/>
      <c r="O228" s="67"/>
      <c r="P228" s="67"/>
      <c r="Q228" s="67"/>
      <c r="R228" s="67"/>
      <c r="S228" s="362"/>
      <c r="T228" s="67"/>
      <c r="U228" s="67"/>
      <c r="V228" s="67"/>
      <c r="W228" s="67"/>
      <c r="X228" s="191"/>
      <c r="Y228" s="79"/>
      <c r="Z228" s="67"/>
    </row>
    <row r="229" spans="1:146" ht="45" customHeight="1">
      <c r="A229" s="67"/>
      <c r="B229" s="67"/>
      <c r="C229" s="67"/>
      <c r="D229" s="67"/>
      <c r="E229" s="67"/>
      <c r="F229" s="67"/>
      <c r="G229" s="79"/>
      <c r="H229" s="67"/>
      <c r="I229" s="85"/>
      <c r="J229" s="67"/>
      <c r="K229" s="67"/>
      <c r="L229" s="73"/>
      <c r="M229" s="67"/>
      <c r="N229" s="67"/>
      <c r="O229" s="67"/>
      <c r="P229" s="67"/>
      <c r="Q229" s="67"/>
      <c r="R229" s="67"/>
      <c r="S229" s="362"/>
      <c r="T229" s="67"/>
      <c r="U229" s="67"/>
      <c r="V229" s="67"/>
      <c r="W229" s="67"/>
      <c r="X229" s="191"/>
      <c r="Y229" s="79"/>
      <c r="Z229" s="67"/>
    </row>
    <row r="230" spans="1:146" ht="45" customHeight="1">
      <c r="A230" s="67"/>
      <c r="B230" s="67"/>
      <c r="C230" s="67"/>
      <c r="D230" s="67"/>
      <c r="E230" s="67"/>
      <c r="F230" s="67"/>
      <c r="G230" s="79"/>
      <c r="H230" s="67"/>
      <c r="I230" s="85"/>
      <c r="J230" s="67"/>
      <c r="K230" s="67"/>
      <c r="L230" s="73"/>
      <c r="M230" s="67"/>
      <c r="N230" s="67"/>
      <c r="O230" s="67"/>
      <c r="P230" s="67"/>
      <c r="Q230" s="67"/>
      <c r="R230" s="67"/>
      <c r="S230" s="362"/>
      <c r="T230" s="67"/>
      <c r="U230" s="67"/>
      <c r="V230" s="67"/>
      <c r="W230" s="67"/>
      <c r="X230" s="191"/>
      <c r="Y230" s="79"/>
      <c r="Z230" s="67"/>
    </row>
    <row r="231" spans="1:146" ht="45" customHeight="1">
      <c r="A231" s="67"/>
      <c r="B231" s="67"/>
      <c r="C231" s="67"/>
      <c r="D231" s="67"/>
      <c r="E231" s="67"/>
      <c r="F231" s="67"/>
      <c r="G231" s="79"/>
      <c r="H231" s="67"/>
      <c r="I231" s="85"/>
      <c r="J231" s="67"/>
      <c r="K231" s="67"/>
      <c r="L231" s="73"/>
      <c r="M231" s="67"/>
      <c r="N231" s="67"/>
      <c r="O231" s="67"/>
      <c r="P231" s="67"/>
      <c r="Q231" s="67"/>
      <c r="R231" s="67"/>
      <c r="S231" s="362"/>
      <c r="T231" s="67"/>
      <c r="U231" s="67"/>
      <c r="V231" s="67"/>
      <c r="W231" s="67"/>
      <c r="X231" s="191"/>
      <c r="Y231" s="79"/>
      <c r="Z231" s="67"/>
    </row>
    <row r="232" spans="1:146" ht="45" customHeight="1">
      <c r="A232" s="67"/>
      <c r="B232" s="67"/>
      <c r="C232" s="67"/>
      <c r="D232" s="67"/>
      <c r="E232" s="67"/>
      <c r="F232" s="67"/>
      <c r="G232" s="79"/>
      <c r="H232" s="67"/>
      <c r="I232" s="85"/>
      <c r="J232" s="67"/>
      <c r="K232" s="67"/>
      <c r="L232" s="73"/>
      <c r="M232" s="67"/>
      <c r="N232" s="67"/>
      <c r="O232" s="67"/>
      <c r="P232" s="67"/>
      <c r="Q232" s="67"/>
      <c r="R232" s="67"/>
      <c r="S232" s="362"/>
      <c r="T232" s="67"/>
      <c r="U232" s="67"/>
      <c r="V232" s="67"/>
      <c r="W232" s="67"/>
      <c r="X232" s="191"/>
      <c r="Y232" s="79"/>
      <c r="Z232" s="67"/>
    </row>
    <row r="233" spans="1:146" ht="45" customHeight="1">
      <c r="A233" s="67"/>
      <c r="B233" s="67"/>
      <c r="C233" s="67"/>
      <c r="D233" s="67"/>
      <c r="E233" s="67"/>
      <c r="F233" s="67"/>
      <c r="G233" s="79"/>
      <c r="H233" s="67"/>
      <c r="I233" s="85"/>
      <c r="J233" s="67"/>
      <c r="K233" s="67"/>
      <c r="L233" s="73"/>
      <c r="M233" s="67"/>
      <c r="N233" s="67"/>
      <c r="O233" s="67"/>
      <c r="P233" s="67"/>
      <c r="Q233" s="67"/>
      <c r="R233" s="67"/>
      <c r="S233" s="362"/>
      <c r="T233" s="67"/>
      <c r="U233" s="67"/>
      <c r="V233" s="67"/>
      <c r="W233" s="67"/>
      <c r="X233" s="191"/>
      <c r="Y233" s="79"/>
      <c r="Z233" s="67"/>
    </row>
    <row r="234" spans="1:146" ht="45" customHeight="1">
      <c r="A234" s="67"/>
      <c r="B234" s="67"/>
      <c r="C234" s="67"/>
      <c r="D234" s="67"/>
      <c r="E234" s="67"/>
      <c r="F234" s="67"/>
      <c r="G234" s="79"/>
      <c r="H234" s="67"/>
      <c r="I234" s="85"/>
      <c r="J234" s="67"/>
      <c r="K234" s="67"/>
      <c r="L234" s="73"/>
      <c r="M234" s="67"/>
      <c r="N234" s="67"/>
      <c r="O234" s="67"/>
      <c r="P234" s="67"/>
      <c r="Q234" s="67"/>
      <c r="R234" s="67"/>
      <c r="S234" s="362"/>
      <c r="T234" s="67"/>
      <c r="U234" s="67"/>
      <c r="V234" s="67"/>
      <c r="W234" s="67"/>
      <c r="X234" s="191"/>
      <c r="Y234" s="79"/>
      <c r="Z234" s="67"/>
    </row>
    <row r="235" spans="1:146" ht="45" customHeight="1">
      <c r="A235" s="67"/>
      <c r="B235" s="67"/>
      <c r="C235" s="67"/>
      <c r="D235" s="67"/>
      <c r="E235" s="67"/>
      <c r="F235" s="67"/>
      <c r="G235" s="79"/>
      <c r="H235" s="67"/>
      <c r="I235" s="85"/>
      <c r="J235" s="67"/>
      <c r="K235" s="67"/>
      <c r="L235" s="73"/>
      <c r="M235" s="67"/>
      <c r="N235" s="67"/>
      <c r="O235" s="67"/>
      <c r="P235" s="67"/>
      <c r="Q235" s="67"/>
      <c r="R235" s="67"/>
      <c r="S235" s="362"/>
      <c r="T235" s="67"/>
      <c r="U235" s="67"/>
      <c r="V235" s="67"/>
      <c r="W235" s="67"/>
      <c r="X235" s="191"/>
      <c r="Y235" s="79"/>
      <c r="Z235" s="67"/>
    </row>
    <row r="236" spans="1:146" ht="45" customHeight="1">
      <c r="A236" s="67"/>
      <c r="B236" s="67"/>
      <c r="C236" s="67"/>
      <c r="D236" s="67"/>
      <c r="E236" s="67"/>
      <c r="F236" s="67"/>
      <c r="G236" s="79"/>
      <c r="H236" s="67"/>
      <c r="I236" s="85"/>
      <c r="J236" s="67"/>
      <c r="K236" s="67"/>
      <c r="L236" s="73"/>
      <c r="M236" s="67"/>
      <c r="N236" s="67"/>
      <c r="O236" s="67"/>
      <c r="P236" s="67"/>
      <c r="Q236" s="67"/>
      <c r="R236" s="67"/>
      <c r="S236" s="362"/>
      <c r="T236" s="67"/>
      <c r="U236" s="67"/>
      <c r="V236" s="67"/>
      <c r="W236" s="67"/>
      <c r="X236" s="191"/>
      <c r="Y236" s="79"/>
      <c r="Z236" s="67"/>
    </row>
    <row r="237" spans="1:146" ht="45" customHeight="1">
      <c r="A237" s="67"/>
      <c r="B237" s="67"/>
      <c r="C237" s="67"/>
      <c r="D237" s="67"/>
      <c r="E237" s="67"/>
      <c r="F237" s="67"/>
      <c r="G237" s="79"/>
      <c r="H237" s="67"/>
      <c r="I237" s="85"/>
      <c r="J237" s="67"/>
      <c r="K237" s="67"/>
      <c r="L237" s="73"/>
      <c r="M237" s="67"/>
      <c r="N237" s="67"/>
      <c r="O237" s="67"/>
      <c r="P237" s="67"/>
      <c r="Q237" s="67"/>
      <c r="R237" s="67"/>
      <c r="S237" s="362"/>
      <c r="T237" s="67"/>
      <c r="U237" s="67"/>
      <c r="V237" s="67"/>
      <c r="W237" s="67"/>
      <c r="X237" s="191"/>
      <c r="Y237" s="79"/>
      <c r="Z237" s="67"/>
    </row>
    <row r="238" spans="1:146" ht="45" customHeight="1">
      <c r="A238" s="67"/>
      <c r="B238" s="67"/>
      <c r="C238" s="67"/>
      <c r="D238" s="67"/>
      <c r="E238" s="67"/>
      <c r="F238" s="67"/>
      <c r="G238" s="79"/>
      <c r="H238" s="67"/>
      <c r="I238" s="85"/>
      <c r="J238" s="67"/>
      <c r="K238" s="67"/>
      <c r="L238" s="73"/>
      <c r="M238" s="67"/>
      <c r="N238" s="67"/>
      <c r="O238" s="67"/>
      <c r="P238" s="67"/>
      <c r="Q238" s="67"/>
      <c r="R238" s="67"/>
      <c r="S238" s="362"/>
      <c r="T238" s="67"/>
      <c r="U238" s="67"/>
      <c r="V238" s="67"/>
      <c r="W238" s="67"/>
      <c r="X238" s="191"/>
      <c r="Y238" s="79"/>
      <c r="Z238" s="67"/>
    </row>
    <row r="239" spans="1:146" ht="45" customHeight="1">
      <c r="A239" s="67"/>
      <c r="B239" s="67"/>
      <c r="C239" s="67"/>
      <c r="D239" s="67"/>
      <c r="E239" s="67"/>
      <c r="F239" s="67"/>
      <c r="G239" s="79"/>
      <c r="H239" s="67"/>
      <c r="I239" s="85"/>
      <c r="J239" s="67"/>
      <c r="K239" s="67"/>
      <c r="L239" s="73"/>
      <c r="M239" s="67"/>
      <c r="N239" s="67"/>
      <c r="O239" s="67"/>
      <c r="P239" s="67"/>
      <c r="Q239" s="67"/>
      <c r="R239" s="67"/>
      <c r="S239" s="362"/>
      <c r="T239" s="67"/>
      <c r="U239" s="67"/>
      <c r="V239" s="67"/>
      <c r="W239" s="67"/>
      <c r="X239" s="191"/>
      <c r="Y239" s="79"/>
      <c r="Z239" s="67"/>
    </row>
    <row r="240" spans="1:146" ht="45" customHeight="1">
      <c r="A240" s="67"/>
      <c r="B240" s="67"/>
      <c r="C240" s="67"/>
      <c r="D240" s="67"/>
      <c r="E240" s="67"/>
      <c r="F240" s="67"/>
      <c r="G240" s="79"/>
      <c r="H240" s="67"/>
      <c r="I240" s="85"/>
      <c r="J240" s="67"/>
      <c r="K240" s="67"/>
      <c r="L240" s="73"/>
      <c r="M240" s="67"/>
      <c r="N240" s="67"/>
      <c r="O240" s="67"/>
      <c r="P240" s="67"/>
      <c r="Q240" s="67"/>
      <c r="R240" s="67"/>
      <c r="S240" s="362"/>
      <c r="T240" s="67"/>
      <c r="U240" s="67"/>
      <c r="V240" s="67"/>
      <c r="W240" s="67"/>
      <c r="X240" s="191"/>
      <c r="Y240" s="79"/>
      <c r="Z240" s="67"/>
    </row>
    <row r="241" spans="1:26" ht="45" customHeight="1">
      <c r="A241" s="67"/>
      <c r="B241" s="67"/>
      <c r="C241" s="67"/>
      <c r="D241" s="67"/>
      <c r="E241" s="67"/>
      <c r="F241" s="67"/>
      <c r="G241" s="79"/>
      <c r="H241" s="67"/>
      <c r="I241" s="85"/>
      <c r="J241" s="67"/>
      <c r="K241" s="67"/>
      <c r="L241" s="73"/>
      <c r="M241" s="67"/>
      <c r="N241" s="67"/>
      <c r="O241" s="67"/>
      <c r="P241" s="67"/>
      <c r="Q241" s="67"/>
      <c r="R241" s="67"/>
      <c r="S241" s="362"/>
      <c r="T241" s="67"/>
      <c r="U241" s="67"/>
      <c r="V241" s="67"/>
      <c r="W241" s="67"/>
      <c r="X241" s="191"/>
      <c r="Y241" s="79"/>
      <c r="Z241" s="67"/>
    </row>
    <row r="242" spans="1:26" ht="45" customHeight="1">
      <c r="A242" s="67"/>
      <c r="B242" s="67"/>
      <c r="C242" s="67"/>
      <c r="D242" s="67"/>
      <c r="E242" s="67"/>
      <c r="F242" s="67"/>
      <c r="G242" s="79"/>
      <c r="H242" s="67"/>
      <c r="I242" s="85"/>
      <c r="J242" s="67"/>
      <c r="K242" s="67"/>
      <c r="L242" s="73"/>
      <c r="M242" s="67"/>
      <c r="N242" s="67"/>
      <c r="O242" s="67"/>
      <c r="P242" s="67"/>
      <c r="Q242" s="67"/>
      <c r="R242" s="67"/>
      <c r="S242" s="362"/>
      <c r="T242" s="67"/>
      <c r="U242" s="67"/>
      <c r="V242" s="67"/>
      <c r="W242" s="67"/>
      <c r="X242" s="191"/>
      <c r="Y242" s="79"/>
      <c r="Z242" s="67"/>
    </row>
    <row r="243" spans="1:26" ht="45" customHeight="1">
      <c r="A243" s="67"/>
      <c r="B243" s="67"/>
      <c r="C243" s="67"/>
      <c r="D243" s="67"/>
      <c r="E243" s="67"/>
      <c r="F243" s="67"/>
      <c r="G243" s="79"/>
      <c r="H243" s="67"/>
      <c r="I243" s="85"/>
      <c r="J243" s="67"/>
      <c r="K243" s="67"/>
      <c r="L243" s="73"/>
      <c r="M243" s="67"/>
      <c r="N243" s="67"/>
      <c r="O243" s="67"/>
      <c r="P243" s="67"/>
      <c r="Q243" s="67"/>
      <c r="R243" s="67"/>
      <c r="S243" s="362"/>
      <c r="T243" s="67"/>
      <c r="U243" s="67"/>
      <c r="V243" s="67"/>
      <c r="W243" s="67"/>
      <c r="X243" s="191"/>
      <c r="Y243" s="79"/>
      <c r="Z243" s="67"/>
    </row>
    <row r="244" spans="1:26" ht="45" customHeight="1">
      <c r="A244" s="67"/>
      <c r="B244" s="67"/>
      <c r="C244" s="67"/>
      <c r="D244" s="67"/>
      <c r="E244" s="67"/>
      <c r="F244" s="67"/>
      <c r="G244" s="79"/>
      <c r="H244" s="67"/>
      <c r="I244" s="85"/>
      <c r="J244" s="67"/>
      <c r="K244" s="67"/>
      <c r="L244" s="73"/>
      <c r="M244" s="67"/>
      <c r="N244" s="67"/>
      <c r="O244" s="67"/>
      <c r="P244" s="67"/>
      <c r="Q244" s="67"/>
      <c r="R244" s="67"/>
      <c r="S244" s="362"/>
      <c r="T244" s="67"/>
      <c r="U244" s="67"/>
      <c r="V244" s="67"/>
      <c r="W244" s="67"/>
      <c r="X244" s="191"/>
      <c r="Y244" s="79"/>
      <c r="Z244" s="67"/>
    </row>
    <row r="245" spans="1:26" ht="45" customHeight="1">
      <c r="A245" s="67"/>
      <c r="B245" s="67"/>
      <c r="C245" s="67"/>
      <c r="D245" s="67"/>
      <c r="E245" s="67"/>
      <c r="F245" s="67"/>
      <c r="G245" s="79"/>
      <c r="H245" s="67"/>
      <c r="I245" s="85"/>
      <c r="J245" s="67"/>
      <c r="K245" s="67"/>
      <c r="L245" s="73"/>
      <c r="M245" s="67"/>
      <c r="N245" s="67"/>
      <c r="O245" s="67"/>
      <c r="P245" s="67"/>
      <c r="Q245" s="67"/>
      <c r="R245" s="67"/>
      <c r="S245" s="362"/>
      <c r="T245" s="67"/>
      <c r="U245" s="67"/>
      <c r="V245" s="67"/>
      <c r="W245" s="67"/>
      <c r="X245" s="191"/>
      <c r="Y245" s="79"/>
      <c r="Z245" s="67"/>
    </row>
    <row r="246" spans="1:26" ht="45" customHeight="1">
      <c r="A246" s="67"/>
      <c r="B246" s="67"/>
      <c r="C246" s="67"/>
      <c r="D246" s="67"/>
      <c r="E246" s="67"/>
      <c r="F246" s="67"/>
      <c r="G246" s="79"/>
      <c r="H246" s="67"/>
      <c r="I246" s="85"/>
      <c r="J246" s="67"/>
      <c r="K246" s="67"/>
      <c r="L246" s="73"/>
      <c r="M246" s="67"/>
      <c r="N246" s="67"/>
      <c r="O246" s="67"/>
      <c r="P246" s="67"/>
      <c r="Q246" s="67"/>
      <c r="R246" s="67"/>
      <c r="S246" s="362"/>
      <c r="T246" s="67"/>
      <c r="U246" s="67"/>
      <c r="V246" s="67"/>
      <c r="W246" s="67"/>
      <c r="X246" s="191"/>
      <c r="Y246" s="79"/>
      <c r="Z246" s="67"/>
    </row>
    <row r="247" spans="1:26" ht="45" customHeight="1">
      <c r="A247" s="67"/>
      <c r="B247" s="67"/>
      <c r="C247" s="67"/>
      <c r="D247" s="67"/>
      <c r="E247" s="67"/>
      <c r="F247" s="67"/>
      <c r="G247" s="79"/>
      <c r="H247" s="67"/>
      <c r="I247" s="85"/>
      <c r="J247" s="67"/>
      <c r="K247" s="67"/>
      <c r="L247" s="73"/>
      <c r="M247" s="67"/>
      <c r="N247" s="67"/>
      <c r="O247" s="67"/>
      <c r="P247" s="67"/>
      <c r="Q247" s="67"/>
      <c r="R247" s="67"/>
      <c r="S247" s="362"/>
      <c r="T247" s="67"/>
      <c r="U247" s="67"/>
      <c r="V247" s="67"/>
      <c r="W247" s="67"/>
      <c r="X247" s="191"/>
      <c r="Y247" s="79"/>
      <c r="Z247" s="67"/>
    </row>
    <row r="248" spans="1:26" ht="45" customHeight="1">
      <c r="A248" s="67"/>
      <c r="B248" s="67"/>
      <c r="C248" s="67"/>
      <c r="D248" s="67"/>
      <c r="E248" s="67"/>
      <c r="F248" s="67"/>
      <c r="G248" s="79"/>
      <c r="H248" s="67"/>
      <c r="I248" s="85"/>
      <c r="J248" s="67"/>
      <c r="K248" s="67"/>
      <c r="L248" s="73"/>
      <c r="M248" s="67"/>
      <c r="N248" s="67"/>
      <c r="O248" s="67"/>
      <c r="P248" s="67"/>
      <c r="Q248" s="67"/>
      <c r="R248" s="67"/>
      <c r="S248" s="362"/>
      <c r="T248" s="67"/>
      <c r="U248" s="67"/>
      <c r="V248" s="67"/>
      <c r="W248" s="67"/>
      <c r="X248" s="191"/>
      <c r="Y248" s="79"/>
      <c r="Z248" s="67"/>
    </row>
    <row r="249" spans="1:26" ht="45" customHeight="1">
      <c r="A249" s="67"/>
      <c r="B249" s="67"/>
      <c r="C249" s="67"/>
      <c r="D249" s="67"/>
      <c r="E249" s="67"/>
      <c r="F249" s="67"/>
      <c r="G249" s="79"/>
      <c r="H249" s="67"/>
      <c r="I249" s="85"/>
      <c r="J249" s="67"/>
      <c r="K249" s="67"/>
      <c r="L249" s="73"/>
      <c r="M249" s="67"/>
      <c r="N249" s="67"/>
      <c r="O249" s="67"/>
      <c r="P249" s="67"/>
      <c r="Q249" s="67"/>
      <c r="R249" s="67"/>
      <c r="S249" s="362"/>
      <c r="T249" s="67"/>
      <c r="U249" s="67"/>
      <c r="V249" s="67"/>
      <c r="W249" s="67"/>
      <c r="X249" s="191"/>
      <c r="Y249" s="79"/>
      <c r="Z249" s="67"/>
    </row>
    <row r="250" spans="1:26" ht="45" customHeight="1">
      <c r="A250" s="67"/>
      <c r="B250" s="67"/>
      <c r="C250" s="67"/>
      <c r="D250" s="67"/>
      <c r="E250" s="67"/>
      <c r="F250" s="67"/>
      <c r="G250" s="79"/>
      <c r="H250" s="67"/>
      <c r="I250" s="85"/>
      <c r="J250" s="67"/>
      <c r="K250" s="67"/>
      <c r="L250" s="73"/>
      <c r="M250" s="67"/>
      <c r="N250" s="67"/>
      <c r="O250" s="67"/>
      <c r="P250" s="67"/>
      <c r="Q250" s="67"/>
      <c r="R250" s="67"/>
      <c r="S250" s="362"/>
      <c r="T250" s="67"/>
      <c r="U250" s="67"/>
      <c r="V250" s="67"/>
      <c r="W250" s="67"/>
      <c r="X250" s="191"/>
      <c r="Y250" s="79"/>
      <c r="Z250" s="67"/>
    </row>
    <row r="251" spans="1:26" ht="45" customHeight="1">
      <c r="A251" s="67"/>
      <c r="B251" s="67"/>
      <c r="C251" s="67"/>
      <c r="D251" s="67"/>
      <c r="E251" s="67"/>
      <c r="F251" s="67"/>
      <c r="G251" s="79"/>
      <c r="H251" s="67"/>
      <c r="I251" s="85"/>
      <c r="J251" s="67"/>
      <c r="K251" s="67"/>
      <c r="L251" s="73"/>
      <c r="M251" s="67"/>
      <c r="N251" s="67"/>
      <c r="O251" s="67"/>
      <c r="P251" s="67"/>
      <c r="Q251" s="67"/>
      <c r="R251" s="67"/>
      <c r="S251" s="362"/>
      <c r="T251" s="67"/>
      <c r="U251" s="67"/>
      <c r="V251" s="67"/>
      <c r="W251" s="67"/>
      <c r="X251" s="191"/>
      <c r="Y251" s="79"/>
      <c r="Z251" s="67"/>
    </row>
    <row r="252" spans="1:26" ht="45" customHeight="1">
      <c r="A252" s="67"/>
      <c r="B252" s="67"/>
      <c r="C252" s="67"/>
      <c r="D252" s="67"/>
      <c r="E252" s="67"/>
      <c r="F252" s="67"/>
      <c r="G252" s="79"/>
      <c r="H252" s="67"/>
      <c r="I252" s="85"/>
      <c r="J252" s="67"/>
      <c r="K252" s="67"/>
      <c r="L252" s="73"/>
      <c r="M252" s="67"/>
      <c r="N252" s="67"/>
      <c r="O252" s="67"/>
      <c r="P252" s="67"/>
      <c r="Q252" s="67"/>
      <c r="R252" s="67"/>
      <c r="S252" s="362"/>
      <c r="T252" s="67"/>
      <c r="U252" s="67"/>
      <c r="V252" s="67"/>
      <c r="W252" s="67"/>
      <c r="X252" s="191"/>
      <c r="Y252" s="79"/>
      <c r="Z252" s="67"/>
    </row>
    <row r="253" spans="1:26" ht="45" customHeight="1">
      <c r="A253" s="67"/>
      <c r="B253" s="67"/>
      <c r="C253" s="67"/>
      <c r="D253" s="67"/>
      <c r="E253" s="67"/>
      <c r="F253" s="67"/>
      <c r="G253" s="79"/>
      <c r="H253" s="67"/>
      <c r="I253" s="85"/>
      <c r="J253" s="67"/>
      <c r="K253" s="67"/>
      <c r="L253" s="73"/>
      <c r="M253" s="67"/>
      <c r="N253" s="67"/>
      <c r="O253" s="67"/>
      <c r="P253" s="67"/>
      <c r="Q253" s="67"/>
      <c r="R253" s="67"/>
      <c r="S253" s="362"/>
      <c r="T253" s="67"/>
      <c r="U253" s="67"/>
      <c r="V253" s="67"/>
      <c r="W253" s="67"/>
      <c r="X253" s="191"/>
      <c r="Y253" s="79"/>
      <c r="Z253" s="67"/>
    </row>
    <row r="254" spans="1:26" ht="45" customHeight="1">
      <c r="A254" s="67"/>
      <c r="B254" s="67"/>
      <c r="C254" s="67"/>
      <c r="D254" s="67"/>
      <c r="E254" s="67"/>
      <c r="F254" s="67"/>
      <c r="G254" s="79"/>
      <c r="H254" s="67"/>
      <c r="I254" s="85"/>
      <c r="J254" s="67"/>
      <c r="K254" s="67"/>
      <c r="L254" s="73"/>
      <c r="M254" s="67"/>
      <c r="N254" s="67"/>
      <c r="O254" s="67"/>
      <c r="P254" s="67"/>
      <c r="Q254" s="67"/>
      <c r="R254" s="67"/>
      <c r="S254" s="362"/>
      <c r="T254" s="67"/>
      <c r="U254" s="67"/>
      <c r="V254" s="67"/>
      <c r="W254" s="67"/>
      <c r="X254" s="191"/>
      <c r="Y254" s="79"/>
      <c r="Z254" s="67"/>
    </row>
    <row r="255" spans="1:26" ht="45" customHeight="1">
      <c r="A255" s="67"/>
      <c r="B255" s="67"/>
      <c r="C255" s="67"/>
      <c r="D255" s="67"/>
      <c r="E255" s="67"/>
      <c r="F255" s="67"/>
      <c r="G255" s="79"/>
      <c r="H255" s="67"/>
      <c r="I255" s="85"/>
      <c r="J255" s="67"/>
      <c r="K255" s="67"/>
      <c r="L255" s="73"/>
      <c r="M255" s="67"/>
      <c r="N255" s="67"/>
      <c r="O255" s="67"/>
      <c r="P255" s="67"/>
      <c r="Q255" s="67"/>
      <c r="R255" s="67"/>
      <c r="S255" s="362"/>
      <c r="T255" s="67"/>
      <c r="U255" s="67"/>
      <c r="V255" s="67"/>
      <c r="W255" s="67"/>
      <c r="X255" s="191"/>
      <c r="Y255" s="79"/>
      <c r="Z255" s="67"/>
    </row>
    <row r="256" spans="1:26" ht="45" customHeight="1">
      <c r="A256" s="67"/>
      <c r="B256" s="67"/>
      <c r="C256" s="67"/>
      <c r="D256" s="67"/>
      <c r="E256" s="67"/>
      <c r="F256" s="67"/>
      <c r="G256" s="79"/>
      <c r="H256" s="67"/>
      <c r="I256" s="85"/>
      <c r="J256" s="67"/>
      <c r="K256" s="67"/>
      <c r="L256" s="73"/>
      <c r="M256" s="67"/>
      <c r="N256" s="67"/>
      <c r="O256" s="67"/>
      <c r="P256" s="67"/>
      <c r="Q256" s="67"/>
      <c r="R256" s="67"/>
      <c r="S256" s="362"/>
      <c r="T256" s="67"/>
      <c r="U256" s="67"/>
      <c r="V256" s="67"/>
      <c r="W256" s="67"/>
      <c r="X256" s="191"/>
      <c r="Y256" s="79"/>
      <c r="Z256" s="67"/>
    </row>
    <row r="257" spans="1:26" ht="45" customHeight="1">
      <c r="A257" s="67"/>
      <c r="B257" s="67"/>
      <c r="C257" s="67"/>
      <c r="D257" s="67"/>
      <c r="E257" s="67"/>
      <c r="F257" s="67"/>
      <c r="G257" s="79"/>
      <c r="H257" s="67"/>
      <c r="I257" s="85"/>
      <c r="J257" s="67"/>
      <c r="K257" s="67"/>
      <c r="L257" s="73"/>
      <c r="M257" s="67"/>
      <c r="N257" s="67"/>
      <c r="O257" s="67"/>
      <c r="P257" s="67"/>
      <c r="Q257" s="67"/>
      <c r="R257" s="67"/>
      <c r="S257" s="362"/>
      <c r="T257" s="67"/>
      <c r="U257" s="67"/>
      <c r="V257" s="67"/>
      <c r="W257" s="67"/>
      <c r="X257" s="191"/>
      <c r="Y257" s="79"/>
      <c r="Z257" s="67"/>
    </row>
    <row r="258" spans="1:26" ht="45" customHeight="1">
      <c r="A258" s="67"/>
      <c r="B258" s="67"/>
      <c r="C258" s="67"/>
      <c r="D258" s="67"/>
      <c r="E258" s="67"/>
      <c r="F258" s="67"/>
      <c r="G258" s="79"/>
      <c r="H258" s="67"/>
      <c r="I258" s="85"/>
      <c r="J258" s="67"/>
      <c r="K258" s="67"/>
      <c r="L258" s="73"/>
      <c r="M258" s="67"/>
      <c r="N258" s="67"/>
      <c r="O258" s="67"/>
      <c r="P258" s="67"/>
      <c r="Q258" s="67"/>
      <c r="R258" s="67"/>
      <c r="S258" s="362"/>
      <c r="T258" s="67"/>
      <c r="U258" s="67"/>
      <c r="V258" s="67"/>
      <c r="W258" s="67"/>
      <c r="X258" s="191"/>
      <c r="Y258" s="79"/>
      <c r="Z258" s="67"/>
    </row>
    <row r="259" spans="1:26" ht="45" customHeight="1">
      <c r="A259" s="67"/>
      <c r="B259" s="67"/>
      <c r="C259" s="67"/>
      <c r="D259" s="67"/>
      <c r="E259" s="67"/>
      <c r="F259" s="67"/>
      <c r="G259" s="79"/>
      <c r="H259" s="67"/>
      <c r="I259" s="85"/>
      <c r="J259" s="67"/>
      <c r="K259" s="67"/>
      <c r="L259" s="73"/>
      <c r="M259" s="67"/>
      <c r="N259" s="67"/>
      <c r="O259" s="67"/>
      <c r="P259" s="67"/>
      <c r="Q259" s="67"/>
      <c r="R259" s="67"/>
      <c r="S259" s="362"/>
      <c r="T259" s="67"/>
      <c r="U259" s="67"/>
      <c r="V259" s="67"/>
      <c r="W259" s="67"/>
      <c r="X259" s="191"/>
      <c r="Y259" s="79"/>
      <c r="Z259" s="67"/>
    </row>
    <row r="260" spans="1:26" ht="45" customHeight="1">
      <c r="A260" s="67"/>
      <c r="B260" s="67"/>
      <c r="C260" s="67"/>
      <c r="D260" s="67"/>
      <c r="E260" s="67"/>
      <c r="F260" s="67"/>
      <c r="G260" s="79"/>
      <c r="H260" s="67"/>
      <c r="I260" s="85"/>
      <c r="J260" s="67"/>
      <c r="K260" s="67"/>
      <c r="L260" s="73"/>
      <c r="M260" s="67"/>
      <c r="N260" s="67"/>
      <c r="O260" s="67"/>
      <c r="P260" s="67"/>
      <c r="Q260" s="67"/>
      <c r="R260" s="67"/>
      <c r="S260" s="362"/>
      <c r="T260" s="67"/>
      <c r="U260" s="67"/>
      <c r="V260" s="67"/>
      <c r="W260" s="67"/>
      <c r="X260" s="191"/>
      <c r="Y260" s="79"/>
      <c r="Z260" s="67"/>
    </row>
    <row r="261" spans="1:26" ht="45" customHeight="1">
      <c r="A261" s="67"/>
      <c r="B261" s="67"/>
      <c r="C261" s="67"/>
      <c r="D261" s="67"/>
      <c r="E261" s="67"/>
      <c r="F261" s="67"/>
      <c r="G261" s="79"/>
      <c r="H261" s="67"/>
      <c r="I261" s="85"/>
      <c r="J261" s="67"/>
      <c r="K261" s="67"/>
      <c r="L261" s="73"/>
      <c r="M261" s="67"/>
      <c r="N261" s="67"/>
      <c r="O261" s="67"/>
      <c r="P261" s="67"/>
      <c r="Q261" s="67"/>
      <c r="R261" s="67"/>
      <c r="S261" s="362"/>
      <c r="T261" s="67"/>
      <c r="U261" s="67"/>
      <c r="V261" s="67"/>
      <c r="W261" s="67"/>
      <c r="X261" s="191"/>
      <c r="Y261" s="79"/>
      <c r="Z261" s="67"/>
    </row>
    <row r="262" spans="1:26" ht="45" customHeight="1">
      <c r="A262" s="67"/>
      <c r="B262" s="67"/>
      <c r="C262" s="67"/>
      <c r="D262" s="67"/>
      <c r="E262" s="67"/>
      <c r="F262" s="67"/>
      <c r="G262" s="79"/>
      <c r="H262" s="67"/>
      <c r="I262" s="85"/>
      <c r="J262" s="67"/>
      <c r="K262" s="67"/>
      <c r="L262" s="73"/>
      <c r="M262" s="67"/>
      <c r="N262" s="67"/>
      <c r="O262" s="67"/>
      <c r="P262" s="67"/>
      <c r="Q262" s="67"/>
      <c r="R262" s="67"/>
      <c r="S262" s="362"/>
      <c r="T262" s="67"/>
      <c r="U262" s="67"/>
      <c r="V262" s="67"/>
      <c r="W262" s="67"/>
      <c r="X262" s="191"/>
      <c r="Y262" s="79"/>
      <c r="Z262" s="67"/>
    </row>
    <row r="263" spans="1:26" ht="45" customHeight="1">
      <c r="A263" s="67"/>
      <c r="B263" s="67"/>
      <c r="C263" s="67"/>
      <c r="D263" s="67"/>
      <c r="E263" s="67"/>
      <c r="F263" s="67"/>
      <c r="G263" s="79"/>
      <c r="H263" s="67"/>
      <c r="I263" s="85"/>
      <c r="J263" s="67"/>
      <c r="K263" s="67"/>
      <c r="L263" s="73"/>
      <c r="M263" s="67"/>
      <c r="N263" s="67"/>
      <c r="O263" s="67"/>
      <c r="P263" s="67"/>
      <c r="Q263" s="67"/>
      <c r="R263" s="67"/>
      <c r="S263" s="362"/>
      <c r="T263" s="67"/>
      <c r="U263" s="67"/>
      <c r="V263" s="67"/>
      <c r="W263" s="67"/>
      <c r="X263" s="191"/>
      <c r="Y263" s="79"/>
      <c r="Z263" s="67"/>
    </row>
    <row r="264" spans="1:26" ht="45" customHeight="1">
      <c r="A264" s="67"/>
      <c r="B264" s="67"/>
      <c r="C264" s="67"/>
      <c r="D264" s="67"/>
      <c r="E264" s="67"/>
      <c r="F264" s="67"/>
      <c r="G264" s="79"/>
      <c r="H264" s="67"/>
      <c r="I264" s="85"/>
      <c r="J264" s="67"/>
      <c r="K264" s="67"/>
      <c r="L264" s="73"/>
      <c r="M264" s="67"/>
      <c r="N264" s="67"/>
      <c r="O264" s="67"/>
      <c r="P264" s="67"/>
      <c r="Q264" s="67"/>
      <c r="R264" s="67"/>
      <c r="S264" s="362"/>
      <c r="T264" s="67"/>
      <c r="U264" s="67"/>
      <c r="V264" s="67"/>
      <c r="W264" s="67"/>
      <c r="X264" s="191"/>
      <c r="Y264" s="79"/>
      <c r="Z264" s="67"/>
    </row>
    <row r="265" spans="1:26" ht="45" customHeight="1">
      <c r="A265" s="67"/>
      <c r="B265" s="67"/>
      <c r="C265" s="67"/>
      <c r="D265" s="67"/>
      <c r="E265" s="67"/>
      <c r="F265" s="67"/>
      <c r="G265" s="79"/>
      <c r="H265" s="67"/>
      <c r="I265" s="85"/>
      <c r="J265" s="67"/>
      <c r="K265" s="67"/>
      <c r="L265" s="73"/>
      <c r="M265" s="67"/>
      <c r="N265" s="67"/>
      <c r="O265" s="67"/>
      <c r="P265" s="67"/>
      <c r="Q265" s="67"/>
      <c r="R265" s="67"/>
      <c r="S265" s="362"/>
      <c r="T265" s="67"/>
      <c r="U265" s="67"/>
      <c r="V265" s="67"/>
      <c r="W265" s="67"/>
      <c r="X265" s="191"/>
      <c r="Y265" s="79"/>
      <c r="Z265" s="67"/>
    </row>
    <row r="266" spans="1:26" ht="45" customHeight="1">
      <c r="A266" s="67"/>
      <c r="B266" s="67"/>
      <c r="C266" s="67"/>
      <c r="D266" s="67"/>
      <c r="E266" s="67"/>
      <c r="F266" s="67"/>
      <c r="G266" s="79"/>
      <c r="H266" s="67"/>
      <c r="I266" s="85"/>
      <c r="J266" s="67"/>
      <c r="K266" s="67"/>
      <c r="L266" s="73"/>
      <c r="M266" s="67"/>
      <c r="N266" s="67"/>
      <c r="O266" s="67"/>
      <c r="P266" s="67"/>
      <c r="Q266" s="67"/>
      <c r="R266" s="67"/>
      <c r="S266" s="362"/>
      <c r="T266" s="67"/>
      <c r="U266" s="67"/>
      <c r="V266" s="67"/>
      <c r="W266" s="67"/>
      <c r="X266" s="191"/>
      <c r="Y266" s="79"/>
      <c r="Z266" s="67"/>
    </row>
    <row r="267" spans="1:26" ht="45" customHeight="1">
      <c r="A267" s="67"/>
      <c r="B267" s="67"/>
      <c r="C267" s="67"/>
      <c r="D267" s="67"/>
      <c r="E267" s="67"/>
      <c r="F267" s="67"/>
      <c r="G267" s="79"/>
      <c r="H267" s="67"/>
      <c r="I267" s="85"/>
      <c r="J267" s="67"/>
      <c r="K267" s="67"/>
      <c r="L267" s="73"/>
      <c r="M267" s="67"/>
      <c r="N267" s="67"/>
      <c r="O267" s="67"/>
      <c r="P267" s="67"/>
      <c r="Q267" s="67"/>
      <c r="R267" s="67"/>
      <c r="S267" s="362"/>
      <c r="T267" s="67"/>
      <c r="U267" s="67"/>
      <c r="V267" s="67"/>
      <c r="W267" s="67"/>
      <c r="X267" s="191"/>
      <c r="Y267" s="79"/>
      <c r="Z267" s="67"/>
    </row>
    <row r="268" spans="1:26" ht="45" customHeight="1">
      <c r="A268" s="67"/>
      <c r="B268" s="67"/>
      <c r="C268" s="67"/>
      <c r="D268" s="67"/>
      <c r="E268" s="67"/>
      <c r="F268" s="67"/>
      <c r="G268" s="79"/>
      <c r="H268" s="67"/>
      <c r="I268" s="85"/>
      <c r="J268" s="67"/>
      <c r="K268" s="67"/>
      <c r="L268" s="73"/>
      <c r="M268" s="67"/>
      <c r="N268" s="67"/>
      <c r="O268" s="67"/>
      <c r="P268" s="67"/>
      <c r="Q268" s="67"/>
      <c r="R268" s="67"/>
      <c r="S268" s="362"/>
      <c r="T268" s="67"/>
      <c r="U268" s="67"/>
      <c r="V268" s="67"/>
      <c r="W268" s="67"/>
      <c r="X268" s="191"/>
      <c r="Y268" s="79"/>
      <c r="Z268" s="67"/>
    </row>
  </sheetData>
  <sortState ref="A2:Y265">
    <sortCondition ref="D2:D265"/>
  </sortState>
  <hyperlinks>
    <hyperlink ref="T148" r:id="rId1"/>
    <hyperlink ref="T166" r:id="rId2"/>
    <hyperlink ref="X144" r:id="rId3"/>
    <hyperlink ref="T155" r:id="rId4"/>
    <hyperlink ref="T172" r:id="rId5"/>
    <hyperlink ref="T105" r:id="rId6"/>
    <hyperlink ref="T189" r:id="rId7"/>
    <hyperlink ref="T168" r:id="rId8"/>
    <hyperlink ref="T141" r:id="rId9"/>
    <hyperlink ref="V4" r:id="rId10"/>
    <hyperlink ref="V123" r:id="rId11"/>
    <hyperlink ref="V2" r:id="rId12"/>
    <hyperlink ref="V130" r:id="rId13" display="fisher_james_w@bah.com_x000a_ "/>
    <hyperlink ref="V98" r:id="rId14"/>
    <hyperlink ref="V99" r:id="rId15"/>
    <hyperlink ref="V131" r:id="rId16"/>
    <hyperlink ref="V114" r:id="rId17"/>
    <hyperlink ref="V120" r:id="rId18"/>
    <hyperlink ref="V212" r:id="rId19"/>
    <hyperlink ref="T179" r:id="rId20"/>
    <hyperlink ref="T193" r:id="rId21"/>
    <hyperlink ref="T190" r:id="rId22"/>
    <hyperlink ref="V190" r:id="rId23"/>
    <hyperlink ref="T195" r:id="rId24"/>
    <hyperlink ref="T196" r:id="rId25"/>
    <hyperlink ref="V196" r:id="rId26"/>
    <hyperlink ref="V204" r:id="rId27"/>
    <hyperlink ref="T192" r:id="rId28"/>
    <hyperlink ref="T152" r:id="rId29" display="Link "/>
    <hyperlink ref="V152" r:id="rId30" display="hilldk@state.gov"/>
    <hyperlink ref="T178" r:id="rId31"/>
    <hyperlink ref="T182" r:id="rId32"/>
    <hyperlink ref="T183" r:id="rId33"/>
    <hyperlink ref="T198" r:id="rId34"/>
    <hyperlink ref="T188" r:id="rId35"/>
    <hyperlink ref="T187" r:id="rId36"/>
    <hyperlink ref="T199" r:id="rId37"/>
    <hyperlink ref="C134" r:id="rId38" display="https://dec.usaid.gov/dec/search/searchresults_clearcriteria.aspx?q=ZG9jdW1lbnRzLmNvbnRyYWN0X2dyYW50X251bWJlcjooIjUxMS1DLTAwLTAzLTAwMjM2LTAwIik=&amp;qcf=ODVhZjk4NWQtM2YyMi00YjRmLTkxNjktZTcxMjM2NDBmY2Uy"/>
    <hyperlink ref="X121" r:id="rId39"/>
    <hyperlink ref="X90" r:id="rId40" display="http://pdf.usaid.gov/pdf_docs/Pnacj014.pdf_x000d_"/>
    <hyperlink ref="X134" r:id="rId41" display="http://pdf.usaid.gov/pdf_docs/PDACG495.pdf_x000d_"/>
    <hyperlink ref="X176"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hyperlink ref="U189"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hyperlink ref="T171" r:id="rId44"/>
    <hyperlink ref="T151" r:id="rId45"/>
    <hyperlink ref="T164" r:id="rId46"/>
    <hyperlink ref="X156"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hyperlink ref="T106" r:id="rId48" display="Link "/>
    <hyperlink ref="T145" r:id="rId49"/>
    <hyperlink ref="T49" r:id="rId50" display="Link"/>
    <hyperlink ref="X139"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hyperlink ref="X75"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T113:T115"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X95"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hyperlink ref="X123"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hyperlink ref="X117"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hyperlink ref="X116"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hyperlink ref="X10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hyperlink ref="X79"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hyperlink ref="X103"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hyperlink ref="X96"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hyperlink ref="X70" r:id="rId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hyperlink ref="X80"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hyperlink ref="X59"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hyperlink ref="X64"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hyperlink ref="X45"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hyperlink ref="X71" r:id="rId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hyperlink ref="X56" r:id="rId68"/>
    <hyperlink ref="X65" r:id="rId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hyperlink ref="X60" r:id="rId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hyperlink ref="X37" r:id="rId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hyperlink ref="X21" r:id="rId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hyperlink ref="X143" r:id="rId73"/>
    <hyperlink ref="T197" r:id="rId74"/>
    <hyperlink ref="V197" r:id="rId75"/>
    <hyperlink ref="V216" r:id="rId76"/>
    <hyperlink ref="V220" r:id="rId77"/>
    <hyperlink ref="V213" r:id="rId78"/>
    <hyperlink ref="V214" r:id="rId79"/>
    <hyperlink ref="V215" r:id="rId80"/>
    <hyperlink ref="X155" r:id="rId81"/>
    <hyperlink ref="X11:X12" r:id="rId82" display="http://www.devtechsys.com/images/eame/moldova_2007_faa-119-biodiversity-analysis.pdf"/>
    <hyperlink ref="X141" r:id="rId83"/>
    <hyperlink ref="V218" r:id="rId84"/>
    <hyperlink ref="V222" r:id="rId85"/>
    <hyperlink ref="X157" r:id="rId86"/>
    <hyperlink ref="V83" r:id="rId87"/>
    <hyperlink ref="V44" r:id="rId88"/>
    <hyperlink ref="X29" r:id="rId89"/>
    <hyperlink ref="X119" r:id="rId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hyperlink ref="X200" r:id="rId91"/>
    <hyperlink ref="X101" r:id="rId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hyperlink ref="X187" r:id="rId93"/>
    <hyperlink ref="X100" r:id="rId94"/>
    <hyperlink ref="X120" r:id="rId95"/>
    <hyperlink ref="X111" r:id="rId96"/>
    <hyperlink ref="X152" r:id="rId97"/>
    <hyperlink ref="X131" r:id="rId98"/>
    <hyperlink ref="X99" r:id="rId99"/>
    <hyperlink ref="X180" r:id="rId100"/>
    <hyperlink ref="X23" r:id="rId101"/>
    <hyperlink ref="X162" r:id="rId102"/>
    <hyperlink ref="X127" r:id="rId103"/>
    <hyperlink ref="X135" r:id="rId104"/>
    <hyperlink ref="X19" r:id="rId105"/>
    <hyperlink ref="X87" r:id="rId106"/>
    <hyperlink ref="X142" r:id="rId107"/>
    <hyperlink ref="X172" r:id="rId108"/>
    <hyperlink ref="X174" r:id="rId109"/>
    <hyperlink ref="X159" r:id="rId110"/>
    <hyperlink ref="X53" r:id="rId111" display="Link"/>
    <hyperlink ref="X52" r:id="rId112" display="Link"/>
    <hyperlink ref="X77" r:id="rId113" display="Link"/>
    <hyperlink ref="X177" r:id="rId114" display="https://www.usaid.gov/sites/default/files/documents/1860/USAID-Senegal%20BPA%20for%20Local%20Capacity%20Development%20%28RFP%20SOL-685-15-000036%29.pdf"/>
    <hyperlink ref="X179" r:id="rId1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hyperlink ref="V219" r:id="rId116"/>
  </hyperlinks>
  <pageMargins left="0.7" right="0.7" top="0.75" bottom="0.75" header="0.3" footer="0.3"/>
  <tableParts count="1">
    <tablePart r:id="rId117"/>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AV853"/>
  <sheetViews>
    <sheetView showGridLines="0" topLeftCell="F1" zoomScale="75" zoomScaleNormal="75" zoomScalePageLayoutView="75" workbookViewId="0">
      <selection activeCell="G851" sqref="G851"/>
    </sheetView>
  </sheetViews>
  <sheetFormatPr baseColWidth="10" defaultColWidth="8.83203125" defaultRowHeight="14.25" customHeight="1" x14ac:dyDescent="0"/>
  <cols>
    <col min="6" max="6" width="142.5" customWidth="1"/>
    <col min="7" max="7" width="94.5" customWidth="1"/>
    <col min="8" max="8" width="21.83203125" customWidth="1"/>
    <col min="9" max="9" width="1.5" customWidth="1"/>
    <col min="10" max="11" width="12.5" customWidth="1"/>
  </cols>
  <sheetData>
    <row r="1" spans="1:48" ht="14.25" customHeight="1">
      <c r="G1" s="5"/>
    </row>
    <row r="3" spans="1:48" s="13" customFormat="1" ht="14.25" customHeight="1">
      <c r="J3" s="14" t="s">
        <v>1163</v>
      </c>
      <c r="K3" s="14" t="s">
        <v>1164</v>
      </c>
      <c r="L3" s="14" t="s">
        <v>1165</v>
      </c>
      <c r="M3" s="15" t="s">
        <v>1166</v>
      </c>
      <c r="N3" s="14" t="s">
        <v>1167</v>
      </c>
      <c r="O3" s="15" t="s">
        <v>1168</v>
      </c>
      <c r="P3" s="14" t="s">
        <v>1169</v>
      </c>
      <c r="Q3" s="15" t="s">
        <v>1170</v>
      </c>
      <c r="R3" s="15" t="s">
        <v>1171</v>
      </c>
      <c r="S3" s="13" t="s">
        <v>1172</v>
      </c>
      <c r="T3" s="13" t="s">
        <v>1173</v>
      </c>
      <c r="Z3" s="13" t="s">
        <v>1174</v>
      </c>
      <c r="AG3" s="13" t="s">
        <v>1175</v>
      </c>
      <c r="AH3" s="13" t="s">
        <v>1176</v>
      </c>
      <c r="AI3" s="13" t="s">
        <v>1177</v>
      </c>
      <c r="AJ3" s="13" t="s">
        <v>1178</v>
      </c>
    </row>
    <row r="5" spans="1:48" s="18" customFormat="1" ht="14.25" customHeight="1">
      <c r="A5" s="9"/>
      <c r="B5" s="9"/>
      <c r="C5" s="9"/>
      <c r="D5" s="12"/>
      <c r="E5" s="12" t="str">
        <f>TRIM(LEFT(F6,5))</f>
        <v> 2016</v>
      </c>
      <c r="F5" s="6" t="s">
        <v>1179</v>
      </c>
      <c r="G5" s="6" t="str">
        <f>geturl(F5)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v>
      </c>
      <c r="H5" s="6"/>
      <c r="I5" s="6"/>
      <c r="J5" s="16" t="s">
        <v>1180</v>
      </c>
      <c r="K5" s="16" t="s">
        <v>1181</v>
      </c>
      <c r="L5" s="16" t="s">
        <v>1182</v>
      </c>
      <c r="M5" s="16" t="s">
        <v>1183</v>
      </c>
      <c r="N5" s="16" t="s">
        <v>1184</v>
      </c>
      <c r="O5" s="16" t="s">
        <v>1185</v>
      </c>
      <c r="P5" s="16" t="s">
        <v>1186</v>
      </c>
      <c r="Q5" s="16"/>
      <c r="R5" s="16" t="s">
        <v>1187</v>
      </c>
      <c r="S5" s="16" t="s">
        <v>1188</v>
      </c>
      <c r="T5" s="16" t="s">
        <v>1189</v>
      </c>
      <c r="U5" s="16" t="s">
        <v>1113</v>
      </c>
      <c r="V5" s="16" t="s">
        <v>364</v>
      </c>
      <c r="W5" s="16" t="s">
        <v>1190</v>
      </c>
      <c r="X5" s="16"/>
      <c r="Y5" s="16" t="s">
        <v>1191</v>
      </c>
      <c r="Z5" s="16" t="s">
        <v>1192</v>
      </c>
      <c r="AA5" s="16" t="s">
        <v>1193</v>
      </c>
      <c r="AB5" s="16" t="s">
        <v>1194</v>
      </c>
      <c r="AC5" s="16" t="s">
        <v>1195</v>
      </c>
      <c r="AD5" s="16" t="s">
        <v>1196</v>
      </c>
      <c r="AE5" s="16" t="s">
        <v>1197</v>
      </c>
      <c r="AF5" s="16" t="s">
        <v>57</v>
      </c>
      <c r="AG5" s="16" t="s">
        <v>1198</v>
      </c>
      <c r="AH5" s="16" t="s">
        <v>1199</v>
      </c>
      <c r="AI5" s="16" t="s">
        <v>1200</v>
      </c>
      <c r="AJ5" s="16" t="s">
        <v>1201</v>
      </c>
      <c r="AK5" s="16"/>
      <c r="AL5" s="16"/>
      <c r="AM5" s="16"/>
      <c r="AN5" s="16"/>
      <c r="AO5" s="16"/>
      <c r="AP5" s="17"/>
      <c r="AQ5" s="17"/>
      <c r="AR5" s="17"/>
      <c r="AS5" s="17"/>
      <c r="AT5" s="17"/>
      <c r="AU5" s="17"/>
      <c r="AV5" s="17"/>
    </row>
    <row r="6" spans="1:48" s="9" customFormat="1" ht="14.25" customHeight="1">
      <c r="D6" s="12"/>
      <c r="F6" s="10" t="s">
        <v>1202</v>
      </c>
      <c r="G6" s="6" t="str">
        <f>+HYPERLINK(G1)</f>
        <v/>
      </c>
      <c r="H6" s="10"/>
      <c r="I6" s="10"/>
      <c r="J6" s="10"/>
      <c r="K6" s="10"/>
      <c r="P6" s="8"/>
    </row>
    <row r="7" spans="1:48" s="9" customFormat="1" ht="14.25" customHeight="1">
      <c r="D7" s="11"/>
      <c r="P7" s="8"/>
    </row>
    <row r="8" spans="1:48" ht="14.25" customHeight="1">
      <c r="D8" s="1"/>
      <c r="E8" s="19" t="str">
        <f>TRIM(LEFT(F9,5))</f>
        <v> 2016</v>
      </c>
      <c r="F8" s="2" t="s">
        <v>1203</v>
      </c>
      <c r="G8" s="2" t="str">
        <f>+geturl(F8)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v>
      </c>
      <c r="H8" s="2"/>
      <c r="I8" s="2"/>
      <c r="K8" s="2"/>
      <c r="P8" s="5"/>
    </row>
    <row r="9" spans="1:48" ht="14.25" customHeight="1">
      <c r="D9" s="1"/>
      <c r="E9" s="1"/>
      <c r="F9" s="3" t="s">
        <v>1204</v>
      </c>
      <c r="G9" s="3"/>
      <c r="H9" s="3"/>
      <c r="I9" s="3"/>
      <c r="J9" s="3"/>
      <c r="K9" s="3"/>
    </row>
    <row r="10" spans="1:48" ht="14.25" customHeight="1">
      <c r="D10" s="4"/>
    </row>
    <row r="11" spans="1:48" s="9" customFormat="1" ht="14.25" customHeight="1">
      <c r="D11" s="12"/>
      <c r="E11" s="12" t="str">
        <f t="shared" ref="E11" si="0">TRIM(LEFT(F12,5))</f>
        <v> 2016</v>
      </c>
      <c r="F11" s="6" t="s">
        <v>1205</v>
      </c>
      <c r="G11" s="6" t="str">
        <f t="shared" ref="G11" si="1">+geturl(F11)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v>
      </c>
      <c r="H11" s="6"/>
      <c r="I11" s="6"/>
      <c r="J11" s="7"/>
      <c r="K11" s="7"/>
      <c r="L11" s="8"/>
      <c r="N11" s="8"/>
    </row>
    <row r="12" spans="1:48" s="9" customFormat="1" ht="14.25" customHeight="1">
      <c r="D12" s="12"/>
      <c r="F12" s="10" t="s">
        <v>1206</v>
      </c>
      <c r="G12" s="10"/>
      <c r="H12" s="10"/>
      <c r="I12" s="10"/>
      <c r="J12" s="10"/>
      <c r="K12" s="10"/>
      <c r="P12" s="8"/>
    </row>
    <row r="13" spans="1:48" s="9" customFormat="1" ht="14.25" customHeight="1">
      <c r="D13" s="11"/>
      <c r="P13" s="8"/>
    </row>
    <row r="14" spans="1:48" ht="14.25" customHeight="1">
      <c r="D14" s="1"/>
      <c r="E14" s="19" t="str">
        <f t="shared" ref="E14" si="2">TRIM(LEFT(F15,5))</f>
        <v> 2015</v>
      </c>
      <c r="F14" s="2" t="s">
        <v>1207</v>
      </c>
      <c r="G14" s="2" t="str">
        <f t="shared" ref="G14" si="3">+geturl(F14)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v>
      </c>
      <c r="H14" s="2"/>
      <c r="I14" s="2"/>
      <c r="J14" s="2"/>
      <c r="K14" s="2"/>
      <c r="P14" s="5"/>
    </row>
    <row r="15" spans="1:48" ht="14.25" customHeight="1">
      <c r="D15" s="1"/>
      <c r="E15" s="1"/>
      <c r="F15" s="3" t="s">
        <v>1208</v>
      </c>
      <c r="G15" s="3"/>
      <c r="H15" s="3"/>
      <c r="I15" s="3"/>
      <c r="J15" s="3"/>
      <c r="K15" s="3"/>
    </row>
    <row r="16" spans="1:48" ht="14.25" customHeight="1">
      <c r="D16" s="4"/>
    </row>
    <row r="17" spans="4:16" s="9" customFormat="1" ht="14.25" customHeight="1">
      <c r="D17" s="12"/>
      <c r="E17" s="12" t="str">
        <f t="shared" ref="E17" si="4">TRIM(LEFT(F18,5))</f>
        <v> 2015</v>
      </c>
      <c r="F17" s="6" t="s">
        <v>1209</v>
      </c>
      <c r="G17" s="6" t="str">
        <f t="shared" ref="G17" si="5">+geturl(F17)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v>
      </c>
      <c r="H17" s="6"/>
      <c r="I17" s="6"/>
      <c r="J17" s="7"/>
      <c r="K17" s="7"/>
      <c r="L17" s="8"/>
      <c r="N17" s="8"/>
    </row>
    <row r="18" spans="4:16" s="9" customFormat="1" ht="14.25" customHeight="1">
      <c r="D18" s="12"/>
      <c r="F18" s="10" t="s">
        <v>1210</v>
      </c>
      <c r="G18" s="10"/>
      <c r="H18" s="10"/>
      <c r="I18" s="10"/>
      <c r="J18" s="10"/>
      <c r="K18" s="10"/>
      <c r="P18" s="8"/>
    </row>
    <row r="19" spans="4:16" s="9" customFormat="1" ht="14.25" customHeight="1">
      <c r="D19" s="11"/>
      <c r="P19" s="8"/>
    </row>
    <row r="20" spans="4:16" ht="14.25" customHeight="1">
      <c r="D20" s="1"/>
      <c r="E20" s="19" t="str">
        <f t="shared" ref="E20" si="6">TRIM(LEFT(F21,5))</f>
        <v> 2014</v>
      </c>
      <c r="F20" s="2" t="s">
        <v>1211</v>
      </c>
      <c r="G20" s="2" t="str">
        <f t="shared" ref="G20" si="7">+geturl(F20)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v>
      </c>
      <c r="H20" s="2"/>
      <c r="I20" s="2"/>
      <c r="J20" s="2"/>
      <c r="K20" s="2"/>
      <c r="P20" s="5"/>
    </row>
    <row r="21" spans="4:16" ht="14.25" customHeight="1">
      <c r="D21" s="1"/>
      <c r="E21" s="1"/>
      <c r="F21" s="3" t="s">
        <v>1212</v>
      </c>
      <c r="G21" s="3"/>
      <c r="H21" s="3"/>
      <c r="I21" s="3"/>
      <c r="J21" s="3"/>
      <c r="K21" s="3"/>
    </row>
    <row r="22" spans="4:16" ht="14.25" customHeight="1">
      <c r="D22" s="4"/>
    </row>
    <row r="23" spans="4:16" s="9" customFormat="1" ht="14.25" customHeight="1">
      <c r="D23" s="12"/>
      <c r="E23" s="12" t="str">
        <f t="shared" ref="E23" si="8">TRIM(LEFT(F24,5))</f>
        <v> 2014</v>
      </c>
      <c r="F23" s="6" t="s">
        <v>1213</v>
      </c>
      <c r="G23" s="6" t="str">
        <f t="shared" ref="G23" si="9">+geturl(F23)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v>
      </c>
      <c r="H23" s="6"/>
      <c r="I23" s="6"/>
      <c r="J23" s="7"/>
      <c r="K23" s="7"/>
      <c r="L23" s="8"/>
      <c r="N23" s="8"/>
    </row>
    <row r="24" spans="4:16" s="9" customFormat="1" ht="14.25" customHeight="1">
      <c r="D24" s="12"/>
      <c r="F24" s="10" t="s">
        <v>1214</v>
      </c>
      <c r="G24" s="10"/>
      <c r="H24" s="10"/>
      <c r="I24" s="10"/>
      <c r="J24" s="10"/>
      <c r="K24" s="10"/>
      <c r="P24" s="8"/>
    </row>
    <row r="25" spans="4:16" s="9" customFormat="1" ht="14.25" customHeight="1">
      <c r="D25" s="11"/>
      <c r="P25" s="8"/>
    </row>
    <row r="26" spans="4:16" ht="14.25" customHeight="1">
      <c r="D26" s="1"/>
      <c r="E26" s="19" t="str">
        <f t="shared" ref="E26" si="10">TRIM(LEFT(F27,5))</f>
        <v> 2014</v>
      </c>
      <c r="F26" s="2" t="s">
        <v>1215</v>
      </c>
      <c r="G26" s="2" t="str">
        <f t="shared" ref="G26" si="11">+geturl(F26)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v>
      </c>
      <c r="H26" s="2"/>
      <c r="I26" s="2"/>
      <c r="J26" s="2"/>
      <c r="K26" s="2"/>
      <c r="P26" s="5"/>
    </row>
    <row r="27" spans="4:16" ht="14.25" customHeight="1">
      <c r="D27" s="1"/>
      <c r="E27" s="1"/>
      <c r="F27" s="3" t="s">
        <v>1212</v>
      </c>
      <c r="G27" s="3"/>
      <c r="H27" s="3"/>
      <c r="I27" s="3"/>
      <c r="J27" s="3"/>
      <c r="K27" s="3"/>
    </row>
    <row r="28" spans="4:16" ht="14.25" customHeight="1">
      <c r="D28" s="4"/>
    </row>
    <row r="29" spans="4:16" s="9" customFormat="1" ht="14.25" customHeight="1">
      <c r="D29" s="12"/>
      <c r="E29" s="12" t="str">
        <f t="shared" ref="E29" si="12">TRIM(LEFT(F30,5))</f>
        <v> 2013</v>
      </c>
      <c r="F29" s="6" t="s">
        <v>1216</v>
      </c>
      <c r="G29" s="6" t="str">
        <f t="shared" ref="G29" si="13">+geturl(F29)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v>
      </c>
      <c r="H29" s="6"/>
      <c r="I29" s="6"/>
      <c r="J29" s="7"/>
      <c r="K29" s="7"/>
      <c r="L29" s="8"/>
      <c r="N29" s="8"/>
    </row>
    <row r="30" spans="4:16" s="9" customFormat="1" ht="14.25" customHeight="1">
      <c r="D30" s="12"/>
      <c r="F30" s="10" t="s">
        <v>1217</v>
      </c>
      <c r="G30" s="10"/>
      <c r="H30" s="10"/>
      <c r="I30" s="10"/>
      <c r="J30" s="10"/>
      <c r="K30" s="10"/>
      <c r="P30" s="8"/>
    </row>
    <row r="31" spans="4:16" s="9" customFormat="1" ht="14.25" customHeight="1">
      <c r="D31" s="11"/>
      <c r="P31" s="8"/>
    </row>
    <row r="32" spans="4:16" ht="14.25" customHeight="1">
      <c r="D32" s="1"/>
      <c r="E32" s="19" t="str">
        <f t="shared" ref="E32" si="14">TRIM(LEFT(F33,5))</f>
        <v> 2013</v>
      </c>
      <c r="F32" s="2" t="s">
        <v>981</v>
      </c>
      <c r="G32" s="2" t="str">
        <f t="shared" ref="G32" si="15">+geturl(F32)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v>
      </c>
      <c r="H32" s="2"/>
      <c r="I32" s="2"/>
      <c r="J32" s="2"/>
      <c r="K32" s="2"/>
      <c r="P32" s="5"/>
    </row>
    <row r="33" spans="4:16" ht="14.25" customHeight="1">
      <c r="D33" s="1"/>
      <c r="E33" s="1"/>
      <c r="F33" s="3" t="s">
        <v>1218</v>
      </c>
      <c r="G33" s="3"/>
      <c r="H33" s="3"/>
      <c r="I33" s="3"/>
      <c r="J33" s="3"/>
      <c r="K33" s="3"/>
    </row>
    <row r="34" spans="4:16" ht="14.25" customHeight="1">
      <c r="D34" s="4"/>
    </row>
    <row r="35" spans="4:16" s="9" customFormat="1" ht="14.25" customHeight="1">
      <c r="D35" s="12"/>
      <c r="E35" s="12" t="str">
        <f t="shared" ref="E35" si="16">TRIM(LEFT(F36,5))</f>
        <v> 2013</v>
      </c>
      <c r="F35" s="6" t="s">
        <v>1219</v>
      </c>
      <c r="G35" s="6" t="str">
        <f t="shared" ref="G35" si="17">+geturl(F35)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v>
      </c>
      <c r="H35" s="6"/>
      <c r="I35" s="6"/>
      <c r="J35" s="7"/>
      <c r="K35" s="7"/>
      <c r="L35" s="8"/>
      <c r="N35" s="8"/>
    </row>
    <row r="36" spans="4:16" s="9" customFormat="1" ht="14.25" customHeight="1">
      <c r="D36" s="12"/>
      <c r="F36" s="10" t="s">
        <v>1218</v>
      </c>
      <c r="G36" s="10"/>
      <c r="H36" s="10"/>
      <c r="I36" s="10"/>
      <c r="J36" s="10"/>
      <c r="K36" s="10"/>
      <c r="P36" s="8"/>
    </row>
    <row r="37" spans="4:16" s="9" customFormat="1" ht="14.25" customHeight="1">
      <c r="D37" s="11"/>
      <c r="P37" s="8"/>
    </row>
    <row r="38" spans="4:16" ht="14.25" customHeight="1">
      <c r="D38" s="1"/>
      <c r="E38" s="19" t="str">
        <f t="shared" ref="E38" si="18">TRIM(LEFT(F39,5))</f>
        <v> 2013</v>
      </c>
      <c r="F38" s="2" t="s">
        <v>1220</v>
      </c>
      <c r="G38" s="2" t="str">
        <f t="shared" ref="G38" si="19">+geturl(F38)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v>
      </c>
      <c r="H38" s="2"/>
      <c r="I38" s="2"/>
      <c r="J38" s="2"/>
      <c r="K38" s="2"/>
      <c r="P38" s="5"/>
    </row>
    <row r="39" spans="4:16" ht="14.25" customHeight="1">
      <c r="D39" s="1"/>
      <c r="E39" s="1"/>
      <c r="F39" s="3" t="s">
        <v>1218</v>
      </c>
      <c r="G39" s="3"/>
      <c r="H39" s="3"/>
      <c r="I39" s="3"/>
      <c r="J39" s="3"/>
      <c r="K39" s="3"/>
    </row>
    <row r="40" spans="4:16" ht="14.25" customHeight="1">
      <c r="D40" s="4"/>
    </row>
    <row r="41" spans="4:16" s="9" customFormat="1" ht="14.25" customHeight="1">
      <c r="D41" s="12"/>
      <c r="E41" s="12" t="str">
        <f t="shared" ref="E41" si="20">TRIM(LEFT(F42,5))</f>
        <v> 2013</v>
      </c>
      <c r="F41" s="6" t="s">
        <v>1088</v>
      </c>
      <c r="G41" s="6" t="str">
        <f t="shared" ref="G41" si="21">+geturl(F41)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v>
      </c>
      <c r="H41" s="6"/>
      <c r="I41" s="6"/>
      <c r="J41" s="7"/>
      <c r="K41" s="7"/>
      <c r="L41" s="8"/>
      <c r="N41" s="8"/>
    </row>
    <row r="42" spans="4:16" s="9" customFormat="1" ht="14.25" customHeight="1">
      <c r="D42" s="12"/>
      <c r="F42" s="10" t="s">
        <v>1217</v>
      </c>
      <c r="G42" s="10"/>
      <c r="H42" s="10"/>
      <c r="I42" s="10"/>
      <c r="J42" s="10"/>
      <c r="K42" s="10"/>
      <c r="P42" s="8"/>
    </row>
    <row r="43" spans="4:16" s="9" customFormat="1" ht="14.25" customHeight="1">
      <c r="D43" s="11"/>
      <c r="P43" s="8"/>
    </row>
    <row r="44" spans="4:16" ht="14.25" customHeight="1">
      <c r="D44" s="1"/>
      <c r="E44" s="19" t="str">
        <f t="shared" ref="E44" si="22">TRIM(LEFT(F45,5))</f>
        <v> 2012</v>
      </c>
      <c r="F44" s="2" t="s">
        <v>1221</v>
      </c>
      <c r="G44" s="2" t="str">
        <f t="shared" ref="G44" si="23">+geturl(F44)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v>
      </c>
      <c r="H44" s="2"/>
      <c r="I44" s="2"/>
      <c r="J44" s="2"/>
      <c r="K44" s="2"/>
      <c r="P44" s="5"/>
    </row>
    <row r="45" spans="4:16" ht="14.25" customHeight="1">
      <c r="D45" s="1"/>
      <c r="E45" s="1"/>
      <c r="F45" s="3" t="s">
        <v>1222</v>
      </c>
      <c r="G45" s="3"/>
      <c r="H45" s="3"/>
      <c r="I45" s="3"/>
      <c r="J45" s="3"/>
      <c r="K45" s="3"/>
    </row>
    <row r="46" spans="4:16" ht="14.25" customHeight="1">
      <c r="D46" s="4"/>
    </row>
    <row r="47" spans="4:16" s="9" customFormat="1" ht="14.25" customHeight="1">
      <c r="D47" s="12"/>
      <c r="E47" s="12" t="str">
        <f t="shared" ref="E47" si="24">TRIM(LEFT(F48,5))</f>
        <v> 2012</v>
      </c>
      <c r="F47" s="6" t="s">
        <v>1223</v>
      </c>
      <c r="G47" s="6" t="str">
        <f t="shared" ref="G47" si="25">+geturl(F47)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v>
      </c>
      <c r="H47" s="6"/>
      <c r="I47" s="6"/>
      <c r="J47" s="7"/>
      <c r="K47" s="7"/>
      <c r="L47" s="8"/>
      <c r="N47" s="8"/>
    </row>
    <row r="48" spans="4:16" s="9" customFormat="1" ht="14.25" customHeight="1">
      <c r="D48" s="12"/>
      <c r="F48" s="10" t="s">
        <v>1224</v>
      </c>
      <c r="G48" s="10"/>
      <c r="H48" s="10"/>
      <c r="I48" s="10"/>
      <c r="J48" s="10"/>
      <c r="K48" s="10"/>
      <c r="P48" s="8"/>
    </row>
    <row r="49" spans="4:16" s="9" customFormat="1" ht="14.25" customHeight="1">
      <c r="D49" s="11"/>
      <c r="P49" s="8"/>
    </row>
    <row r="50" spans="4:16" ht="14.25" customHeight="1">
      <c r="D50" s="1"/>
      <c r="E50" s="19" t="str">
        <f t="shared" ref="E50" si="26">TRIM(LEFT(F51,5))</f>
        <v> 2012</v>
      </c>
      <c r="F50" s="2" t="s">
        <v>1225</v>
      </c>
      <c r="G50" s="2" t="str">
        <f t="shared" ref="G50" si="27">+geturl(F50)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v>
      </c>
      <c r="H50" s="2"/>
      <c r="I50" s="2"/>
      <c r="J50" s="2"/>
      <c r="K50" s="2"/>
      <c r="P50" s="5"/>
    </row>
    <row r="51" spans="4:16" ht="14.25" customHeight="1">
      <c r="D51" s="1"/>
      <c r="E51" s="1"/>
      <c r="F51" s="3" t="s">
        <v>1226</v>
      </c>
      <c r="G51" s="3"/>
      <c r="H51" s="3"/>
      <c r="I51" s="3"/>
      <c r="J51" s="3"/>
      <c r="K51" s="3"/>
    </row>
    <row r="52" spans="4:16" ht="14.25" customHeight="1">
      <c r="D52" s="4"/>
    </row>
    <row r="53" spans="4:16" s="9" customFormat="1" ht="14.25" customHeight="1">
      <c r="D53" s="12"/>
      <c r="E53" s="12" t="str">
        <f t="shared" ref="E53" si="28">TRIM(LEFT(F54,5))</f>
        <v> 2012</v>
      </c>
      <c r="F53" s="6" t="s">
        <v>1227</v>
      </c>
      <c r="G53" s="6" t="str">
        <f t="shared" ref="G53" si="29">+geturl(F53)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v>
      </c>
      <c r="H53" s="6"/>
      <c r="I53" s="6"/>
      <c r="J53" s="7"/>
      <c r="K53" s="7"/>
      <c r="L53" s="8"/>
      <c r="N53" s="8"/>
    </row>
    <row r="54" spans="4:16" s="9" customFormat="1" ht="14.25" customHeight="1">
      <c r="D54" s="12"/>
      <c r="F54" s="10" t="s">
        <v>1222</v>
      </c>
      <c r="G54" s="10"/>
      <c r="H54" s="10"/>
      <c r="I54" s="10"/>
      <c r="J54" s="10"/>
      <c r="K54" s="10"/>
      <c r="P54" s="8"/>
    </row>
    <row r="55" spans="4:16" s="9" customFormat="1" ht="14.25" customHeight="1">
      <c r="D55" s="11"/>
      <c r="P55" s="8"/>
    </row>
    <row r="56" spans="4:16" ht="14.25" customHeight="1">
      <c r="D56" s="1"/>
      <c r="E56" s="19" t="str">
        <f t="shared" ref="E56" si="30">TRIM(LEFT(F57,5))</f>
        <v> 2012</v>
      </c>
      <c r="F56" s="2" t="s">
        <v>1228</v>
      </c>
      <c r="G56" s="2" t="str">
        <f t="shared" ref="G56" si="31">+geturl(F56)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v>
      </c>
      <c r="H56" s="2"/>
      <c r="I56" s="2"/>
      <c r="J56" s="2"/>
      <c r="K56" s="2"/>
      <c r="P56" s="5"/>
    </row>
    <row r="57" spans="4:16" ht="14.25" customHeight="1">
      <c r="D57" s="1"/>
      <c r="E57" s="1"/>
      <c r="F57" s="3" t="s">
        <v>1222</v>
      </c>
      <c r="G57" s="3"/>
      <c r="H57" s="3"/>
      <c r="I57" s="3"/>
      <c r="J57" s="3"/>
      <c r="K57" s="3"/>
    </row>
    <row r="58" spans="4:16" ht="14.25" customHeight="1">
      <c r="D58" s="4"/>
    </row>
    <row r="59" spans="4:16" s="9" customFormat="1" ht="14.25" customHeight="1">
      <c r="D59" s="12"/>
      <c r="E59" s="12" t="str">
        <f t="shared" ref="E59" si="32">TRIM(LEFT(F60,5))</f>
        <v> 2012</v>
      </c>
      <c r="F59" s="6" t="s">
        <v>1229</v>
      </c>
      <c r="G59" s="6" t="str">
        <f t="shared" ref="G59" si="33">+geturl(F59)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v>
      </c>
      <c r="H59" s="6"/>
      <c r="I59" s="6"/>
      <c r="J59" s="7"/>
      <c r="K59" s="7"/>
      <c r="L59" s="8"/>
      <c r="N59" s="8"/>
    </row>
    <row r="60" spans="4:16" s="9" customFormat="1" ht="14.25" customHeight="1">
      <c r="D60" s="12"/>
      <c r="F60" s="10" t="s">
        <v>1222</v>
      </c>
      <c r="G60" s="10"/>
      <c r="H60" s="10"/>
      <c r="I60" s="10"/>
      <c r="J60" s="10"/>
      <c r="K60" s="10"/>
      <c r="P60" s="8"/>
    </row>
    <row r="61" spans="4:16" s="9" customFormat="1" ht="14.25" customHeight="1">
      <c r="D61" s="11"/>
      <c r="P61" s="8"/>
    </row>
    <row r="62" spans="4:16" ht="14.25" customHeight="1">
      <c r="D62" s="1"/>
      <c r="E62" s="19" t="str">
        <f t="shared" ref="E62" si="34">TRIM(LEFT(F63,5))</f>
        <v> 2012</v>
      </c>
      <c r="F62" s="2" t="s">
        <v>1230</v>
      </c>
      <c r="G62" s="2" t="str">
        <f t="shared" ref="G62" si="35">+geturl(F62)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v>
      </c>
      <c r="H62" s="2"/>
      <c r="I62" s="2"/>
      <c r="J62" s="2"/>
      <c r="K62" s="2"/>
      <c r="P62" s="5"/>
    </row>
    <row r="63" spans="4:16" ht="14.25" customHeight="1">
      <c r="D63" s="1"/>
      <c r="E63" s="1"/>
      <c r="F63" s="3" t="s">
        <v>1222</v>
      </c>
      <c r="G63" s="3"/>
      <c r="H63" s="3"/>
      <c r="I63" s="3"/>
      <c r="J63" s="3"/>
      <c r="K63" s="3"/>
    </row>
    <row r="64" spans="4:16" ht="14.25" customHeight="1">
      <c r="D64" s="4"/>
    </row>
    <row r="65" spans="4:16" s="9" customFormat="1" ht="14.25" customHeight="1">
      <c r="D65" s="12"/>
      <c r="E65" s="12" t="str">
        <f t="shared" ref="E65" si="36">TRIM(LEFT(F66,5))</f>
        <v> 2012</v>
      </c>
      <c r="F65" s="6" t="s">
        <v>1231</v>
      </c>
      <c r="G65" s="6" t="str">
        <f t="shared" ref="G65" si="37">+geturl(F65)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v>
      </c>
      <c r="H65" s="6"/>
      <c r="I65" s="6"/>
      <c r="J65" s="7"/>
      <c r="K65" s="7"/>
      <c r="L65" s="8"/>
      <c r="N65" s="8"/>
    </row>
    <row r="66" spans="4:16" s="9" customFormat="1" ht="14.25" customHeight="1">
      <c r="D66" s="12"/>
      <c r="F66" s="10" t="s">
        <v>1222</v>
      </c>
      <c r="G66" s="10"/>
      <c r="H66" s="10"/>
      <c r="I66" s="10"/>
      <c r="J66" s="10"/>
      <c r="K66" s="10"/>
      <c r="P66" s="8"/>
    </row>
    <row r="67" spans="4:16" s="9" customFormat="1" ht="14.25" customHeight="1">
      <c r="D67" s="11"/>
      <c r="P67" s="8"/>
    </row>
    <row r="68" spans="4:16" ht="14.25" customHeight="1">
      <c r="D68" s="1"/>
      <c r="E68" s="19" t="str">
        <f t="shared" ref="E68" si="38">TRIM(LEFT(F69,5))</f>
        <v> 2012</v>
      </c>
      <c r="F68" s="2" t="s">
        <v>1232</v>
      </c>
      <c r="G68" s="2" t="str">
        <f t="shared" ref="G68" si="39">+geturl(F68)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v>
      </c>
      <c r="H68" s="2"/>
      <c r="I68" s="2"/>
      <c r="J68" s="2"/>
      <c r="K68" s="2"/>
      <c r="P68" s="5"/>
    </row>
    <row r="69" spans="4:16" ht="14.25" customHeight="1">
      <c r="D69" s="1"/>
      <c r="E69" s="1"/>
      <c r="F69" s="3" t="s">
        <v>1226</v>
      </c>
      <c r="G69" s="3"/>
      <c r="H69" s="3"/>
      <c r="I69" s="3"/>
      <c r="J69" s="3"/>
      <c r="K69" s="3"/>
    </row>
    <row r="70" spans="4:16" ht="14.25" customHeight="1">
      <c r="D70" s="4"/>
    </row>
    <row r="71" spans="4:16" s="9" customFormat="1" ht="14.25" customHeight="1">
      <c r="D71" s="12"/>
      <c r="E71" s="12" t="str">
        <f t="shared" ref="E71" si="40">TRIM(LEFT(F72,5))</f>
        <v> 2012</v>
      </c>
      <c r="F71" s="6" t="s">
        <v>1233</v>
      </c>
      <c r="G71" s="6" t="str">
        <f t="shared" ref="G71" si="41">+geturl(F71)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v>
      </c>
      <c r="H71" s="6"/>
      <c r="I71" s="6"/>
      <c r="J71" s="7"/>
      <c r="K71" s="7"/>
      <c r="L71" s="8"/>
      <c r="N71" s="8"/>
    </row>
    <row r="72" spans="4:16" s="9" customFormat="1" ht="14.25" customHeight="1">
      <c r="D72" s="12"/>
      <c r="F72" s="10" t="s">
        <v>1226</v>
      </c>
      <c r="G72" s="10"/>
      <c r="H72" s="10"/>
      <c r="I72" s="10"/>
      <c r="J72" s="10"/>
      <c r="K72" s="10"/>
      <c r="P72" s="8"/>
    </row>
    <row r="73" spans="4:16" s="9" customFormat="1" ht="14.25" customHeight="1">
      <c r="D73" s="11"/>
      <c r="P73" s="8"/>
    </row>
    <row r="74" spans="4:16" ht="14.25" customHeight="1">
      <c r="D74" s="1"/>
      <c r="E74" s="19" t="str">
        <f t="shared" ref="E74" si="42">TRIM(LEFT(F75,5))</f>
        <v> 2012</v>
      </c>
      <c r="F74" s="2" t="s">
        <v>1234</v>
      </c>
      <c r="G74" s="2" t="str">
        <f t="shared" ref="G74" si="43">+geturl(F74)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v>
      </c>
      <c r="H74" s="2"/>
      <c r="I74" s="2"/>
      <c r="J74" s="2"/>
      <c r="K74" s="2"/>
      <c r="P74" s="5"/>
    </row>
    <row r="75" spans="4:16" ht="14.25" customHeight="1">
      <c r="D75" s="1"/>
      <c r="E75" s="1"/>
      <c r="F75" s="3" t="s">
        <v>1222</v>
      </c>
      <c r="G75" s="3"/>
      <c r="H75" s="3"/>
      <c r="I75" s="3"/>
      <c r="J75" s="3"/>
      <c r="K75" s="3"/>
    </row>
    <row r="76" spans="4:16" ht="14.25" customHeight="1">
      <c r="D76" s="4"/>
    </row>
    <row r="77" spans="4:16" s="9" customFormat="1" ht="14.25" customHeight="1">
      <c r="D77" s="12"/>
      <c r="E77" s="12" t="str">
        <f t="shared" ref="E77" si="44">TRIM(LEFT(F78,5))</f>
        <v> 2012</v>
      </c>
      <c r="F77" s="6" t="s">
        <v>1235</v>
      </c>
      <c r="G77" s="6" t="str">
        <f t="shared" ref="G77" si="45">+geturl(F77)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v>
      </c>
      <c r="H77" s="6"/>
      <c r="I77" s="6"/>
      <c r="J77" s="7"/>
      <c r="K77" s="7"/>
      <c r="L77" s="8"/>
      <c r="N77" s="8"/>
    </row>
    <row r="78" spans="4:16" s="9" customFormat="1" ht="14.25" customHeight="1">
      <c r="D78" s="12"/>
      <c r="F78" s="10" t="s">
        <v>1222</v>
      </c>
      <c r="G78" s="10"/>
      <c r="H78" s="10"/>
      <c r="I78" s="10"/>
      <c r="J78" s="10"/>
      <c r="K78" s="10"/>
      <c r="P78" s="8"/>
    </row>
    <row r="79" spans="4:16" s="9" customFormat="1" ht="14.25" customHeight="1">
      <c r="D79" s="11"/>
      <c r="P79" s="8"/>
    </row>
    <row r="80" spans="4:16" ht="14.25" customHeight="1">
      <c r="D80" s="1"/>
      <c r="E80" s="19" t="str">
        <f t="shared" ref="E80" si="46">TRIM(LEFT(F81,5))</f>
        <v> 2012</v>
      </c>
      <c r="F80" s="2" t="s">
        <v>1236</v>
      </c>
      <c r="G80" s="2" t="str">
        <f t="shared" ref="G80" si="47">+geturl(F80)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v>
      </c>
      <c r="H80" s="2"/>
      <c r="I80" s="2"/>
      <c r="J80" s="2"/>
      <c r="K80" s="2"/>
      <c r="P80" s="5"/>
    </row>
    <row r="81" spans="4:16" ht="14.25" customHeight="1">
      <c r="D81" s="1"/>
      <c r="E81" s="1"/>
      <c r="F81" s="3" t="s">
        <v>1226</v>
      </c>
      <c r="G81" s="3"/>
      <c r="H81" s="3"/>
      <c r="I81" s="3"/>
      <c r="J81" s="3"/>
      <c r="K81" s="3"/>
    </row>
    <row r="82" spans="4:16" ht="14.25" customHeight="1">
      <c r="D82" s="4"/>
    </row>
    <row r="83" spans="4:16" s="9" customFormat="1" ht="14.25" customHeight="1">
      <c r="D83" s="12"/>
      <c r="E83" s="12" t="str">
        <f t="shared" ref="E83" si="48">TRIM(LEFT(F84,5))</f>
        <v> 2011</v>
      </c>
      <c r="F83" s="6" t="s">
        <v>1237</v>
      </c>
      <c r="G83" s="6" t="str">
        <f t="shared" ref="G83" si="49">+geturl(F83)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v>
      </c>
      <c r="H83" s="6"/>
      <c r="I83" s="6"/>
      <c r="J83" s="7"/>
      <c r="K83" s="7"/>
      <c r="L83" s="8"/>
      <c r="N83" s="8"/>
    </row>
    <row r="84" spans="4:16" s="9" customFormat="1" ht="14.25" customHeight="1">
      <c r="D84" s="12"/>
      <c r="F84" s="10" t="s">
        <v>1238</v>
      </c>
      <c r="G84" s="10"/>
      <c r="H84" s="10"/>
      <c r="I84" s="10"/>
      <c r="J84" s="10"/>
      <c r="K84" s="10"/>
      <c r="P84" s="8"/>
    </row>
    <row r="85" spans="4:16" s="9" customFormat="1" ht="14.25" customHeight="1">
      <c r="D85" s="11"/>
      <c r="P85" s="8"/>
    </row>
    <row r="86" spans="4:16" ht="14.25" customHeight="1">
      <c r="D86" s="1"/>
      <c r="E86" s="19" t="str">
        <f t="shared" ref="E86" si="50">TRIM(LEFT(F87,5))</f>
        <v> 2011</v>
      </c>
      <c r="F86" s="2" t="s">
        <v>1239</v>
      </c>
      <c r="G86" s="2" t="str">
        <f t="shared" ref="G86" si="51">+geturl(F86)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v>
      </c>
      <c r="H86" s="2"/>
      <c r="I86" s="2"/>
      <c r="J86" s="2"/>
      <c r="K86" s="2"/>
      <c r="P86" s="5"/>
    </row>
    <row r="87" spans="4:16" ht="14.25" customHeight="1">
      <c r="D87" s="1"/>
      <c r="E87" s="1"/>
      <c r="F87" s="3" t="s">
        <v>1238</v>
      </c>
      <c r="G87" s="3"/>
      <c r="H87" s="3"/>
      <c r="I87" s="3"/>
      <c r="J87" s="3"/>
      <c r="K87" s="3"/>
    </row>
    <row r="88" spans="4:16" ht="14.25" customHeight="1">
      <c r="D88" s="4"/>
    </row>
    <row r="89" spans="4:16" s="9" customFormat="1" ht="14.25" customHeight="1">
      <c r="D89" s="12"/>
      <c r="E89" s="12" t="str">
        <f t="shared" ref="E89" si="52">TRIM(LEFT(F90,5))</f>
        <v> 2011</v>
      </c>
      <c r="F89" s="6" t="s">
        <v>1240</v>
      </c>
      <c r="G89" s="6" t="str">
        <f t="shared" ref="G89" si="53">+geturl(F89)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v>
      </c>
      <c r="H89" s="6"/>
      <c r="I89" s="6"/>
      <c r="J89" s="7"/>
      <c r="K89" s="7"/>
      <c r="L89" s="8"/>
      <c r="N89" s="8"/>
    </row>
    <row r="90" spans="4:16" s="9" customFormat="1" ht="14.25" customHeight="1">
      <c r="D90" s="12"/>
      <c r="F90" s="10" t="s">
        <v>1241</v>
      </c>
      <c r="G90" s="10"/>
      <c r="H90" s="10"/>
      <c r="I90" s="10"/>
      <c r="J90" s="10"/>
      <c r="K90" s="10"/>
      <c r="P90" s="8"/>
    </row>
    <row r="91" spans="4:16" s="9" customFormat="1" ht="14.25" customHeight="1">
      <c r="D91" s="11"/>
      <c r="P91" s="8"/>
    </row>
    <row r="92" spans="4:16" ht="14.25" customHeight="1">
      <c r="D92" s="1"/>
      <c r="E92" s="19" t="str">
        <f t="shared" ref="E92" si="54">TRIM(LEFT(F93,5))</f>
        <v> 2010</v>
      </c>
      <c r="F92" s="2" t="s">
        <v>1242</v>
      </c>
      <c r="G92" s="2" t="str">
        <f t="shared" ref="G92" si="55">+geturl(F92)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v>
      </c>
      <c r="H92" s="2"/>
      <c r="I92" s="2"/>
      <c r="J92" s="2"/>
      <c r="K92" s="2"/>
      <c r="P92" s="5"/>
    </row>
    <row r="93" spans="4:16" ht="14.25" customHeight="1">
      <c r="D93" s="1"/>
      <c r="E93" s="1"/>
      <c r="F93" s="3" t="s">
        <v>1243</v>
      </c>
      <c r="G93" s="3"/>
      <c r="H93" s="3"/>
      <c r="I93" s="3"/>
      <c r="J93" s="3"/>
      <c r="K93" s="3"/>
    </row>
    <row r="94" spans="4:16" ht="14.25" customHeight="1">
      <c r="D94" s="4"/>
    </row>
    <row r="95" spans="4:16" s="9" customFormat="1" ht="14.25" customHeight="1">
      <c r="D95" s="12"/>
      <c r="E95" s="12" t="str">
        <f t="shared" ref="E95" si="56">TRIM(LEFT(F96,5))</f>
        <v> 2010</v>
      </c>
      <c r="F95" s="6" t="s">
        <v>1244</v>
      </c>
      <c r="G95" s="6" t="str">
        <f t="shared" ref="G95" si="57">+geturl(F95)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v>
      </c>
      <c r="H95" s="6"/>
      <c r="I95" s="6"/>
      <c r="J95" s="7"/>
      <c r="K95" s="7"/>
      <c r="L95" s="8"/>
      <c r="N95" s="8"/>
    </row>
    <row r="96" spans="4:16" s="9" customFormat="1" ht="14.25" customHeight="1">
      <c r="D96" s="12"/>
      <c r="F96" s="10" t="s">
        <v>1243</v>
      </c>
      <c r="G96" s="10"/>
      <c r="H96" s="10"/>
      <c r="I96" s="10"/>
      <c r="J96" s="10"/>
      <c r="K96" s="10"/>
      <c r="P96" s="8"/>
    </row>
    <row r="97" spans="4:16" s="9" customFormat="1" ht="14.25" customHeight="1">
      <c r="D97" s="11"/>
      <c r="P97" s="8"/>
    </row>
    <row r="98" spans="4:16" ht="14.25" customHeight="1">
      <c r="D98" s="1"/>
      <c r="E98" s="19" t="str">
        <f t="shared" ref="E98" si="58">TRIM(LEFT(F99,5))</f>
        <v> 2010</v>
      </c>
      <c r="F98" s="2" t="s">
        <v>1245</v>
      </c>
      <c r="G98" s="2" t="str">
        <f t="shared" ref="G98" si="59">+geturl(F98)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v>
      </c>
      <c r="H98" s="2"/>
      <c r="I98" s="2"/>
      <c r="J98" s="2"/>
      <c r="K98" s="2"/>
      <c r="P98" s="5"/>
    </row>
    <row r="99" spans="4:16" ht="14.25" customHeight="1">
      <c r="D99" s="1"/>
      <c r="E99" s="1"/>
      <c r="F99" s="3" t="s">
        <v>1246</v>
      </c>
      <c r="G99" s="3"/>
      <c r="H99" s="3"/>
      <c r="I99" s="3"/>
      <c r="J99" s="3"/>
      <c r="K99" s="3"/>
    </row>
    <row r="100" spans="4:16" ht="14.25" customHeight="1">
      <c r="D100" s="4"/>
    </row>
    <row r="101" spans="4:16" s="9" customFormat="1" ht="14.25" customHeight="1">
      <c r="D101" s="12"/>
      <c r="E101" s="12" t="str">
        <f t="shared" ref="E101" si="60">TRIM(LEFT(F102,5))</f>
        <v> 2010</v>
      </c>
      <c r="F101" s="6" t="s">
        <v>1247</v>
      </c>
      <c r="G101" s="6" t="str">
        <f t="shared" ref="G101" si="61">+geturl(F101)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v>
      </c>
      <c r="H101" s="6"/>
      <c r="I101" s="6"/>
      <c r="J101" s="7"/>
      <c r="K101" s="7"/>
      <c r="L101" s="8"/>
      <c r="N101" s="8"/>
    </row>
    <row r="102" spans="4:16" s="9" customFormat="1" ht="14.25" customHeight="1">
      <c r="D102" s="12"/>
      <c r="F102" s="10" t="s">
        <v>1243</v>
      </c>
      <c r="G102" s="10"/>
      <c r="H102" s="10"/>
      <c r="I102" s="10"/>
      <c r="J102" s="10"/>
      <c r="K102" s="10"/>
      <c r="P102" s="8"/>
    </row>
    <row r="103" spans="4:16" s="9" customFormat="1" ht="14.25" customHeight="1">
      <c r="D103" s="11"/>
      <c r="P103" s="8"/>
    </row>
    <row r="104" spans="4:16" ht="14.25" customHeight="1">
      <c r="D104" s="1"/>
      <c r="E104" s="19" t="str">
        <f t="shared" ref="E104" si="62">TRIM(LEFT(F105,5))</f>
        <v> 2010</v>
      </c>
      <c r="F104" s="2" t="s">
        <v>1248</v>
      </c>
      <c r="G104" s="2" t="str">
        <f t="shared" ref="G104" si="63">+geturl(F104)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v>
      </c>
      <c r="H104" s="2"/>
      <c r="I104" s="2"/>
      <c r="J104" s="2"/>
      <c r="K104" s="2"/>
      <c r="P104" s="5"/>
    </row>
    <row r="105" spans="4:16" ht="14.25" customHeight="1">
      <c r="D105" s="1"/>
      <c r="E105" s="1"/>
      <c r="F105" s="3" t="s">
        <v>1243</v>
      </c>
      <c r="G105" s="3"/>
      <c r="H105" s="3"/>
      <c r="I105" s="3"/>
      <c r="J105" s="3"/>
      <c r="K105" s="3"/>
    </row>
    <row r="106" spans="4:16" ht="14.25" customHeight="1">
      <c r="D106" s="4"/>
    </row>
    <row r="107" spans="4:16" s="9" customFormat="1" ht="14.25" customHeight="1">
      <c r="D107" s="12"/>
      <c r="E107" s="12" t="str">
        <f t="shared" ref="E107" si="64">TRIM(LEFT(F108,5))</f>
        <v> 2010</v>
      </c>
      <c r="F107" s="6" t="s">
        <v>1249</v>
      </c>
      <c r="G107" s="6" t="str">
        <f t="shared" ref="G107" si="65">+geturl(F107)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v>
      </c>
      <c r="H107" s="6"/>
      <c r="I107" s="6"/>
      <c r="J107" s="7"/>
      <c r="K107" s="7"/>
      <c r="L107" s="8"/>
      <c r="N107" s="8"/>
    </row>
    <row r="108" spans="4:16" s="9" customFormat="1" ht="14.25" customHeight="1">
      <c r="D108" s="12"/>
      <c r="F108" s="10" t="s">
        <v>1246</v>
      </c>
      <c r="G108" s="10"/>
      <c r="H108" s="10"/>
      <c r="I108" s="10"/>
      <c r="J108" s="10"/>
      <c r="K108" s="10"/>
      <c r="P108" s="8"/>
    </row>
    <row r="109" spans="4:16" s="9" customFormat="1" ht="14.25" customHeight="1">
      <c r="D109" s="11"/>
      <c r="P109" s="8"/>
    </row>
    <row r="110" spans="4:16" ht="14.25" customHeight="1">
      <c r="D110" s="1"/>
      <c r="E110" s="19" t="str">
        <f t="shared" ref="E110" si="66">TRIM(LEFT(F111,5))</f>
        <v> 2010</v>
      </c>
      <c r="F110" s="2" t="s">
        <v>1250</v>
      </c>
      <c r="G110" s="2" t="str">
        <f t="shared" ref="G110" si="67">+geturl(F110)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v>
      </c>
      <c r="H110" s="2"/>
      <c r="I110" s="2"/>
      <c r="J110" s="2"/>
      <c r="K110" s="2"/>
      <c r="P110" s="5"/>
    </row>
    <row r="111" spans="4:16" ht="14.25" customHeight="1">
      <c r="D111" s="1"/>
      <c r="E111" s="1"/>
      <c r="F111" s="3" t="s">
        <v>1246</v>
      </c>
      <c r="G111" s="3"/>
      <c r="H111" s="3"/>
      <c r="I111" s="3"/>
      <c r="J111" s="3"/>
      <c r="K111" s="3"/>
    </row>
    <row r="112" spans="4:16" ht="14.25" customHeight="1">
      <c r="D112" s="4"/>
    </row>
    <row r="113" spans="4:16" s="9" customFormat="1" ht="14.25" customHeight="1">
      <c r="D113" s="12"/>
      <c r="E113" s="12" t="str">
        <f t="shared" ref="E113" si="68">TRIM(LEFT(F114,5))</f>
        <v> 2010</v>
      </c>
      <c r="F113" s="6" t="s">
        <v>1251</v>
      </c>
      <c r="G113" s="6" t="str">
        <f t="shared" ref="G113" si="69">+geturl(F113)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v>
      </c>
      <c r="H113" s="6"/>
      <c r="I113" s="6"/>
      <c r="J113" s="7"/>
      <c r="K113" s="7"/>
      <c r="L113" s="8"/>
      <c r="N113" s="8"/>
    </row>
    <row r="114" spans="4:16" s="9" customFormat="1" ht="14.25" customHeight="1">
      <c r="D114" s="12"/>
      <c r="F114" s="10" t="s">
        <v>1246</v>
      </c>
      <c r="G114" s="10"/>
      <c r="H114" s="10"/>
      <c r="I114" s="10"/>
      <c r="J114" s="10"/>
      <c r="K114" s="10"/>
      <c r="P114" s="8"/>
    </row>
    <row r="115" spans="4:16" s="9" customFormat="1" ht="14.25" customHeight="1">
      <c r="D115" s="11"/>
      <c r="P115" s="8"/>
    </row>
    <row r="116" spans="4:16" ht="14.25" customHeight="1">
      <c r="D116" s="1"/>
      <c r="E116" s="19" t="str">
        <f t="shared" ref="E116" si="70">TRIM(LEFT(F117,5))</f>
        <v> 2010</v>
      </c>
      <c r="F116" s="2" t="s">
        <v>1252</v>
      </c>
      <c r="G116" s="2" t="str">
        <f t="shared" ref="G116" si="71">+geturl(F116)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v>
      </c>
      <c r="H116" s="2"/>
      <c r="I116" s="2"/>
      <c r="J116" s="2"/>
      <c r="K116" s="2"/>
      <c r="P116" s="5"/>
    </row>
    <row r="117" spans="4:16" ht="14.25" customHeight="1">
      <c r="D117" s="1"/>
      <c r="E117" s="1"/>
      <c r="F117" s="3" t="s">
        <v>1253</v>
      </c>
      <c r="G117" s="3"/>
      <c r="H117" s="3"/>
      <c r="I117" s="3"/>
      <c r="J117" s="3"/>
      <c r="K117" s="3"/>
    </row>
    <row r="118" spans="4:16" ht="14.25" customHeight="1">
      <c r="D118" s="4"/>
    </row>
    <row r="119" spans="4:16" s="9" customFormat="1" ht="14.25" customHeight="1">
      <c r="D119" s="12"/>
      <c r="E119" s="12" t="str">
        <f t="shared" ref="E119" si="72">TRIM(LEFT(F120,5))</f>
        <v> 2010</v>
      </c>
      <c r="F119" s="6" t="s">
        <v>1254</v>
      </c>
      <c r="G119" s="6" t="str">
        <f t="shared" ref="G119" si="73">+geturl(F119)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v>
      </c>
      <c r="H119" s="6"/>
      <c r="I119" s="6"/>
      <c r="J119" s="7"/>
      <c r="K119" s="7"/>
      <c r="L119" s="8"/>
      <c r="N119" s="8"/>
    </row>
    <row r="120" spans="4:16" s="9" customFormat="1" ht="14.25" customHeight="1">
      <c r="D120" s="12"/>
      <c r="F120" s="10" t="s">
        <v>1246</v>
      </c>
      <c r="G120" s="10"/>
      <c r="H120" s="10"/>
      <c r="I120" s="10"/>
      <c r="J120" s="10"/>
      <c r="K120" s="10"/>
      <c r="P120" s="8"/>
    </row>
    <row r="121" spans="4:16" s="9" customFormat="1" ht="14.25" customHeight="1">
      <c r="D121" s="11"/>
      <c r="P121" s="8"/>
    </row>
    <row r="122" spans="4:16" ht="14.25" customHeight="1">
      <c r="D122" s="1"/>
      <c r="E122" s="19" t="str">
        <f t="shared" ref="E122" si="74">TRIM(LEFT(F123,5))</f>
        <v> 2010</v>
      </c>
      <c r="F122" s="2" t="s">
        <v>1255</v>
      </c>
      <c r="G122" s="2" t="str">
        <f t="shared" ref="G122" si="75">+geturl(F122)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v>
      </c>
      <c r="H122" s="2"/>
      <c r="I122" s="2"/>
      <c r="J122" s="2"/>
      <c r="K122" s="2"/>
      <c r="P122" s="5"/>
    </row>
    <row r="123" spans="4:16" ht="14.25" customHeight="1">
      <c r="D123" s="1"/>
      <c r="E123" s="1"/>
      <c r="F123" s="3" t="s">
        <v>1246</v>
      </c>
      <c r="G123" s="3"/>
      <c r="H123" s="3"/>
      <c r="I123" s="3"/>
      <c r="J123" s="3"/>
      <c r="K123" s="3"/>
    </row>
    <row r="124" spans="4:16" ht="14.25" customHeight="1">
      <c r="D124" s="4"/>
    </row>
    <row r="125" spans="4:16" s="9" customFormat="1" ht="14.25" customHeight="1">
      <c r="D125" s="12"/>
      <c r="E125" s="12" t="str">
        <f t="shared" ref="E125" si="76">TRIM(LEFT(F126,5))</f>
        <v> 2010</v>
      </c>
      <c r="F125" s="6" t="s">
        <v>1256</v>
      </c>
      <c r="G125" s="6" t="str">
        <f t="shared" ref="G125" si="77">+geturl(F125)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v>
      </c>
      <c r="H125" s="6"/>
      <c r="I125" s="6"/>
      <c r="J125" s="7"/>
      <c r="K125" s="7"/>
      <c r="L125" s="8"/>
      <c r="N125" s="8"/>
    </row>
    <row r="126" spans="4:16" s="9" customFormat="1" ht="14.25" customHeight="1">
      <c r="D126" s="12"/>
      <c r="F126" s="10" t="s">
        <v>1246</v>
      </c>
      <c r="G126" s="10"/>
      <c r="H126" s="10"/>
      <c r="I126" s="10"/>
      <c r="J126" s="10"/>
      <c r="K126" s="10"/>
      <c r="P126" s="8"/>
    </row>
    <row r="127" spans="4:16" s="9" customFormat="1" ht="14.25" customHeight="1">
      <c r="D127" s="11"/>
      <c r="P127" s="8"/>
    </row>
    <row r="128" spans="4:16" ht="14.25" customHeight="1">
      <c r="D128" s="1"/>
      <c r="E128" s="19" t="str">
        <f t="shared" ref="E128" si="78">TRIM(LEFT(F129,5))</f>
        <v> 2010</v>
      </c>
      <c r="F128" s="2" t="s">
        <v>1257</v>
      </c>
      <c r="G128" s="2" t="str">
        <f t="shared" ref="G128" si="79">+geturl(F128)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v>
      </c>
      <c r="H128" s="2"/>
      <c r="I128" s="2"/>
      <c r="J128" s="2"/>
      <c r="K128" s="2"/>
      <c r="P128" s="5"/>
    </row>
    <row r="129" spans="4:16" ht="14.25" customHeight="1">
      <c r="D129" s="1"/>
      <c r="E129" s="1"/>
      <c r="F129" s="3" t="s">
        <v>1246</v>
      </c>
      <c r="G129" s="3"/>
      <c r="H129" s="3"/>
      <c r="I129" s="3"/>
      <c r="J129" s="3"/>
      <c r="K129" s="3"/>
    </row>
    <row r="130" spans="4:16" ht="14.25" customHeight="1">
      <c r="D130" s="4"/>
    </row>
    <row r="131" spans="4:16" s="9" customFormat="1" ht="14.25" customHeight="1">
      <c r="D131" s="12"/>
      <c r="E131" s="12" t="str">
        <f t="shared" ref="E131" si="80">TRIM(LEFT(F132,5))</f>
        <v> 2010</v>
      </c>
      <c r="F131" s="6" t="s">
        <v>1258</v>
      </c>
      <c r="G131" s="6" t="str">
        <f t="shared" ref="G131" si="81">+geturl(F131)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v>
      </c>
      <c r="H131" s="6"/>
      <c r="I131" s="6"/>
      <c r="J131" s="7"/>
      <c r="K131" s="7"/>
      <c r="L131" s="8"/>
      <c r="N131" s="8"/>
    </row>
    <row r="132" spans="4:16" s="9" customFormat="1" ht="14.25" customHeight="1">
      <c r="D132" s="12"/>
      <c r="F132" s="10" t="s">
        <v>1259</v>
      </c>
      <c r="G132" s="10"/>
      <c r="H132" s="10"/>
      <c r="I132" s="10"/>
      <c r="J132" s="10"/>
      <c r="K132" s="10"/>
      <c r="P132" s="8"/>
    </row>
    <row r="133" spans="4:16" s="9" customFormat="1" ht="14.25" customHeight="1">
      <c r="D133" s="11"/>
      <c r="P133" s="8"/>
    </row>
    <row r="134" spans="4:16" ht="14.25" customHeight="1">
      <c r="D134" s="1"/>
      <c r="E134" s="19" t="str">
        <f t="shared" ref="E134" si="82">TRIM(LEFT(F135,5))</f>
        <v> 2010</v>
      </c>
      <c r="F134" s="2" t="s">
        <v>1260</v>
      </c>
      <c r="G134" s="2" t="str">
        <f t="shared" ref="G134" si="83">+geturl(F134)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v>
      </c>
      <c r="H134" s="2"/>
      <c r="I134" s="2"/>
      <c r="J134" s="2"/>
      <c r="K134" s="2"/>
      <c r="P134" s="5"/>
    </row>
    <row r="135" spans="4:16" ht="14.25" customHeight="1">
      <c r="D135" s="1"/>
      <c r="E135" s="1"/>
      <c r="F135" s="3" t="s">
        <v>1246</v>
      </c>
      <c r="G135" s="3"/>
      <c r="H135" s="3"/>
      <c r="I135" s="3"/>
      <c r="J135" s="3"/>
      <c r="K135" s="3"/>
    </row>
    <row r="136" spans="4:16" ht="14.25" customHeight="1">
      <c r="D136" s="4"/>
    </row>
    <row r="137" spans="4:16" s="9" customFormat="1" ht="14.25" customHeight="1">
      <c r="D137" s="12"/>
      <c r="E137" s="12" t="str">
        <f t="shared" ref="E137" si="84">TRIM(LEFT(F138,5))</f>
        <v> 2010</v>
      </c>
      <c r="F137" s="6" t="s">
        <v>1261</v>
      </c>
      <c r="G137" s="6" t="str">
        <f t="shared" ref="G137" si="85">+geturl(F137)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v>
      </c>
      <c r="H137" s="6"/>
      <c r="I137" s="6"/>
      <c r="J137" s="7"/>
      <c r="K137" s="7"/>
      <c r="L137" s="8"/>
      <c r="N137" s="8"/>
    </row>
    <row r="138" spans="4:16" s="9" customFormat="1" ht="14.25" customHeight="1">
      <c r="D138" s="12"/>
      <c r="F138" s="10" t="s">
        <v>1246</v>
      </c>
      <c r="G138" s="10"/>
      <c r="H138" s="10"/>
      <c r="I138" s="10"/>
      <c r="J138" s="10"/>
      <c r="K138" s="10"/>
      <c r="P138" s="8"/>
    </row>
    <row r="139" spans="4:16" s="9" customFormat="1" ht="14.25" customHeight="1">
      <c r="D139" s="11"/>
      <c r="P139" s="8"/>
    </row>
    <row r="140" spans="4:16" ht="14.25" customHeight="1">
      <c r="D140" s="1"/>
      <c r="E140" s="19" t="str">
        <f t="shared" ref="E140" si="86">TRIM(LEFT(F141,5))</f>
        <v> 2010</v>
      </c>
      <c r="F140" s="2" t="s">
        <v>1262</v>
      </c>
      <c r="G140" s="2" t="str">
        <f t="shared" ref="G140" si="87">+geturl(F140)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v>
      </c>
      <c r="H140" s="2"/>
      <c r="I140" s="2"/>
      <c r="J140" s="2"/>
      <c r="K140" s="2"/>
      <c r="P140" s="5"/>
    </row>
    <row r="141" spans="4:16" ht="14.25" customHeight="1">
      <c r="D141" s="1"/>
      <c r="E141" s="1"/>
      <c r="F141" s="3" t="s">
        <v>1246</v>
      </c>
      <c r="G141" s="3"/>
      <c r="H141" s="3"/>
      <c r="I141" s="3"/>
      <c r="J141" s="3"/>
      <c r="K141" s="3"/>
    </row>
    <row r="142" spans="4:16" ht="14.25" customHeight="1">
      <c r="D142" s="4"/>
    </row>
    <row r="143" spans="4:16" s="9" customFormat="1" ht="14.25" customHeight="1">
      <c r="D143" s="12"/>
      <c r="E143" s="12" t="str">
        <f t="shared" ref="E143" si="88">TRIM(LEFT(F144,5))</f>
        <v> 2010</v>
      </c>
      <c r="F143" s="6" t="s">
        <v>1263</v>
      </c>
      <c r="G143" s="6" t="str">
        <f t="shared" ref="G143" si="89">+geturl(F143)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v>
      </c>
      <c r="H143" s="6"/>
      <c r="I143" s="6"/>
      <c r="J143" s="7"/>
      <c r="K143" s="7"/>
      <c r="L143" s="8"/>
      <c r="N143" s="8"/>
    </row>
    <row r="144" spans="4:16" s="9" customFormat="1" ht="14.25" customHeight="1">
      <c r="D144" s="12"/>
      <c r="F144" s="10" t="s">
        <v>1246</v>
      </c>
      <c r="G144" s="10"/>
      <c r="H144" s="10"/>
      <c r="I144" s="10"/>
      <c r="J144" s="10"/>
      <c r="K144" s="10"/>
      <c r="P144" s="8"/>
    </row>
    <row r="145" spans="4:16" s="9" customFormat="1" ht="14.25" customHeight="1">
      <c r="D145" s="11"/>
      <c r="P145" s="8"/>
    </row>
    <row r="146" spans="4:16" ht="14.25" customHeight="1">
      <c r="D146" s="1"/>
      <c r="E146" s="19" t="str">
        <f t="shared" ref="E146" si="90">TRIM(LEFT(F147,5))</f>
        <v> 2010</v>
      </c>
      <c r="F146" s="2" t="s">
        <v>1264</v>
      </c>
      <c r="G146" s="2" t="str">
        <f t="shared" ref="G146" si="91">+geturl(F146)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v>
      </c>
      <c r="H146" s="2"/>
      <c r="I146" s="2"/>
      <c r="J146" s="2"/>
      <c r="K146" s="2"/>
      <c r="P146" s="5"/>
    </row>
    <row r="147" spans="4:16" ht="14.25" customHeight="1">
      <c r="D147" s="1"/>
      <c r="E147" s="1"/>
      <c r="F147" s="3" t="s">
        <v>1246</v>
      </c>
      <c r="G147" s="3"/>
      <c r="H147" s="3"/>
      <c r="I147" s="3"/>
      <c r="J147" s="3"/>
      <c r="K147" s="3"/>
    </row>
    <row r="148" spans="4:16" ht="14.25" customHeight="1">
      <c r="D148" s="4"/>
    </row>
    <row r="149" spans="4:16" s="9" customFormat="1" ht="14.25" customHeight="1">
      <c r="D149" s="12"/>
      <c r="E149" s="12" t="str">
        <f t="shared" ref="E149" si="92">TRIM(LEFT(F150,5))</f>
        <v> 2010</v>
      </c>
      <c r="F149" s="6" t="s">
        <v>1265</v>
      </c>
      <c r="G149" s="6" t="str">
        <f t="shared" ref="G149" si="93">+geturl(F149)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v>
      </c>
      <c r="H149" s="6"/>
      <c r="I149" s="6"/>
      <c r="J149" s="7"/>
      <c r="K149" s="7"/>
      <c r="L149" s="8"/>
      <c r="N149" s="8"/>
    </row>
    <row r="150" spans="4:16" s="9" customFormat="1" ht="14.25" customHeight="1">
      <c r="D150" s="12"/>
      <c r="F150" s="10" t="s">
        <v>1246</v>
      </c>
      <c r="G150" s="10"/>
      <c r="H150" s="10"/>
      <c r="I150" s="10"/>
      <c r="J150" s="10"/>
      <c r="K150" s="10"/>
      <c r="P150" s="8"/>
    </row>
    <row r="151" spans="4:16" s="9" customFormat="1" ht="14.25" customHeight="1">
      <c r="D151" s="11"/>
      <c r="P151" s="8"/>
    </row>
    <row r="152" spans="4:16" ht="14.25" customHeight="1">
      <c r="D152" s="1"/>
      <c r="E152" s="19" t="str">
        <f t="shared" ref="E152" si="94">TRIM(LEFT(F153,5))</f>
        <v> 2009</v>
      </c>
      <c r="F152" s="2" t="s">
        <v>1266</v>
      </c>
      <c r="G152" s="2" t="str">
        <f t="shared" ref="G152" si="95">+geturl(F152)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v>
      </c>
      <c r="H152" s="2"/>
      <c r="I152" s="2"/>
      <c r="J152" s="2"/>
      <c r="K152" s="2"/>
      <c r="P152" s="5"/>
    </row>
    <row r="153" spans="4:16" ht="14.25" customHeight="1">
      <c r="D153" s="1"/>
      <c r="E153" s="1"/>
      <c r="F153" s="3" t="s">
        <v>1267</v>
      </c>
      <c r="G153" s="3"/>
      <c r="H153" s="3"/>
      <c r="I153" s="3"/>
      <c r="J153" s="3"/>
      <c r="K153" s="3"/>
    </row>
    <row r="154" spans="4:16" ht="14.25" customHeight="1">
      <c r="D154" s="4"/>
    </row>
    <row r="155" spans="4:16" s="9" customFormat="1" ht="14.25" customHeight="1">
      <c r="D155" s="12"/>
      <c r="E155" s="12" t="str">
        <f t="shared" ref="E155" si="96">TRIM(LEFT(F156,5))</f>
        <v> 2009</v>
      </c>
      <c r="F155" s="6" t="s">
        <v>1268</v>
      </c>
      <c r="G155" s="6" t="str">
        <f t="shared" ref="G155" si="97">+geturl(F155)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v>
      </c>
      <c r="H155" s="6"/>
      <c r="I155" s="6"/>
      <c r="J155" s="7"/>
      <c r="K155" s="7"/>
      <c r="L155" s="8"/>
      <c r="N155" s="8"/>
    </row>
    <row r="156" spans="4:16" s="9" customFormat="1" ht="14.25" customHeight="1">
      <c r="D156" s="12"/>
      <c r="F156" s="10" t="s">
        <v>1269</v>
      </c>
      <c r="G156" s="10"/>
      <c r="H156" s="10"/>
      <c r="I156" s="10"/>
      <c r="J156" s="10"/>
      <c r="K156" s="10"/>
      <c r="P156" s="8"/>
    </row>
    <row r="157" spans="4:16" s="9" customFormat="1" ht="14.25" customHeight="1">
      <c r="D157" s="11"/>
      <c r="P157" s="8"/>
    </row>
    <row r="158" spans="4:16" ht="14.25" customHeight="1">
      <c r="D158" s="1"/>
      <c r="E158" s="19" t="str">
        <f t="shared" ref="E158" si="98">TRIM(LEFT(F159,5))</f>
        <v> 2009</v>
      </c>
      <c r="F158" s="2" t="s">
        <v>1270</v>
      </c>
      <c r="G158" s="2" t="str">
        <f t="shared" ref="G158" si="99">+geturl(F158)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v>
      </c>
      <c r="H158" s="2"/>
      <c r="I158" s="2"/>
      <c r="J158" s="2"/>
      <c r="K158" s="2"/>
      <c r="P158" s="5"/>
    </row>
    <row r="159" spans="4:16" ht="14.25" customHeight="1">
      <c r="D159" s="1"/>
      <c r="E159" s="1"/>
      <c r="F159" s="3" t="s">
        <v>1271</v>
      </c>
      <c r="G159" s="3"/>
      <c r="H159" s="3"/>
      <c r="I159" s="3"/>
      <c r="J159" s="3"/>
      <c r="K159" s="3"/>
    </row>
    <row r="160" spans="4:16" ht="14.25" customHeight="1">
      <c r="D160" s="4"/>
    </row>
    <row r="161" spans="4:16" s="9" customFormat="1" ht="14.25" customHeight="1">
      <c r="D161" s="12"/>
      <c r="E161" s="12" t="str">
        <f t="shared" ref="E161" si="100">TRIM(LEFT(F162,5))</f>
        <v> 2009</v>
      </c>
      <c r="F161" s="6" t="s">
        <v>1272</v>
      </c>
      <c r="G161" s="6" t="str">
        <f t="shared" ref="G161" si="101">+geturl(F161)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v>
      </c>
      <c r="H161" s="6"/>
      <c r="I161" s="6"/>
      <c r="J161" s="7"/>
      <c r="K161" s="7"/>
      <c r="L161" s="8"/>
      <c r="N161" s="8"/>
    </row>
    <row r="162" spans="4:16" s="9" customFormat="1" ht="14.25" customHeight="1">
      <c r="D162" s="12"/>
      <c r="F162" s="10" t="s">
        <v>1273</v>
      </c>
      <c r="G162" s="10"/>
      <c r="H162" s="10"/>
      <c r="I162" s="10"/>
      <c r="J162" s="10"/>
      <c r="K162" s="10"/>
      <c r="P162" s="8"/>
    </row>
    <row r="163" spans="4:16" s="9" customFormat="1" ht="14.25" customHeight="1">
      <c r="D163" s="11"/>
      <c r="P163" s="8"/>
    </row>
    <row r="164" spans="4:16" ht="14.25" customHeight="1">
      <c r="D164" s="1"/>
      <c r="E164" s="19" t="str">
        <f t="shared" ref="E164" si="102">TRIM(LEFT(F165,5))</f>
        <v> 2009</v>
      </c>
      <c r="F164" s="2" t="s">
        <v>1274</v>
      </c>
      <c r="G164" s="2" t="str">
        <f t="shared" ref="G164" si="103">+geturl(F164)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v>
      </c>
      <c r="H164" s="2"/>
      <c r="I164" s="2"/>
      <c r="J164" s="2"/>
      <c r="K164" s="2"/>
      <c r="P164" s="5"/>
    </row>
    <row r="165" spans="4:16" ht="14.25" customHeight="1">
      <c r="D165" s="1"/>
      <c r="E165" s="1"/>
      <c r="F165" s="3" t="s">
        <v>1275</v>
      </c>
      <c r="G165" s="3"/>
      <c r="H165" s="3"/>
      <c r="I165" s="3"/>
      <c r="J165" s="3"/>
      <c r="K165" s="3"/>
    </row>
    <row r="166" spans="4:16" ht="14.25" customHeight="1">
      <c r="D166" s="4"/>
    </row>
    <row r="167" spans="4:16" s="9" customFormat="1" ht="14.25" customHeight="1">
      <c r="D167" s="12"/>
      <c r="E167" s="12" t="str">
        <f t="shared" ref="E167" si="104">TRIM(LEFT(F168,5))</f>
        <v> 2009</v>
      </c>
      <c r="F167" s="6" t="s">
        <v>1276</v>
      </c>
      <c r="G167" s="6" t="str">
        <f t="shared" ref="G167" si="105">+geturl(F167)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v>
      </c>
      <c r="H167" s="6"/>
      <c r="I167" s="6"/>
      <c r="J167" s="7"/>
      <c r="K167" s="7"/>
      <c r="L167" s="8"/>
      <c r="N167" s="8"/>
    </row>
    <row r="168" spans="4:16" s="9" customFormat="1" ht="14.25" customHeight="1">
      <c r="D168" s="12"/>
      <c r="F168" s="10" t="s">
        <v>1275</v>
      </c>
      <c r="G168" s="10"/>
      <c r="H168" s="10"/>
      <c r="I168" s="10"/>
      <c r="J168" s="10"/>
      <c r="K168" s="10"/>
      <c r="P168" s="8"/>
    </row>
    <row r="169" spans="4:16" s="9" customFormat="1" ht="14.25" customHeight="1">
      <c r="D169" s="11"/>
      <c r="P169" s="8"/>
    </row>
    <row r="170" spans="4:16" ht="14.25" customHeight="1">
      <c r="D170" s="1"/>
      <c r="E170" s="19" t="str">
        <f t="shared" ref="E170" si="106">TRIM(LEFT(F171,5))</f>
        <v> 2009</v>
      </c>
      <c r="F170" s="2" t="s">
        <v>1277</v>
      </c>
      <c r="G170" s="2" t="str">
        <f t="shared" ref="G170" si="107">+geturl(F170)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v>
      </c>
      <c r="H170" s="2"/>
      <c r="I170" s="2"/>
      <c r="J170" s="2"/>
      <c r="K170" s="2"/>
      <c r="P170" s="5"/>
    </row>
    <row r="171" spans="4:16" ht="14.25" customHeight="1">
      <c r="D171" s="1"/>
      <c r="E171" s="1"/>
      <c r="F171" s="3" t="s">
        <v>1273</v>
      </c>
      <c r="G171" s="3"/>
      <c r="H171" s="3"/>
      <c r="I171" s="3"/>
      <c r="J171" s="3"/>
      <c r="K171" s="3"/>
    </row>
    <row r="172" spans="4:16" ht="14.25" customHeight="1">
      <c r="D172" s="4"/>
    </row>
    <row r="173" spans="4:16" s="9" customFormat="1" ht="14.25" customHeight="1">
      <c r="D173" s="12"/>
      <c r="E173" s="12" t="str">
        <f t="shared" ref="E173" si="108">TRIM(LEFT(F174,5))</f>
        <v> 2009</v>
      </c>
      <c r="F173" s="6" t="s">
        <v>1278</v>
      </c>
      <c r="G173" s="6" t="str">
        <f t="shared" ref="G173" si="109">+geturl(F173)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v>
      </c>
      <c r="H173" s="6"/>
      <c r="I173" s="6"/>
      <c r="J173" s="7"/>
      <c r="K173" s="7"/>
      <c r="L173" s="8"/>
      <c r="N173" s="8"/>
    </row>
    <row r="174" spans="4:16" s="9" customFormat="1" ht="14.25" customHeight="1">
      <c r="D174" s="12"/>
      <c r="F174" s="10" t="s">
        <v>1275</v>
      </c>
      <c r="G174" s="10"/>
      <c r="H174" s="10"/>
      <c r="I174" s="10"/>
      <c r="J174" s="10"/>
      <c r="K174" s="10"/>
      <c r="P174" s="8"/>
    </row>
    <row r="175" spans="4:16" s="9" customFormat="1" ht="14.25" customHeight="1">
      <c r="D175" s="11"/>
      <c r="P175" s="8"/>
    </row>
    <row r="176" spans="4:16" ht="14.25" customHeight="1">
      <c r="D176" s="1"/>
      <c r="E176" s="19" t="str">
        <f t="shared" ref="E176" si="110">TRIM(LEFT(F177,5))</f>
        <v> 2009</v>
      </c>
      <c r="F176" s="2" t="s">
        <v>1279</v>
      </c>
      <c r="G176" s="2" t="str">
        <f t="shared" ref="G176" si="111">+geturl(F176)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v>
      </c>
      <c r="H176" s="2"/>
      <c r="I176" s="2"/>
      <c r="J176" s="2"/>
      <c r="K176" s="2"/>
      <c r="P176" s="5"/>
    </row>
    <row r="177" spans="4:16" ht="14.25" customHeight="1">
      <c r="D177" s="1"/>
      <c r="E177" s="1"/>
      <c r="F177" s="3" t="s">
        <v>1280</v>
      </c>
      <c r="G177" s="3"/>
      <c r="H177" s="3"/>
      <c r="I177" s="3"/>
      <c r="J177" s="3"/>
      <c r="K177" s="3"/>
    </row>
    <row r="178" spans="4:16" ht="14.25" customHeight="1">
      <c r="D178" s="4"/>
    </row>
    <row r="179" spans="4:16" s="9" customFormat="1" ht="14.25" customHeight="1">
      <c r="D179" s="12"/>
      <c r="E179" s="12" t="str">
        <f t="shared" ref="E179" si="112">TRIM(LEFT(F180,5))</f>
        <v> 2008</v>
      </c>
      <c r="F179" s="6" t="s">
        <v>1281</v>
      </c>
      <c r="G179" s="6" t="str">
        <f t="shared" ref="G179" si="113">+geturl(F179)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v>
      </c>
      <c r="H179" s="6"/>
      <c r="I179" s="6"/>
      <c r="J179" s="7"/>
      <c r="K179" s="7"/>
      <c r="L179" s="8"/>
      <c r="N179" s="8"/>
    </row>
    <row r="180" spans="4:16" s="9" customFormat="1" ht="14.25" customHeight="1">
      <c r="D180" s="12"/>
      <c r="F180" s="10" t="s">
        <v>1282</v>
      </c>
      <c r="G180" s="10"/>
      <c r="H180" s="10"/>
      <c r="I180" s="10"/>
      <c r="J180" s="10"/>
      <c r="K180" s="10"/>
      <c r="P180" s="8"/>
    </row>
    <row r="181" spans="4:16" s="9" customFormat="1" ht="14.25" customHeight="1">
      <c r="D181" s="11"/>
      <c r="P181" s="8"/>
    </row>
    <row r="182" spans="4:16" ht="14.25" customHeight="1">
      <c r="D182" s="1"/>
      <c r="E182" s="19" t="str">
        <f t="shared" ref="E182" si="114">TRIM(LEFT(F183,5))</f>
        <v> 2008</v>
      </c>
      <c r="F182" s="2" t="s">
        <v>1283</v>
      </c>
      <c r="G182" s="2" t="str">
        <f t="shared" ref="G182" si="115">+geturl(F182)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v>
      </c>
      <c r="H182" s="2"/>
      <c r="I182" s="2"/>
      <c r="J182" s="2"/>
      <c r="K182" s="2"/>
      <c r="P182" s="5"/>
    </row>
    <row r="183" spans="4:16" ht="14.25" customHeight="1">
      <c r="D183" s="1"/>
      <c r="E183" s="1"/>
      <c r="F183" s="3" t="s">
        <v>1284</v>
      </c>
      <c r="G183" s="3"/>
      <c r="H183" s="3"/>
      <c r="I183" s="3"/>
      <c r="J183" s="3"/>
      <c r="K183" s="3"/>
    </row>
    <row r="184" spans="4:16" ht="14.25" customHeight="1">
      <c r="D184" s="4"/>
    </row>
    <row r="185" spans="4:16" s="9" customFormat="1" ht="14.25" customHeight="1">
      <c r="D185" s="12"/>
      <c r="E185" s="12" t="str">
        <f t="shared" ref="E185" si="116">TRIM(LEFT(F186,5))</f>
        <v> 2008</v>
      </c>
      <c r="F185" s="6" t="s">
        <v>1285</v>
      </c>
      <c r="G185" s="6" t="str">
        <f t="shared" ref="G185" si="117">+geturl(F185)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v>
      </c>
      <c r="H185" s="6"/>
      <c r="I185" s="6"/>
      <c r="J185" s="7"/>
      <c r="K185" s="7"/>
      <c r="L185" s="8"/>
      <c r="N185" s="8"/>
    </row>
    <row r="186" spans="4:16" s="9" customFormat="1" ht="14.25" customHeight="1">
      <c r="D186" s="12"/>
      <c r="F186" s="10" t="s">
        <v>1286</v>
      </c>
      <c r="G186" s="10"/>
      <c r="H186" s="10"/>
      <c r="I186" s="10"/>
      <c r="J186" s="10"/>
      <c r="K186" s="10"/>
      <c r="P186" s="8"/>
    </row>
    <row r="187" spans="4:16" s="9" customFormat="1" ht="14.25" customHeight="1">
      <c r="D187" s="11"/>
      <c r="P187" s="8"/>
    </row>
    <row r="188" spans="4:16" ht="14.25" customHeight="1">
      <c r="D188" s="1"/>
      <c r="E188" s="19" t="str">
        <f t="shared" ref="E188" si="118">TRIM(LEFT(F189,5))</f>
        <v> 2008</v>
      </c>
      <c r="F188" s="2" t="s">
        <v>1287</v>
      </c>
      <c r="G188" s="2" t="str">
        <f t="shared" ref="G188" si="119">+geturl(F188)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v>
      </c>
      <c r="H188" s="2"/>
      <c r="I188" s="2"/>
      <c r="J188" s="2"/>
      <c r="K188" s="2"/>
      <c r="P188" s="5"/>
    </row>
    <row r="189" spans="4:16" ht="14.25" customHeight="1">
      <c r="D189" s="1"/>
      <c r="E189" s="1"/>
      <c r="F189" s="3" t="s">
        <v>1282</v>
      </c>
      <c r="G189" s="3"/>
      <c r="H189" s="3"/>
      <c r="I189" s="3"/>
      <c r="J189" s="3"/>
      <c r="K189" s="3"/>
    </row>
    <row r="190" spans="4:16" ht="14.25" customHeight="1">
      <c r="D190" s="4"/>
    </row>
    <row r="191" spans="4:16" s="9" customFormat="1" ht="14.25" customHeight="1">
      <c r="D191" s="12"/>
      <c r="E191" s="12" t="str">
        <f t="shared" ref="E191" si="120">TRIM(LEFT(F192,5))</f>
        <v> 2008</v>
      </c>
      <c r="F191" s="6" t="s">
        <v>1288</v>
      </c>
      <c r="G191" s="6" t="str">
        <f t="shared" ref="G191" si="121">+geturl(F191)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v>
      </c>
      <c r="H191" s="6"/>
      <c r="I191" s="6"/>
      <c r="J191" s="7"/>
      <c r="K191" s="7"/>
      <c r="L191" s="8"/>
      <c r="N191" s="8"/>
    </row>
    <row r="192" spans="4:16" s="9" customFormat="1" ht="14.25" customHeight="1">
      <c r="D192" s="12"/>
      <c r="F192" s="10" t="s">
        <v>1289</v>
      </c>
      <c r="G192" s="10"/>
      <c r="H192" s="10"/>
      <c r="I192" s="10"/>
      <c r="J192" s="10"/>
      <c r="K192" s="10"/>
      <c r="P192" s="8"/>
    </row>
    <row r="193" spans="4:16" s="9" customFormat="1" ht="14.25" customHeight="1">
      <c r="D193" s="11"/>
      <c r="P193" s="8"/>
    </row>
    <row r="194" spans="4:16" ht="14.25" customHeight="1">
      <c r="D194" s="1"/>
      <c r="E194" s="19" t="str">
        <f t="shared" ref="E194" si="122">TRIM(LEFT(F195,5))</f>
        <v> 2008</v>
      </c>
      <c r="F194" s="2" t="s">
        <v>1290</v>
      </c>
      <c r="G194" s="2" t="str">
        <f t="shared" ref="G194" si="123">+geturl(F194)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v>
      </c>
      <c r="H194" s="2"/>
      <c r="I194" s="2"/>
      <c r="J194" s="2"/>
      <c r="K194" s="2"/>
      <c r="P194" s="5"/>
    </row>
    <row r="195" spans="4:16" ht="14.25" customHeight="1">
      <c r="D195" s="1"/>
      <c r="E195" s="1"/>
      <c r="F195" s="3" t="s">
        <v>1282</v>
      </c>
      <c r="G195" s="3"/>
      <c r="H195" s="3"/>
      <c r="I195" s="3"/>
      <c r="J195" s="3"/>
      <c r="K195" s="3"/>
    </row>
    <row r="196" spans="4:16" ht="14.25" customHeight="1">
      <c r="D196" s="4"/>
    </row>
    <row r="197" spans="4:16" s="9" customFormat="1" ht="14.25" customHeight="1">
      <c r="D197" s="12"/>
      <c r="E197" s="12" t="str">
        <f t="shared" ref="E197" si="124">TRIM(LEFT(F198,5))</f>
        <v> 2008</v>
      </c>
      <c r="F197" s="6" t="s">
        <v>1291</v>
      </c>
      <c r="G197" s="6" t="str">
        <f t="shared" ref="G197" si="125">+geturl(F197)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v>
      </c>
      <c r="H197" s="6"/>
      <c r="I197" s="6"/>
      <c r="J197" s="7"/>
      <c r="K197" s="7"/>
      <c r="L197" s="8"/>
      <c r="N197" s="8"/>
    </row>
    <row r="198" spans="4:16" s="9" customFormat="1" ht="14.25" customHeight="1">
      <c r="D198" s="12"/>
      <c r="F198" s="10" t="s">
        <v>1292</v>
      </c>
      <c r="G198" s="10"/>
      <c r="H198" s="10"/>
      <c r="I198" s="10"/>
      <c r="J198" s="10"/>
      <c r="K198" s="10"/>
      <c r="P198" s="8"/>
    </row>
    <row r="199" spans="4:16" s="9" customFormat="1" ht="14.25" customHeight="1">
      <c r="D199" s="11"/>
      <c r="P199" s="8"/>
    </row>
    <row r="200" spans="4:16" ht="14.25" customHeight="1">
      <c r="D200" s="1"/>
      <c r="E200" s="19" t="str">
        <f t="shared" ref="E200" si="126">TRIM(LEFT(F201,5))</f>
        <v> 2008</v>
      </c>
      <c r="F200" s="2" t="s">
        <v>1293</v>
      </c>
      <c r="G200" s="2" t="str">
        <f t="shared" ref="G200" si="127">+geturl(F200)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v>
      </c>
      <c r="H200" s="2"/>
      <c r="I200" s="2"/>
      <c r="J200" s="2"/>
      <c r="K200" s="2"/>
      <c r="P200" s="5"/>
    </row>
    <row r="201" spans="4:16" ht="14.25" customHeight="1">
      <c r="D201" s="1"/>
      <c r="E201" s="1"/>
      <c r="F201" s="3" t="s">
        <v>1292</v>
      </c>
      <c r="G201" s="3"/>
      <c r="H201" s="3"/>
      <c r="I201" s="3"/>
      <c r="J201" s="3"/>
      <c r="K201" s="3"/>
    </row>
    <row r="202" spans="4:16" ht="14.25" customHeight="1">
      <c r="D202" s="4"/>
    </row>
    <row r="203" spans="4:16" s="9" customFormat="1" ht="14.25" customHeight="1">
      <c r="D203" s="12"/>
      <c r="E203" s="12" t="str">
        <f t="shared" ref="E203" si="128">TRIM(LEFT(F204,5))</f>
        <v> 2008</v>
      </c>
      <c r="F203" s="6" t="s">
        <v>1294</v>
      </c>
      <c r="G203" s="6" t="str">
        <f t="shared" ref="G203" si="129">+geturl(F203)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v>
      </c>
      <c r="H203" s="6"/>
      <c r="I203" s="6"/>
      <c r="J203" s="7"/>
      <c r="K203" s="7"/>
      <c r="L203" s="8"/>
      <c r="N203" s="8"/>
    </row>
    <row r="204" spans="4:16" s="9" customFormat="1" ht="14.25" customHeight="1">
      <c r="D204" s="12"/>
      <c r="F204" s="10" t="s">
        <v>1295</v>
      </c>
      <c r="G204" s="10"/>
      <c r="H204" s="10"/>
      <c r="I204" s="10"/>
      <c r="J204" s="10"/>
      <c r="K204" s="10"/>
      <c r="P204" s="8"/>
    </row>
    <row r="205" spans="4:16" s="9" customFormat="1" ht="14.25" customHeight="1">
      <c r="D205" s="11"/>
      <c r="P205" s="8"/>
    </row>
    <row r="206" spans="4:16" ht="14.25" customHeight="1">
      <c r="D206" s="1"/>
      <c r="E206" s="19" t="str">
        <f t="shared" ref="E206" si="130">TRIM(LEFT(F207,5))</f>
        <v> 2008</v>
      </c>
      <c r="F206" s="2" t="s">
        <v>1296</v>
      </c>
      <c r="G206" s="2" t="str">
        <f t="shared" ref="G206" si="131">+geturl(F206)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v>
      </c>
      <c r="H206" s="2"/>
      <c r="I206" s="2"/>
      <c r="J206" s="2"/>
      <c r="K206" s="2"/>
      <c r="P206" s="5"/>
    </row>
    <row r="207" spans="4:16" ht="14.25" customHeight="1">
      <c r="D207" s="1"/>
      <c r="E207" s="1"/>
      <c r="F207" s="3" t="s">
        <v>1295</v>
      </c>
      <c r="G207" s="3"/>
      <c r="H207" s="3"/>
      <c r="I207" s="3"/>
      <c r="J207" s="3"/>
      <c r="K207" s="3"/>
    </row>
    <row r="208" spans="4:16" ht="14.25" customHeight="1">
      <c r="D208" s="4"/>
    </row>
    <row r="209" spans="4:16" s="9" customFormat="1" ht="14.25" customHeight="1">
      <c r="D209" s="12"/>
      <c r="E209" s="12" t="str">
        <f t="shared" ref="E209" si="132">TRIM(LEFT(F210,5))</f>
        <v> 2008</v>
      </c>
      <c r="F209" s="6" t="s">
        <v>1297</v>
      </c>
      <c r="G209" s="6" t="str">
        <f t="shared" ref="G209" si="133">+geturl(F209)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v>
      </c>
      <c r="H209" s="6"/>
      <c r="I209" s="6"/>
      <c r="J209" s="7"/>
      <c r="K209" s="7"/>
      <c r="L209" s="8"/>
      <c r="N209" s="8"/>
    </row>
    <row r="210" spans="4:16" s="9" customFormat="1" ht="14.25" customHeight="1">
      <c r="D210" s="12"/>
      <c r="F210" s="10" t="s">
        <v>1292</v>
      </c>
      <c r="G210" s="10"/>
      <c r="H210" s="10"/>
      <c r="I210" s="10"/>
      <c r="J210" s="10"/>
      <c r="K210" s="10"/>
      <c r="P210" s="8"/>
    </row>
    <row r="211" spans="4:16" s="9" customFormat="1" ht="14.25" customHeight="1">
      <c r="D211" s="11"/>
      <c r="P211" s="8"/>
    </row>
    <row r="212" spans="4:16" ht="14.25" customHeight="1">
      <c r="D212" s="1"/>
      <c r="E212" s="19" t="str">
        <f t="shared" ref="E212" si="134">TRIM(LEFT(F213,5))</f>
        <v> 2008</v>
      </c>
      <c r="F212" s="2" t="s">
        <v>1298</v>
      </c>
      <c r="G212" s="2" t="str">
        <f t="shared" ref="G212" si="135">+geturl(F212)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v>
      </c>
      <c r="H212" s="2"/>
      <c r="I212" s="2"/>
      <c r="J212" s="2"/>
      <c r="K212" s="2"/>
      <c r="P212" s="5"/>
    </row>
    <row r="213" spans="4:16" ht="14.25" customHeight="1">
      <c r="D213" s="1"/>
      <c r="E213" s="1"/>
      <c r="F213" s="3" t="s">
        <v>1295</v>
      </c>
      <c r="G213" s="3"/>
      <c r="H213" s="3"/>
      <c r="I213" s="3"/>
      <c r="J213" s="3"/>
      <c r="K213" s="3"/>
    </row>
    <row r="214" spans="4:16" ht="14.25" customHeight="1">
      <c r="D214" s="4"/>
    </row>
    <row r="215" spans="4:16" s="9" customFormat="1" ht="14.25" customHeight="1">
      <c r="D215" s="12"/>
      <c r="E215" s="12" t="str">
        <f t="shared" ref="E215" si="136">TRIM(LEFT(F216,5))</f>
        <v> 2007</v>
      </c>
      <c r="F215" s="6" t="s">
        <v>1299</v>
      </c>
      <c r="G215" s="6" t="str">
        <f t="shared" ref="G215" si="137">+geturl(F215)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v>
      </c>
      <c r="H215" s="6"/>
      <c r="I215" s="6"/>
      <c r="J215" s="7"/>
      <c r="K215" s="7"/>
      <c r="L215" s="8"/>
      <c r="N215" s="8"/>
    </row>
    <row r="216" spans="4:16" s="9" customFormat="1" ht="14.25" customHeight="1">
      <c r="D216" s="12"/>
      <c r="F216" s="10" t="s">
        <v>1300</v>
      </c>
      <c r="G216" s="10"/>
      <c r="H216" s="10"/>
      <c r="I216" s="10"/>
      <c r="J216" s="10"/>
      <c r="K216" s="10"/>
      <c r="P216" s="8"/>
    </row>
    <row r="217" spans="4:16" s="9" customFormat="1" ht="14.25" customHeight="1">
      <c r="D217" s="11"/>
      <c r="P217" s="8"/>
    </row>
    <row r="218" spans="4:16" ht="14.25" customHeight="1">
      <c r="D218" s="1"/>
      <c r="E218" s="19" t="str">
        <f t="shared" ref="E218" si="138">TRIM(LEFT(F219,5))</f>
        <v> 2007</v>
      </c>
      <c r="F218" s="2" t="s">
        <v>1301</v>
      </c>
      <c r="G218" s="2" t="str">
        <f t="shared" ref="G218" si="139">+geturl(F218)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v>
      </c>
      <c r="H218" s="2"/>
      <c r="I218" s="2"/>
      <c r="J218" s="2"/>
      <c r="K218" s="2"/>
      <c r="P218" s="5"/>
    </row>
    <row r="219" spans="4:16" ht="14.25" customHeight="1">
      <c r="D219" s="1"/>
      <c r="E219" s="1"/>
      <c r="F219" s="3" t="s">
        <v>1302</v>
      </c>
      <c r="G219" s="3"/>
      <c r="H219" s="3"/>
      <c r="I219" s="3"/>
      <c r="J219" s="3"/>
      <c r="K219" s="3"/>
    </row>
    <row r="220" spans="4:16" ht="14.25" customHeight="1">
      <c r="D220" s="4"/>
    </row>
    <row r="221" spans="4:16" s="9" customFormat="1" ht="14.25" customHeight="1">
      <c r="D221" s="12"/>
      <c r="E221" s="12" t="str">
        <f t="shared" ref="E221" si="140">TRIM(LEFT(F222,5))</f>
        <v> 2007</v>
      </c>
      <c r="F221" s="6" t="s">
        <v>1303</v>
      </c>
      <c r="G221" s="6" t="str">
        <f t="shared" ref="G221" si="141">+geturl(F221)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v>
      </c>
      <c r="H221" s="6"/>
      <c r="I221" s="6"/>
      <c r="J221" s="7"/>
      <c r="K221" s="7"/>
      <c r="L221" s="8"/>
      <c r="N221" s="8"/>
    </row>
    <row r="222" spans="4:16" s="9" customFormat="1" ht="14.25" customHeight="1">
      <c r="D222" s="12"/>
      <c r="F222" s="10" t="s">
        <v>1304</v>
      </c>
      <c r="G222" s="10"/>
      <c r="H222" s="10"/>
      <c r="I222" s="10"/>
      <c r="J222" s="10"/>
      <c r="K222" s="10"/>
      <c r="P222" s="8"/>
    </row>
    <row r="223" spans="4:16" s="9" customFormat="1" ht="14.25" customHeight="1">
      <c r="D223" s="11"/>
      <c r="P223" s="8"/>
    </row>
    <row r="224" spans="4:16" ht="14.25" customHeight="1">
      <c r="D224" s="1"/>
      <c r="E224" s="19" t="str">
        <f t="shared" ref="E224" si="142">TRIM(LEFT(F225,5))</f>
        <v> 2007</v>
      </c>
      <c r="F224" s="2" t="s">
        <v>1305</v>
      </c>
      <c r="G224" s="2" t="str">
        <f t="shared" ref="G224" si="143">+geturl(F224)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v>
      </c>
      <c r="H224" s="2"/>
      <c r="I224" s="2"/>
      <c r="J224" s="2"/>
      <c r="K224" s="2"/>
      <c r="P224" s="5"/>
    </row>
    <row r="225" spans="4:16" ht="14.25" customHeight="1">
      <c r="D225" s="1"/>
      <c r="E225" s="1"/>
      <c r="F225" s="3" t="s">
        <v>1306</v>
      </c>
      <c r="G225" s="3"/>
      <c r="H225" s="3"/>
      <c r="I225" s="3"/>
      <c r="J225" s="3"/>
      <c r="K225" s="3"/>
    </row>
    <row r="226" spans="4:16" ht="14.25" customHeight="1">
      <c r="D226" s="4"/>
    </row>
    <row r="227" spans="4:16" s="9" customFormat="1" ht="14.25" customHeight="1">
      <c r="D227" s="12"/>
      <c r="E227" s="12" t="str">
        <f t="shared" ref="E227" si="144">TRIM(LEFT(F228,5))</f>
        <v> 2007</v>
      </c>
      <c r="F227" s="6" t="s">
        <v>1307</v>
      </c>
      <c r="G227" s="6" t="str">
        <f t="shared" ref="G227" si="145">+geturl(F227)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v>
      </c>
      <c r="H227" s="6"/>
      <c r="I227" s="6"/>
      <c r="J227" s="7"/>
      <c r="K227" s="7"/>
      <c r="L227" s="8"/>
      <c r="N227" s="8"/>
    </row>
    <row r="228" spans="4:16" s="9" customFormat="1" ht="14.25" customHeight="1">
      <c r="D228" s="12"/>
      <c r="F228" s="10" t="s">
        <v>1308</v>
      </c>
      <c r="G228" s="10"/>
      <c r="H228" s="10"/>
      <c r="I228" s="10"/>
      <c r="J228" s="10"/>
      <c r="K228" s="10"/>
      <c r="P228" s="8"/>
    </row>
    <row r="229" spans="4:16" s="9" customFormat="1" ht="14.25" customHeight="1">
      <c r="D229" s="11"/>
      <c r="P229" s="8"/>
    </row>
    <row r="230" spans="4:16" ht="14.25" customHeight="1">
      <c r="D230" s="1"/>
      <c r="E230" s="19" t="str">
        <f t="shared" ref="E230" si="146">TRIM(LEFT(F231,5))</f>
        <v> 2006</v>
      </c>
      <c r="F230" s="2" t="s">
        <v>1309</v>
      </c>
      <c r="G230" s="2" t="str">
        <f t="shared" ref="G230" si="147">+geturl(F230)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v>
      </c>
      <c r="H230" s="2"/>
      <c r="I230" s="2"/>
      <c r="J230" s="2"/>
      <c r="K230" s="2"/>
      <c r="P230" s="5"/>
    </row>
    <row r="231" spans="4:16" ht="14.25" customHeight="1">
      <c r="D231" s="1"/>
      <c r="E231" s="1"/>
      <c r="F231" s="3" t="s">
        <v>1310</v>
      </c>
      <c r="G231" s="3"/>
      <c r="H231" s="3"/>
      <c r="I231" s="3"/>
      <c r="J231" s="3"/>
      <c r="K231" s="3"/>
    </row>
    <row r="232" spans="4:16" ht="14.25" customHeight="1">
      <c r="D232" s="4"/>
    </row>
    <row r="233" spans="4:16" s="9" customFormat="1" ht="14.25" customHeight="1">
      <c r="D233" s="12"/>
      <c r="E233" s="12" t="str">
        <f t="shared" ref="E233" si="148">TRIM(LEFT(F234,5))</f>
        <v> 2006</v>
      </c>
      <c r="F233" s="6" t="s">
        <v>1311</v>
      </c>
      <c r="G233" s="6" t="str">
        <f t="shared" ref="G233" si="149">+geturl(F233)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v>
      </c>
      <c r="H233" s="6"/>
      <c r="I233" s="6"/>
      <c r="J233" s="7"/>
      <c r="K233" s="7"/>
      <c r="L233" s="8"/>
      <c r="N233" s="8"/>
    </row>
    <row r="234" spans="4:16" s="9" customFormat="1" ht="14.25" customHeight="1">
      <c r="D234" s="12"/>
      <c r="F234" s="10" t="s">
        <v>1312</v>
      </c>
      <c r="G234" s="10"/>
      <c r="H234" s="10"/>
      <c r="I234" s="10"/>
      <c r="J234" s="10"/>
      <c r="K234" s="10"/>
      <c r="P234" s="8"/>
    </row>
    <row r="235" spans="4:16" s="9" customFormat="1" ht="14.25" customHeight="1">
      <c r="D235" s="11"/>
      <c r="P235" s="8"/>
    </row>
    <row r="236" spans="4:16" ht="14.25" customHeight="1">
      <c r="D236" s="1"/>
      <c r="E236" s="19" t="str">
        <f t="shared" ref="E236" si="150">TRIM(LEFT(F237,5))</f>
        <v> 2006</v>
      </c>
      <c r="F236" s="2" t="s">
        <v>1313</v>
      </c>
      <c r="G236" s="2" t="str">
        <f t="shared" ref="G236" si="151">+geturl(F236)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v>
      </c>
      <c r="H236" s="2"/>
      <c r="I236" s="2"/>
      <c r="J236" s="2"/>
      <c r="K236" s="2"/>
      <c r="P236" s="5"/>
    </row>
    <row r="237" spans="4:16" ht="14.25" customHeight="1">
      <c r="D237" s="1"/>
      <c r="E237" s="1"/>
      <c r="F237" s="3" t="s">
        <v>1314</v>
      </c>
      <c r="G237" s="3"/>
      <c r="H237" s="3"/>
      <c r="I237" s="3"/>
      <c r="J237" s="3"/>
      <c r="K237" s="3"/>
    </row>
    <row r="238" spans="4:16" ht="14.25" customHeight="1">
      <c r="D238" s="4"/>
    </row>
    <row r="239" spans="4:16" s="9" customFormat="1" ht="14.25" customHeight="1">
      <c r="D239" s="12"/>
      <c r="E239" s="12" t="str">
        <f t="shared" ref="E239" si="152">TRIM(LEFT(F240,5))</f>
        <v> 2006</v>
      </c>
      <c r="F239" s="6" t="s">
        <v>1315</v>
      </c>
      <c r="G239" s="6" t="str">
        <f t="shared" ref="G239" si="153">+geturl(F239)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v>
      </c>
      <c r="H239" s="6"/>
      <c r="I239" s="6"/>
      <c r="J239" s="7"/>
      <c r="K239" s="7"/>
      <c r="L239" s="8"/>
      <c r="N239" s="8"/>
    </row>
    <row r="240" spans="4:16" s="9" customFormat="1" ht="14.25" customHeight="1">
      <c r="D240" s="12"/>
      <c r="F240" s="10" t="s">
        <v>1316</v>
      </c>
      <c r="G240" s="10"/>
      <c r="H240" s="10"/>
      <c r="I240" s="10"/>
      <c r="J240" s="10"/>
      <c r="K240" s="10"/>
      <c r="P240" s="8"/>
    </row>
    <row r="241" spans="4:16" s="9" customFormat="1" ht="14.25" customHeight="1">
      <c r="D241" s="11"/>
      <c r="P241" s="8"/>
    </row>
    <row r="242" spans="4:16" ht="14.25" customHeight="1">
      <c r="D242" s="1"/>
      <c r="E242" s="19" t="str">
        <f t="shared" ref="E242" si="154">TRIM(LEFT(F243,5))</f>
        <v> 2006</v>
      </c>
      <c r="F242" s="2" t="s">
        <v>1317</v>
      </c>
      <c r="G242" s="2" t="str">
        <f t="shared" ref="G242" si="155">+geturl(F242)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v>
      </c>
      <c r="H242" s="2"/>
      <c r="I242" s="2"/>
      <c r="J242" s="2"/>
      <c r="K242" s="2"/>
      <c r="P242" s="5"/>
    </row>
    <row r="243" spans="4:16" ht="14.25" customHeight="1">
      <c r="D243" s="1"/>
      <c r="E243" s="1"/>
      <c r="F243" s="3" t="s">
        <v>1310</v>
      </c>
      <c r="G243" s="3"/>
      <c r="H243" s="3"/>
      <c r="I243" s="3"/>
      <c r="J243" s="3"/>
      <c r="K243" s="3"/>
    </row>
    <row r="244" spans="4:16" ht="14.25" customHeight="1">
      <c r="D244" s="4"/>
    </row>
    <row r="245" spans="4:16" s="9" customFormat="1" ht="14.25" customHeight="1">
      <c r="D245" s="12"/>
      <c r="E245" s="12" t="str">
        <f t="shared" ref="E245" si="156">TRIM(LEFT(F246,5))</f>
        <v> 2006</v>
      </c>
      <c r="F245" s="6" t="s">
        <v>1318</v>
      </c>
      <c r="G245" s="6" t="str">
        <f t="shared" ref="G245" si="157">+geturl(F245)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v>
      </c>
      <c r="H245" s="6"/>
      <c r="I245" s="6"/>
      <c r="J245" s="7"/>
      <c r="K245" s="7"/>
      <c r="L245" s="8"/>
      <c r="N245" s="8"/>
    </row>
    <row r="246" spans="4:16" s="9" customFormat="1" ht="14.25" customHeight="1">
      <c r="D246" s="12"/>
      <c r="F246" s="10" t="s">
        <v>1310</v>
      </c>
      <c r="G246" s="10"/>
      <c r="H246" s="10"/>
      <c r="I246" s="10"/>
      <c r="J246" s="10"/>
      <c r="K246" s="10"/>
      <c r="P246" s="8"/>
    </row>
    <row r="247" spans="4:16" s="9" customFormat="1" ht="14.25" customHeight="1">
      <c r="D247" s="11"/>
      <c r="P247" s="8"/>
    </row>
    <row r="248" spans="4:16" ht="14.25" customHeight="1">
      <c r="D248" s="1"/>
      <c r="E248" s="19" t="str">
        <f t="shared" ref="E248" si="158">TRIM(LEFT(F249,5))</f>
        <v> 2006</v>
      </c>
      <c r="F248" s="2" t="s">
        <v>1319</v>
      </c>
      <c r="G248" s="2" t="str">
        <f t="shared" ref="G248" si="159">+geturl(F248)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v>
      </c>
      <c r="H248" s="2"/>
      <c r="I248" s="2"/>
      <c r="J248" s="2"/>
      <c r="K248" s="2"/>
      <c r="P248" s="5"/>
    </row>
    <row r="249" spans="4:16" ht="14.25" customHeight="1">
      <c r="D249" s="1"/>
      <c r="E249" s="1"/>
      <c r="F249" s="3" t="s">
        <v>1312</v>
      </c>
      <c r="G249" s="3"/>
      <c r="H249" s="3"/>
      <c r="I249" s="3"/>
      <c r="J249" s="3"/>
      <c r="K249" s="3"/>
    </row>
    <row r="250" spans="4:16" ht="14.25" customHeight="1">
      <c r="D250" s="4"/>
    </row>
    <row r="251" spans="4:16" s="9" customFormat="1" ht="14.25" customHeight="1">
      <c r="D251" s="12"/>
      <c r="E251" s="12" t="str">
        <f t="shared" ref="E251" si="160">TRIM(LEFT(F252,5))</f>
        <v> 2006</v>
      </c>
      <c r="F251" s="6" t="s">
        <v>1320</v>
      </c>
      <c r="G251" s="6" t="str">
        <f t="shared" ref="G251" si="161">+geturl(F251)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v>
      </c>
      <c r="H251" s="6"/>
      <c r="I251" s="6"/>
      <c r="J251" s="7"/>
      <c r="K251" s="7"/>
      <c r="L251" s="8"/>
      <c r="N251" s="8"/>
    </row>
    <row r="252" spans="4:16" s="9" customFormat="1" ht="14.25" customHeight="1">
      <c r="D252" s="12"/>
      <c r="F252" s="10" t="s">
        <v>1321</v>
      </c>
      <c r="G252" s="10"/>
      <c r="H252" s="10"/>
      <c r="I252" s="10"/>
      <c r="J252" s="10"/>
      <c r="K252" s="10"/>
      <c r="P252" s="8"/>
    </row>
    <row r="253" spans="4:16" s="9" customFormat="1" ht="14.25" customHeight="1">
      <c r="D253" s="11"/>
      <c r="P253" s="8"/>
    </row>
    <row r="254" spans="4:16" ht="14.25" customHeight="1">
      <c r="D254" s="1"/>
      <c r="E254" s="19" t="str">
        <f t="shared" ref="E254" si="162">TRIM(LEFT(F255,5))</f>
        <v> 2006</v>
      </c>
      <c r="F254" s="2" t="s">
        <v>1322</v>
      </c>
      <c r="G254" s="2" t="str">
        <f t="shared" ref="G254" si="163">+geturl(F254)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v>
      </c>
      <c r="H254" s="2"/>
      <c r="I254" s="2"/>
      <c r="J254" s="2"/>
      <c r="K254" s="2"/>
      <c r="P254" s="5"/>
    </row>
    <row r="255" spans="4:16" ht="14.25" customHeight="1">
      <c r="D255" s="1"/>
      <c r="E255" s="1"/>
      <c r="F255" s="3" t="s">
        <v>1314</v>
      </c>
      <c r="G255" s="3"/>
      <c r="H255" s="3"/>
      <c r="I255" s="3"/>
      <c r="J255" s="3"/>
      <c r="K255" s="3"/>
    </row>
    <row r="256" spans="4:16" ht="14.25" customHeight="1">
      <c r="D256" s="4"/>
    </row>
    <row r="257" spans="4:16" s="9" customFormat="1" ht="14.25" customHeight="1">
      <c r="D257" s="12"/>
      <c r="E257" s="12" t="str">
        <f t="shared" ref="E257" si="164">TRIM(LEFT(F258,5))</f>
        <v> 2006</v>
      </c>
      <c r="F257" s="6" t="s">
        <v>1323</v>
      </c>
      <c r="G257" s="6" t="str">
        <f t="shared" ref="G257" si="165">+geturl(F257)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v>
      </c>
      <c r="H257" s="6"/>
      <c r="I257" s="6"/>
      <c r="J257" s="7"/>
      <c r="K257" s="7"/>
      <c r="L257" s="8"/>
      <c r="N257" s="8"/>
    </row>
    <row r="258" spans="4:16" s="9" customFormat="1" ht="14.25" customHeight="1">
      <c r="D258" s="12"/>
      <c r="F258" s="10" t="s">
        <v>1316</v>
      </c>
      <c r="G258" s="10"/>
      <c r="H258" s="10"/>
      <c r="I258" s="10"/>
      <c r="J258" s="10"/>
      <c r="K258" s="10"/>
      <c r="P258" s="8"/>
    </row>
    <row r="259" spans="4:16" s="9" customFormat="1" ht="14.25" customHeight="1">
      <c r="D259" s="11"/>
      <c r="P259" s="8"/>
    </row>
    <row r="260" spans="4:16" ht="14.25" customHeight="1">
      <c r="D260" s="1"/>
      <c r="E260" s="19" t="str">
        <f t="shared" ref="E260" si="166">TRIM(LEFT(F261,5))</f>
        <v> 2006</v>
      </c>
      <c r="F260" s="2" t="s">
        <v>1324</v>
      </c>
      <c r="G260" s="2" t="str">
        <f t="shared" ref="G260" si="167">+geturl(F260)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v>
      </c>
      <c r="H260" s="2"/>
      <c r="I260" s="2"/>
      <c r="J260" s="2"/>
      <c r="K260" s="2"/>
      <c r="P260" s="5"/>
    </row>
    <row r="261" spans="4:16" ht="14.25" customHeight="1">
      <c r="D261" s="1"/>
      <c r="E261" s="1"/>
      <c r="F261" s="3" t="s">
        <v>1310</v>
      </c>
      <c r="G261" s="3"/>
      <c r="H261" s="3"/>
      <c r="I261" s="3"/>
      <c r="J261" s="3"/>
      <c r="K261" s="3"/>
    </row>
    <row r="262" spans="4:16" ht="14.25" customHeight="1">
      <c r="D262" s="4"/>
    </row>
    <row r="263" spans="4:16" s="9" customFormat="1" ht="14.25" customHeight="1">
      <c r="D263" s="12"/>
      <c r="E263" s="12" t="str">
        <f t="shared" ref="E263" si="168">TRIM(LEFT(F264,5))</f>
        <v> 2006</v>
      </c>
      <c r="F263" s="6" t="s">
        <v>1325</v>
      </c>
      <c r="G263" s="6" t="str">
        <f t="shared" ref="G263" si="169">+geturl(F263)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v>
      </c>
      <c r="H263" s="6"/>
      <c r="I263" s="6"/>
      <c r="J263" s="7"/>
      <c r="K263" s="7"/>
      <c r="L263" s="8"/>
      <c r="N263" s="8"/>
    </row>
    <row r="264" spans="4:16" s="9" customFormat="1" ht="14.25" customHeight="1">
      <c r="D264" s="12"/>
      <c r="F264" s="10" t="s">
        <v>1316</v>
      </c>
      <c r="G264" s="10"/>
      <c r="H264" s="10"/>
      <c r="I264" s="10"/>
      <c r="J264" s="10"/>
      <c r="K264" s="10"/>
      <c r="P264" s="8"/>
    </row>
    <row r="265" spans="4:16" s="9" customFormat="1" ht="14.25" customHeight="1">
      <c r="D265" s="11"/>
      <c r="P265" s="8"/>
    </row>
    <row r="266" spans="4:16" ht="14.25" customHeight="1">
      <c r="D266" s="1"/>
      <c r="E266" s="19" t="str">
        <f t="shared" ref="E266" si="170">TRIM(LEFT(F267,5))</f>
        <v> 2006</v>
      </c>
      <c r="F266" s="2" t="s">
        <v>893</v>
      </c>
      <c r="G266" s="2" t="str">
        <f t="shared" ref="G266" si="171">+geturl(F266)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v>
      </c>
      <c r="H266" s="2"/>
      <c r="I266" s="2"/>
      <c r="J266" s="2"/>
      <c r="K266" s="2"/>
      <c r="P266" s="5"/>
    </row>
    <row r="267" spans="4:16" ht="14.25" customHeight="1">
      <c r="D267" s="1"/>
      <c r="E267" s="1"/>
      <c r="F267" s="3" t="s">
        <v>1321</v>
      </c>
      <c r="G267" s="3"/>
      <c r="H267" s="3"/>
      <c r="I267" s="3"/>
      <c r="J267" s="3"/>
      <c r="K267" s="3"/>
    </row>
    <row r="268" spans="4:16" ht="14.25" customHeight="1">
      <c r="D268" s="4"/>
    </row>
    <row r="269" spans="4:16" s="9" customFormat="1" ht="14.25" customHeight="1">
      <c r="D269" s="12"/>
      <c r="E269" s="12" t="str">
        <f t="shared" ref="E269" si="172">TRIM(LEFT(F270,5))</f>
        <v> 2006</v>
      </c>
      <c r="F269" s="6" t="s">
        <v>1326</v>
      </c>
      <c r="G269" s="6" t="str">
        <f t="shared" ref="G269" si="173">+geturl(F269)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v>
      </c>
      <c r="H269" s="6"/>
      <c r="I269" s="6"/>
      <c r="J269" s="7"/>
      <c r="K269" s="7"/>
      <c r="L269" s="8"/>
      <c r="N269" s="8"/>
    </row>
    <row r="270" spans="4:16" s="9" customFormat="1" ht="14.25" customHeight="1">
      <c r="D270" s="12"/>
      <c r="F270" s="10" t="s">
        <v>1321</v>
      </c>
      <c r="G270" s="10"/>
      <c r="H270" s="10"/>
      <c r="I270" s="10"/>
      <c r="J270" s="10"/>
      <c r="K270" s="10"/>
      <c r="P270" s="8"/>
    </row>
    <row r="271" spans="4:16" s="9" customFormat="1" ht="14.25" customHeight="1">
      <c r="D271" s="11"/>
      <c r="P271" s="8"/>
    </row>
    <row r="272" spans="4:16" ht="14.25" customHeight="1">
      <c r="D272" s="1"/>
      <c r="E272" s="19" t="str">
        <f t="shared" ref="E272" si="174">TRIM(LEFT(F273,5))</f>
        <v> 2006</v>
      </c>
      <c r="F272" s="2" t="s">
        <v>1327</v>
      </c>
      <c r="G272" s="2" t="str">
        <f t="shared" ref="G272" si="175">+geturl(F272)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v>
      </c>
      <c r="H272" s="2"/>
      <c r="I272" s="2"/>
      <c r="J272" s="2"/>
      <c r="K272" s="2"/>
      <c r="P272" s="5"/>
    </row>
    <row r="273" spans="4:16" ht="14.25" customHeight="1">
      <c r="D273" s="1"/>
      <c r="E273" s="1"/>
      <c r="F273" s="3" t="s">
        <v>1310</v>
      </c>
      <c r="G273" s="3"/>
      <c r="H273" s="3"/>
      <c r="I273" s="3"/>
      <c r="J273" s="3"/>
      <c r="K273" s="3"/>
    </row>
    <row r="274" spans="4:16" ht="14.25" customHeight="1">
      <c r="D274" s="4"/>
    </row>
    <row r="275" spans="4:16" s="9" customFormat="1" ht="14.25" customHeight="1">
      <c r="D275" s="12"/>
      <c r="E275" s="12" t="str">
        <f t="shared" ref="E275" si="176">TRIM(LEFT(F276,5))</f>
        <v> 2006</v>
      </c>
      <c r="F275" s="6" t="s">
        <v>1328</v>
      </c>
      <c r="G275" s="6" t="str">
        <f t="shared" ref="G275" si="177">+geturl(F275)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v>
      </c>
      <c r="H275" s="6"/>
      <c r="I275" s="6"/>
      <c r="J275" s="7"/>
      <c r="K275" s="7"/>
      <c r="L275" s="8"/>
      <c r="N275" s="8"/>
    </row>
    <row r="276" spans="4:16" s="9" customFormat="1" ht="14.25" customHeight="1">
      <c r="D276" s="12"/>
      <c r="F276" s="10" t="s">
        <v>1312</v>
      </c>
      <c r="G276" s="10"/>
      <c r="H276" s="10"/>
      <c r="I276" s="10"/>
      <c r="J276" s="10"/>
      <c r="K276" s="10"/>
      <c r="P276" s="8"/>
    </row>
    <row r="277" spans="4:16" s="9" customFormat="1" ht="14.25" customHeight="1">
      <c r="D277" s="11"/>
      <c r="P277" s="8"/>
    </row>
    <row r="278" spans="4:16" ht="14.25" customHeight="1">
      <c r="D278" s="1"/>
      <c r="E278" s="19" t="str">
        <f t="shared" ref="E278" si="178">TRIM(LEFT(F279,5))</f>
        <v> 2006</v>
      </c>
      <c r="F278" s="2" t="s">
        <v>1329</v>
      </c>
      <c r="G278" s="2" t="str">
        <f t="shared" ref="G278" si="179">+geturl(F278)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v>
      </c>
      <c r="H278" s="2"/>
      <c r="I278" s="2"/>
      <c r="J278" s="2"/>
      <c r="K278" s="2"/>
      <c r="P278" s="5"/>
    </row>
    <row r="279" spans="4:16" ht="14.25" customHeight="1">
      <c r="D279" s="1"/>
      <c r="E279" s="1"/>
      <c r="F279" s="3" t="s">
        <v>1312</v>
      </c>
      <c r="G279" s="3"/>
      <c r="H279" s="3"/>
      <c r="I279" s="3"/>
      <c r="J279" s="3"/>
      <c r="K279" s="3"/>
    </row>
    <row r="280" spans="4:16" ht="14.25" customHeight="1">
      <c r="D280" s="4"/>
    </row>
    <row r="281" spans="4:16" s="9" customFormat="1" ht="14.25" customHeight="1">
      <c r="D281" s="12"/>
      <c r="E281" s="12" t="str">
        <f t="shared" ref="E281" si="180">TRIM(LEFT(F282,5))</f>
        <v> 2006</v>
      </c>
      <c r="F281" s="6" t="s">
        <v>1330</v>
      </c>
      <c r="G281" s="6" t="str">
        <f t="shared" ref="G281" si="181">+geturl(F281)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v>
      </c>
      <c r="H281" s="6"/>
      <c r="I281" s="6"/>
      <c r="J281" s="7"/>
      <c r="K281" s="7"/>
      <c r="L281" s="8"/>
      <c r="N281" s="8"/>
    </row>
    <row r="282" spans="4:16" s="9" customFormat="1" ht="14.25" customHeight="1">
      <c r="D282" s="12"/>
      <c r="F282" s="10" t="s">
        <v>1331</v>
      </c>
      <c r="G282" s="10"/>
      <c r="H282" s="10"/>
      <c r="I282" s="10"/>
      <c r="J282" s="10"/>
      <c r="K282" s="10"/>
      <c r="P282" s="8"/>
    </row>
    <row r="283" spans="4:16" s="9" customFormat="1" ht="14.25" customHeight="1">
      <c r="D283" s="11"/>
      <c r="P283" s="8"/>
    </row>
    <row r="284" spans="4:16" ht="14.25" customHeight="1">
      <c r="D284" s="1"/>
      <c r="E284" s="19" t="str">
        <f t="shared" ref="E284" si="182">TRIM(LEFT(F285,5))</f>
        <v> 2006</v>
      </c>
      <c r="F284" s="2" t="s">
        <v>1332</v>
      </c>
      <c r="G284" s="2" t="str">
        <f t="shared" ref="G284" si="183">+geturl(F284)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v>
      </c>
      <c r="H284" s="2"/>
      <c r="I284" s="2"/>
      <c r="J284" s="2"/>
      <c r="K284" s="2"/>
      <c r="P284" s="5"/>
    </row>
    <row r="285" spans="4:16" ht="14.25" customHeight="1">
      <c r="D285" s="1"/>
      <c r="E285" s="1"/>
      <c r="F285" s="3" t="s">
        <v>1316</v>
      </c>
      <c r="G285" s="3"/>
      <c r="H285" s="3"/>
      <c r="I285" s="3"/>
      <c r="J285" s="3"/>
      <c r="K285" s="3"/>
    </row>
    <row r="286" spans="4:16" ht="14.25" customHeight="1">
      <c r="D286" s="4"/>
    </row>
    <row r="287" spans="4:16" s="9" customFormat="1" ht="14.25" customHeight="1">
      <c r="D287" s="12"/>
      <c r="E287" s="12" t="str">
        <f t="shared" ref="E287" si="184">TRIM(LEFT(F288,5))</f>
        <v> 2006</v>
      </c>
      <c r="F287" s="6" t="s">
        <v>1333</v>
      </c>
      <c r="G287" s="6" t="str">
        <f t="shared" ref="G287" si="185">+geturl(F287)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v>
      </c>
      <c r="H287" s="6"/>
      <c r="I287" s="6"/>
      <c r="J287" s="7"/>
      <c r="K287" s="7"/>
      <c r="L287" s="8"/>
      <c r="N287" s="8"/>
    </row>
    <row r="288" spans="4:16" s="9" customFormat="1" ht="14.25" customHeight="1">
      <c r="D288" s="12"/>
      <c r="F288" s="10" t="s">
        <v>1316</v>
      </c>
      <c r="G288" s="10"/>
      <c r="H288" s="10"/>
      <c r="I288" s="10"/>
      <c r="J288" s="10"/>
      <c r="K288" s="10"/>
      <c r="P288" s="8"/>
    </row>
    <row r="289" spans="4:16" s="9" customFormat="1" ht="14.25" customHeight="1">
      <c r="D289" s="11"/>
      <c r="P289" s="8"/>
    </row>
    <row r="290" spans="4:16" ht="14.25" customHeight="1">
      <c r="D290" s="1"/>
      <c r="E290" s="19" t="str">
        <f t="shared" ref="E290" si="186">TRIM(LEFT(F291,5))</f>
        <v> 2006</v>
      </c>
      <c r="F290" s="2" t="s">
        <v>1334</v>
      </c>
      <c r="G290" s="2" t="str">
        <f t="shared" ref="G290" si="187">+geturl(F290)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v>
      </c>
      <c r="H290" s="2"/>
      <c r="I290" s="2"/>
      <c r="J290" s="2"/>
      <c r="K290" s="2"/>
      <c r="P290" s="5"/>
    </row>
    <row r="291" spans="4:16" ht="14.25" customHeight="1">
      <c r="D291" s="1"/>
      <c r="E291" s="1"/>
      <c r="F291" s="3" t="s">
        <v>1331</v>
      </c>
      <c r="G291" s="3"/>
      <c r="H291" s="3"/>
      <c r="I291" s="3"/>
      <c r="J291" s="3"/>
      <c r="K291" s="3"/>
    </row>
    <row r="292" spans="4:16" ht="14.25" customHeight="1">
      <c r="D292" s="4"/>
    </row>
    <row r="293" spans="4:16" s="9" customFormat="1" ht="14.25" customHeight="1">
      <c r="D293" s="12"/>
      <c r="E293" s="12" t="str">
        <f t="shared" ref="E293" si="188">TRIM(LEFT(F294,5))</f>
        <v> 2006</v>
      </c>
      <c r="F293" s="6" t="s">
        <v>1335</v>
      </c>
      <c r="G293" s="6" t="str">
        <f t="shared" ref="G293" si="189">+geturl(F293)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v>
      </c>
      <c r="H293" s="6"/>
      <c r="I293" s="6"/>
      <c r="J293" s="7"/>
      <c r="K293" s="7"/>
      <c r="L293" s="8"/>
      <c r="N293" s="8"/>
    </row>
    <row r="294" spans="4:16" s="9" customFormat="1" ht="14.25" customHeight="1">
      <c r="D294" s="12"/>
      <c r="F294" s="10" t="s">
        <v>1314</v>
      </c>
      <c r="G294" s="10"/>
      <c r="H294" s="10"/>
      <c r="I294" s="10"/>
      <c r="J294" s="10"/>
      <c r="K294" s="10"/>
      <c r="P294" s="8"/>
    </row>
    <row r="295" spans="4:16" s="9" customFormat="1" ht="14.25" customHeight="1">
      <c r="D295" s="11"/>
      <c r="P295" s="8"/>
    </row>
    <row r="296" spans="4:16" ht="14.25" customHeight="1">
      <c r="D296" s="1"/>
      <c r="E296" s="19" t="str">
        <f t="shared" ref="E296" si="190">TRIM(LEFT(F297,5))</f>
        <v> 2006</v>
      </c>
      <c r="F296" s="2" t="s">
        <v>1336</v>
      </c>
      <c r="G296" s="2" t="str">
        <f t="shared" ref="G296" si="191">+geturl(F296)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v>
      </c>
      <c r="H296" s="2"/>
      <c r="I296" s="2"/>
      <c r="J296" s="2"/>
      <c r="K296" s="2"/>
      <c r="P296" s="5"/>
    </row>
    <row r="297" spans="4:16" ht="14.25" customHeight="1">
      <c r="D297" s="1"/>
      <c r="E297" s="1"/>
      <c r="F297" s="3" t="s">
        <v>1312</v>
      </c>
      <c r="G297" s="3"/>
      <c r="H297" s="3"/>
      <c r="I297" s="3"/>
      <c r="J297" s="3"/>
      <c r="K297" s="3"/>
    </row>
    <row r="298" spans="4:16" ht="14.25" customHeight="1">
      <c r="D298" s="4"/>
    </row>
    <row r="299" spans="4:16" s="9" customFormat="1" ht="14.25" customHeight="1">
      <c r="D299" s="12"/>
      <c r="E299" s="12" t="str">
        <f t="shared" ref="E299" si="192">TRIM(LEFT(F300,5))</f>
        <v> 2006</v>
      </c>
      <c r="F299" s="6" t="s">
        <v>1337</v>
      </c>
      <c r="G299" s="6" t="str">
        <f t="shared" ref="G299" si="193">+geturl(F299)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v>
      </c>
      <c r="H299" s="6"/>
      <c r="I299" s="6"/>
      <c r="J299" s="7"/>
      <c r="K299" s="7"/>
      <c r="L299" s="8"/>
      <c r="N299" s="8"/>
    </row>
    <row r="300" spans="4:16" s="9" customFormat="1" ht="14.25" customHeight="1">
      <c r="D300" s="12"/>
      <c r="F300" s="10" t="s">
        <v>1331</v>
      </c>
      <c r="G300" s="10"/>
      <c r="H300" s="10"/>
      <c r="I300" s="10"/>
      <c r="J300" s="10"/>
      <c r="K300" s="10"/>
      <c r="P300" s="8"/>
    </row>
    <row r="301" spans="4:16" s="9" customFormat="1" ht="14.25" customHeight="1">
      <c r="D301" s="11"/>
      <c r="P301" s="8"/>
    </row>
    <row r="302" spans="4:16" ht="14.25" customHeight="1">
      <c r="D302" s="1"/>
      <c r="E302" s="19" t="str">
        <f t="shared" ref="E302" si="194">TRIM(LEFT(F303,5))</f>
        <v> 2006</v>
      </c>
      <c r="F302" s="2" t="s">
        <v>1338</v>
      </c>
      <c r="G302" s="2" t="str">
        <f t="shared" ref="G302" si="195">+geturl(F302)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v>
      </c>
      <c r="H302" s="2"/>
      <c r="I302" s="2"/>
      <c r="J302" s="2"/>
      <c r="K302" s="2"/>
      <c r="P302" s="5"/>
    </row>
    <row r="303" spans="4:16" ht="14.25" customHeight="1">
      <c r="D303" s="1"/>
      <c r="E303" s="1"/>
      <c r="F303" s="3" t="s">
        <v>1331</v>
      </c>
      <c r="G303" s="3"/>
      <c r="H303" s="3"/>
      <c r="I303" s="3"/>
      <c r="J303" s="3"/>
      <c r="K303" s="3"/>
    </row>
    <row r="304" spans="4:16" ht="14.25" customHeight="1">
      <c r="D304" s="4"/>
    </row>
    <row r="305" spans="4:16" s="9" customFormat="1" ht="14.25" customHeight="1">
      <c r="D305" s="12"/>
      <c r="E305" s="12" t="str">
        <f t="shared" ref="E305" si="196">TRIM(LEFT(F306,5))</f>
        <v> 2006</v>
      </c>
      <c r="F305" s="6" t="s">
        <v>1339</v>
      </c>
      <c r="G305" s="6" t="str">
        <f t="shared" ref="G305" si="197">+geturl(F305)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v>
      </c>
      <c r="H305" s="6"/>
      <c r="I305" s="6"/>
      <c r="J305" s="7"/>
      <c r="K305" s="7"/>
      <c r="L305" s="8"/>
      <c r="N305" s="8"/>
    </row>
    <row r="306" spans="4:16" s="9" customFormat="1" ht="14.25" customHeight="1">
      <c r="D306" s="12"/>
      <c r="F306" s="10" t="s">
        <v>1316</v>
      </c>
      <c r="G306" s="10"/>
      <c r="H306" s="10"/>
      <c r="I306" s="10"/>
      <c r="J306" s="10"/>
      <c r="K306" s="10"/>
      <c r="P306" s="8"/>
    </row>
    <row r="307" spans="4:16" s="9" customFormat="1" ht="14.25" customHeight="1">
      <c r="D307" s="11"/>
      <c r="P307" s="8"/>
    </row>
    <row r="308" spans="4:16" ht="14.25" customHeight="1">
      <c r="D308" s="1"/>
      <c r="E308" s="19" t="str">
        <f t="shared" ref="E308" si="198">TRIM(LEFT(F309,5))</f>
        <v> 2006</v>
      </c>
      <c r="F308" s="2" t="s">
        <v>1340</v>
      </c>
      <c r="G308" s="2" t="str">
        <f t="shared" ref="G308" si="199">+geturl(F308)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v>
      </c>
      <c r="H308" s="2"/>
      <c r="I308" s="2"/>
      <c r="J308" s="2"/>
      <c r="K308" s="2"/>
      <c r="P308" s="5"/>
    </row>
    <row r="309" spans="4:16" ht="14.25" customHeight="1">
      <c r="D309" s="1"/>
      <c r="E309" s="1"/>
      <c r="F309" s="3" t="s">
        <v>1312</v>
      </c>
      <c r="G309" s="3"/>
      <c r="H309" s="3"/>
      <c r="I309" s="3"/>
      <c r="J309" s="3"/>
      <c r="K309" s="3"/>
    </row>
    <row r="310" spans="4:16" ht="14.25" customHeight="1">
      <c r="D310" s="4"/>
    </row>
    <row r="311" spans="4:16" s="9" customFormat="1" ht="14.25" customHeight="1">
      <c r="D311" s="12"/>
      <c r="E311" s="12" t="str">
        <f t="shared" ref="E311" si="200">TRIM(LEFT(F312,5))</f>
        <v> 2006</v>
      </c>
      <c r="F311" s="6" t="s">
        <v>1341</v>
      </c>
      <c r="G311" s="6" t="str">
        <f t="shared" ref="G311" si="201">+geturl(F311)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v>
      </c>
      <c r="H311" s="6"/>
      <c r="I311" s="6"/>
      <c r="J311" s="7"/>
      <c r="K311" s="7"/>
      <c r="L311" s="8"/>
      <c r="N311" s="8"/>
    </row>
    <row r="312" spans="4:16" s="9" customFormat="1" ht="14.25" customHeight="1">
      <c r="D312" s="12"/>
      <c r="F312" s="10" t="s">
        <v>1312</v>
      </c>
      <c r="G312" s="10"/>
      <c r="H312" s="10"/>
      <c r="I312" s="10"/>
      <c r="J312" s="10"/>
      <c r="K312" s="10"/>
      <c r="P312" s="8"/>
    </row>
    <row r="313" spans="4:16" s="9" customFormat="1" ht="14.25" customHeight="1">
      <c r="D313" s="11"/>
      <c r="P313" s="8"/>
    </row>
    <row r="314" spans="4:16" ht="14.25" customHeight="1">
      <c r="D314" s="1"/>
      <c r="E314" s="19" t="str">
        <f t="shared" ref="E314" si="202">TRIM(LEFT(F315,5))</f>
        <v> 2005</v>
      </c>
      <c r="F314" s="2" t="s">
        <v>1342</v>
      </c>
      <c r="G314" s="2" t="str">
        <f t="shared" ref="G314" si="203">+geturl(F314)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v>
      </c>
      <c r="H314" s="2"/>
      <c r="I314" s="2"/>
      <c r="J314" s="2"/>
      <c r="K314" s="2"/>
      <c r="P314" s="5"/>
    </row>
    <row r="315" spans="4:16" ht="14.25" customHeight="1">
      <c r="D315" s="1"/>
      <c r="E315" s="1"/>
      <c r="F315" s="3" t="s">
        <v>1343</v>
      </c>
      <c r="G315" s="3"/>
      <c r="H315" s="3"/>
      <c r="I315" s="3"/>
      <c r="J315" s="3"/>
      <c r="K315" s="3"/>
    </row>
    <row r="316" spans="4:16" ht="14.25" customHeight="1">
      <c r="D316" s="4"/>
    </row>
    <row r="317" spans="4:16" s="9" customFormat="1" ht="14.25" customHeight="1">
      <c r="D317" s="12"/>
      <c r="E317" s="12" t="str">
        <f t="shared" ref="E317" si="204">TRIM(LEFT(F318,5))</f>
        <v> 2005</v>
      </c>
      <c r="F317" s="6" t="s">
        <v>1344</v>
      </c>
      <c r="G317" s="6" t="str">
        <f t="shared" ref="G317" si="205">+geturl(F317)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v>
      </c>
      <c r="H317" s="6"/>
      <c r="I317" s="6"/>
      <c r="J317" s="7"/>
      <c r="K317" s="7"/>
      <c r="L317" s="8"/>
      <c r="N317" s="8"/>
    </row>
    <row r="318" spans="4:16" s="9" customFormat="1" ht="14.25" customHeight="1">
      <c r="D318" s="12"/>
      <c r="F318" s="10" t="s">
        <v>1345</v>
      </c>
      <c r="G318" s="10"/>
      <c r="H318" s="10"/>
      <c r="I318" s="10"/>
      <c r="J318" s="10"/>
      <c r="K318" s="10"/>
      <c r="P318" s="8"/>
    </row>
    <row r="319" spans="4:16" s="9" customFormat="1" ht="14.25" customHeight="1">
      <c r="D319" s="11"/>
      <c r="P319" s="8"/>
    </row>
    <row r="320" spans="4:16" ht="14.25" customHeight="1">
      <c r="D320" s="1"/>
      <c r="E320" s="19" t="str">
        <f t="shared" ref="E320" si="206">TRIM(LEFT(F321,5))</f>
        <v> 2005</v>
      </c>
      <c r="F320" s="2" t="s">
        <v>1346</v>
      </c>
      <c r="G320" s="2" t="str">
        <f t="shared" ref="G320" si="207">+geturl(F320)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v>
      </c>
      <c r="H320" s="2"/>
      <c r="I320" s="2"/>
      <c r="J320" s="2"/>
      <c r="K320" s="2"/>
      <c r="P320" s="5"/>
    </row>
    <row r="321" spans="4:16" ht="14.25" customHeight="1">
      <c r="D321" s="1"/>
      <c r="E321" s="1"/>
      <c r="F321" s="3" t="s">
        <v>1347</v>
      </c>
      <c r="G321" s="3"/>
      <c r="H321" s="3"/>
      <c r="I321" s="3"/>
      <c r="J321" s="3"/>
      <c r="K321" s="3"/>
    </row>
    <row r="322" spans="4:16" ht="14.25" customHeight="1">
      <c r="D322" s="4"/>
    </row>
    <row r="323" spans="4:16" s="9" customFormat="1" ht="14.25" customHeight="1">
      <c r="D323" s="12"/>
      <c r="E323" s="12" t="str">
        <f t="shared" ref="E323" si="208">TRIM(LEFT(F324,5))</f>
        <v> 2005</v>
      </c>
      <c r="F323" s="6" t="s">
        <v>1348</v>
      </c>
      <c r="G323" s="6" t="str">
        <f t="shared" ref="G323" si="209">+geturl(F323)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v>
      </c>
      <c r="H323" s="6"/>
      <c r="I323" s="6"/>
      <c r="J323" s="7"/>
      <c r="K323" s="7"/>
      <c r="L323" s="8"/>
      <c r="N323" s="8"/>
    </row>
    <row r="324" spans="4:16" s="9" customFormat="1" ht="14.25" customHeight="1">
      <c r="D324" s="12"/>
      <c r="F324" s="10" t="s">
        <v>1343</v>
      </c>
      <c r="G324" s="10"/>
      <c r="H324" s="10"/>
      <c r="I324" s="10"/>
      <c r="J324" s="10"/>
      <c r="K324" s="10"/>
      <c r="P324" s="8"/>
    </row>
    <row r="325" spans="4:16" s="9" customFormat="1" ht="14.25" customHeight="1">
      <c r="D325" s="11"/>
      <c r="P325" s="8"/>
    </row>
    <row r="326" spans="4:16" ht="14.25" customHeight="1">
      <c r="D326" s="1"/>
      <c r="E326" s="19" t="str">
        <f t="shared" ref="E326" si="210">TRIM(LEFT(F327,5))</f>
        <v> 2005</v>
      </c>
      <c r="F326" s="2" t="s">
        <v>1349</v>
      </c>
      <c r="G326" s="2" t="str">
        <f t="shared" ref="G326" si="211">+geturl(F326)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v>
      </c>
      <c r="H326" s="2"/>
      <c r="I326" s="2"/>
      <c r="J326" s="2"/>
      <c r="K326" s="2"/>
      <c r="P326" s="5"/>
    </row>
    <row r="327" spans="4:16" ht="14.25" customHeight="1">
      <c r="D327" s="1"/>
      <c r="E327" s="1"/>
      <c r="F327" s="3" t="s">
        <v>1350</v>
      </c>
      <c r="G327" s="3"/>
      <c r="H327" s="3"/>
      <c r="I327" s="3"/>
      <c r="J327" s="3"/>
      <c r="K327" s="3"/>
    </row>
    <row r="328" spans="4:16" ht="14.25" customHeight="1">
      <c r="D328" s="4"/>
    </row>
    <row r="329" spans="4:16" s="9" customFormat="1" ht="14.25" customHeight="1">
      <c r="D329" s="12"/>
      <c r="E329" s="12" t="str">
        <f t="shared" ref="E329" si="212">TRIM(LEFT(F330,5))</f>
        <v> 2005</v>
      </c>
      <c r="F329" s="6" t="s">
        <v>1351</v>
      </c>
      <c r="G329" s="6" t="str">
        <f t="shared" ref="G329" si="213">+geturl(F329)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v>
      </c>
      <c r="H329" s="6"/>
      <c r="I329" s="6"/>
      <c r="J329" s="7"/>
      <c r="K329" s="7"/>
      <c r="L329" s="8"/>
      <c r="N329" s="8"/>
    </row>
    <row r="330" spans="4:16" s="9" customFormat="1" ht="14.25" customHeight="1">
      <c r="D330" s="12"/>
      <c r="F330" s="10" t="s">
        <v>1350</v>
      </c>
      <c r="G330" s="10"/>
      <c r="H330" s="10"/>
      <c r="I330" s="10"/>
      <c r="J330" s="10"/>
      <c r="K330" s="10"/>
      <c r="P330" s="8"/>
    </row>
    <row r="331" spans="4:16" s="9" customFormat="1" ht="14.25" customHeight="1">
      <c r="D331" s="11"/>
      <c r="P331" s="8"/>
    </row>
    <row r="332" spans="4:16" ht="14.25" customHeight="1">
      <c r="D332" s="1"/>
      <c r="E332" s="19" t="str">
        <f t="shared" ref="E332" si="214">TRIM(LEFT(F333,5))</f>
        <v> 2005</v>
      </c>
      <c r="F332" s="2" t="s">
        <v>1352</v>
      </c>
      <c r="G332" s="2" t="str">
        <f t="shared" ref="G332" si="215">+geturl(F332)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v>
      </c>
      <c r="H332" s="2"/>
      <c r="I332" s="2"/>
      <c r="J332" s="2"/>
      <c r="K332" s="2"/>
      <c r="P332" s="5"/>
    </row>
    <row r="333" spans="4:16" ht="14.25" customHeight="1">
      <c r="D333" s="1"/>
      <c r="E333" s="1"/>
      <c r="F333" s="3" t="s">
        <v>1353</v>
      </c>
      <c r="G333" s="3"/>
      <c r="H333" s="3"/>
      <c r="I333" s="3"/>
      <c r="J333" s="3"/>
      <c r="K333" s="3"/>
    </row>
    <row r="334" spans="4:16" ht="14.25" customHeight="1">
      <c r="D334" s="4"/>
    </row>
    <row r="335" spans="4:16" s="9" customFormat="1" ht="14.25" customHeight="1">
      <c r="D335" s="12"/>
      <c r="E335" s="12" t="str">
        <f t="shared" ref="E335" si="216">TRIM(LEFT(F336,5))</f>
        <v> 2005</v>
      </c>
      <c r="F335" s="6" t="s">
        <v>1354</v>
      </c>
      <c r="G335" s="6" t="str">
        <f t="shared" ref="G335" si="217">+geturl(F335)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v>
      </c>
      <c r="H335" s="6"/>
      <c r="I335" s="6"/>
      <c r="J335" s="7"/>
      <c r="K335" s="7"/>
      <c r="L335" s="8"/>
      <c r="N335" s="8"/>
    </row>
    <row r="336" spans="4:16" s="9" customFormat="1" ht="14.25" customHeight="1">
      <c r="D336" s="12"/>
      <c r="F336" s="10" t="s">
        <v>1355</v>
      </c>
      <c r="G336" s="10"/>
      <c r="H336" s="10"/>
      <c r="I336" s="10"/>
      <c r="J336" s="10"/>
      <c r="K336" s="10"/>
      <c r="P336" s="8"/>
    </row>
    <row r="337" spans="4:16" s="9" customFormat="1" ht="14.25" customHeight="1">
      <c r="D337" s="11"/>
      <c r="P337" s="8"/>
    </row>
    <row r="338" spans="4:16" ht="14.25" customHeight="1">
      <c r="D338" s="1"/>
      <c r="E338" s="19" t="str">
        <f t="shared" ref="E338" si="218">TRIM(LEFT(F339,5))</f>
        <v> 2005</v>
      </c>
      <c r="F338" s="2" t="s">
        <v>1356</v>
      </c>
      <c r="G338" s="2" t="str">
        <f t="shared" ref="G338" si="219">+geturl(F338)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v>
      </c>
      <c r="H338" s="2"/>
      <c r="I338" s="2"/>
      <c r="J338" s="2"/>
      <c r="K338" s="2"/>
      <c r="P338" s="5"/>
    </row>
    <row r="339" spans="4:16" ht="14.25" customHeight="1">
      <c r="D339" s="1"/>
      <c r="E339" s="1"/>
      <c r="F339" s="3" t="s">
        <v>1347</v>
      </c>
      <c r="G339" s="3"/>
      <c r="H339" s="3"/>
      <c r="I339" s="3"/>
      <c r="J339" s="3"/>
      <c r="K339" s="3"/>
    </row>
    <row r="340" spans="4:16" ht="14.25" customHeight="1">
      <c r="D340" s="4"/>
    </row>
    <row r="341" spans="4:16" s="9" customFormat="1" ht="14.25" customHeight="1">
      <c r="D341" s="12"/>
      <c r="E341" s="12" t="str">
        <f t="shared" ref="E341" si="220">TRIM(LEFT(F342,5))</f>
        <v> 2005</v>
      </c>
      <c r="F341" s="6" t="s">
        <v>1357</v>
      </c>
      <c r="G341" s="6" t="str">
        <f t="shared" ref="G341" si="221">+geturl(F341)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v>
      </c>
      <c r="H341" s="6"/>
      <c r="I341" s="6"/>
      <c r="J341" s="7"/>
      <c r="K341" s="7"/>
      <c r="L341" s="8"/>
      <c r="N341" s="8"/>
    </row>
    <row r="342" spans="4:16" s="9" customFormat="1" ht="14.25" customHeight="1">
      <c r="D342" s="12"/>
      <c r="F342" s="10" t="s">
        <v>1350</v>
      </c>
      <c r="G342" s="10"/>
      <c r="H342" s="10"/>
      <c r="I342" s="10"/>
      <c r="J342" s="10"/>
      <c r="K342" s="10"/>
      <c r="P342" s="8"/>
    </row>
    <row r="343" spans="4:16" s="9" customFormat="1" ht="14.25" customHeight="1">
      <c r="D343" s="11"/>
      <c r="P343" s="8"/>
    </row>
    <row r="344" spans="4:16" ht="14.25" customHeight="1">
      <c r="D344" s="1"/>
      <c r="E344" s="19" t="str">
        <f t="shared" ref="E344" si="222">TRIM(LEFT(F345,5))</f>
        <v> 2005</v>
      </c>
      <c r="F344" s="2" t="s">
        <v>1358</v>
      </c>
      <c r="G344" s="2" t="str">
        <f t="shared" ref="G344" si="223">+geturl(F344)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v>
      </c>
      <c r="H344" s="2"/>
      <c r="I344" s="2"/>
      <c r="J344" s="2"/>
      <c r="K344" s="2"/>
      <c r="P344" s="5"/>
    </row>
    <row r="345" spans="4:16" ht="14.25" customHeight="1">
      <c r="D345" s="1"/>
      <c r="E345" s="1"/>
      <c r="F345" s="3" t="s">
        <v>1350</v>
      </c>
      <c r="G345" s="3"/>
      <c r="H345" s="3"/>
      <c r="I345" s="3"/>
      <c r="J345" s="3"/>
      <c r="K345" s="3"/>
    </row>
    <row r="346" spans="4:16" ht="14.25" customHeight="1">
      <c r="D346" s="4"/>
    </row>
    <row r="347" spans="4:16" s="9" customFormat="1" ht="14.25" customHeight="1">
      <c r="D347" s="12"/>
      <c r="E347" s="12" t="str">
        <f t="shared" ref="E347" si="224">TRIM(LEFT(F348,5))</f>
        <v> 2005</v>
      </c>
      <c r="F347" s="6" t="s">
        <v>845</v>
      </c>
      <c r="G347" s="6" t="str">
        <f t="shared" ref="G347" si="225">+geturl(F347)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v>
      </c>
      <c r="H347" s="6"/>
      <c r="I347" s="6"/>
      <c r="J347" s="7"/>
      <c r="K347" s="7"/>
      <c r="L347" s="8"/>
      <c r="N347" s="8"/>
    </row>
    <row r="348" spans="4:16" s="9" customFormat="1" ht="14.25" customHeight="1">
      <c r="D348" s="12"/>
      <c r="F348" s="10" t="s">
        <v>1359</v>
      </c>
      <c r="G348" s="10"/>
      <c r="H348" s="10"/>
      <c r="I348" s="10"/>
      <c r="J348" s="10"/>
      <c r="K348" s="10"/>
      <c r="P348" s="8"/>
    </row>
    <row r="349" spans="4:16" s="9" customFormat="1" ht="14.25" customHeight="1">
      <c r="D349" s="11"/>
      <c r="P349" s="8"/>
    </row>
    <row r="350" spans="4:16" ht="14.25" customHeight="1">
      <c r="D350" s="1"/>
      <c r="E350" s="19" t="str">
        <f t="shared" ref="E350" si="226">TRIM(LEFT(F351,5))</f>
        <v> 2005</v>
      </c>
      <c r="F350" s="2" t="s">
        <v>1360</v>
      </c>
      <c r="G350" s="2" t="str">
        <f t="shared" ref="G350" si="227">+geturl(F350)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v>
      </c>
      <c r="H350" s="2"/>
      <c r="I350" s="2"/>
      <c r="J350" s="2"/>
      <c r="K350" s="2"/>
      <c r="P350" s="5"/>
    </row>
    <row r="351" spans="4:16" ht="14.25" customHeight="1">
      <c r="D351" s="1"/>
      <c r="E351" s="1"/>
      <c r="F351" s="3" t="s">
        <v>1355</v>
      </c>
      <c r="G351" s="3"/>
      <c r="H351" s="3"/>
      <c r="I351" s="3"/>
      <c r="J351" s="3"/>
      <c r="K351" s="3"/>
    </row>
    <row r="352" spans="4:16" ht="14.25" customHeight="1">
      <c r="D352" s="4"/>
    </row>
    <row r="353" spans="4:16" s="9" customFormat="1" ht="14.25" customHeight="1">
      <c r="D353" s="12"/>
      <c r="E353" s="12" t="str">
        <f t="shared" ref="E353" si="228">TRIM(LEFT(F354,5))</f>
        <v> 2005</v>
      </c>
      <c r="F353" s="6" t="s">
        <v>1361</v>
      </c>
      <c r="G353" s="6" t="str">
        <f t="shared" ref="G353" si="229">+geturl(F353)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v>
      </c>
      <c r="H353" s="6"/>
      <c r="I353" s="6"/>
      <c r="J353" s="7"/>
      <c r="K353" s="7"/>
      <c r="L353" s="8"/>
      <c r="N353" s="8"/>
    </row>
    <row r="354" spans="4:16" s="9" customFormat="1" ht="14.25" customHeight="1">
      <c r="D354" s="12"/>
      <c r="F354" s="10" t="s">
        <v>1347</v>
      </c>
      <c r="G354" s="10"/>
      <c r="H354" s="10"/>
      <c r="I354" s="10"/>
      <c r="J354" s="10"/>
      <c r="K354" s="10"/>
      <c r="P354" s="8"/>
    </row>
    <row r="355" spans="4:16" s="9" customFormat="1" ht="14.25" customHeight="1">
      <c r="D355" s="11"/>
      <c r="P355" s="8"/>
    </row>
    <row r="356" spans="4:16" ht="14.25" customHeight="1">
      <c r="D356" s="1"/>
      <c r="E356" s="19" t="str">
        <f t="shared" ref="E356" si="230">TRIM(LEFT(F357,5))</f>
        <v> 2005</v>
      </c>
      <c r="F356" s="2" t="s">
        <v>1362</v>
      </c>
      <c r="G356" s="2" t="str">
        <f t="shared" ref="G356" si="231">+geturl(F356)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v>
      </c>
      <c r="H356" s="2"/>
      <c r="I356" s="2"/>
      <c r="J356" s="2"/>
      <c r="K356" s="2"/>
      <c r="P356" s="5"/>
    </row>
    <row r="357" spans="4:16" ht="14.25" customHeight="1">
      <c r="D357" s="1"/>
      <c r="E357" s="1"/>
      <c r="F357" s="3" t="s">
        <v>1359</v>
      </c>
      <c r="G357" s="3"/>
      <c r="H357" s="3"/>
      <c r="I357" s="3"/>
      <c r="J357" s="3"/>
      <c r="K357" s="3"/>
    </row>
    <row r="358" spans="4:16" ht="14.25" customHeight="1">
      <c r="D358" s="4"/>
    </row>
    <row r="359" spans="4:16" s="9" customFormat="1" ht="14.25" customHeight="1">
      <c r="D359" s="12"/>
      <c r="E359" s="12" t="str">
        <f t="shared" ref="E359" si="232">TRIM(LEFT(F360,5))</f>
        <v> 2005</v>
      </c>
      <c r="F359" s="6" t="s">
        <v>1363</v>
      </c>
      <c r="G359" s="6" t="str">
        <f t="shared" ref="G359" si="233">+geturl(F359)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v>
      </c>
      <c r="H359" s="6"/>
      <c r="I359" s="6"/>
      <c r="J359" s="7"/>
      <c r="K359" s="7"/>
      <c r="L359" s="8"/>
      <c r="N359" s="8"/>
    </row>
    <row r="360" spans="4:16" s="9" customFormat="1" ht="14.25" customHeight="1">
      <c r="D360" s="12"/>
      <c r="F360" s="10" t="s">
        <v>1359</v>
      </c>
      <c r="G360" s="10"/>
      <c r="H360" s="10"/>
      <c r="I360" s="10"/>
      <c r="J360" s="10"/>
      <c r="K360" s="10"/>
      <c r="P360" s="8"/>
    </row>
    <row r="361" spans="4:16" s="9" customFormat="1" ht="14.25" customHeight="1">
      <c r="D361" s="11"/>
      <c r="P361" s="8"/>
    </row>
    <row r="362" spans="4:16" ht="14.25" customHeight="1">
      <c r="D362" s="1"/>
      <c r="E362" s="19" t="str">
        <f t="shared" ref="E362" si="234">TRIM(LEFT(F363,5))</f>
        <v> 2005</v>
      </c>
      <c r="F362" s="2" t="s">
        <v>1364</v>
      </c>
      <c r="G362" s="2" t="str">
        <f t="shared" ref="G362" si="235">+geturl(F362)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v>
      </c>
      <c r="H362" s="2"/>
      <c r="I362" s="2"/>
      <c r="J362" s="2"/>
      <c r="K362" s="2"/>
      <c r="P362" s="5"/>
    </row>
    <row r="363" spans="4:16" ht="14.25" customHeight="1">
      <c r="D363" s="1"/>
      <c r="E363" s="1"/>
      <c r="F363" s="3" t="s">
        <v>1359</v>
      </c>
      <c r="G363" s="3"/>
      <c r="H363" s="3"/>
      <c r="I363" s="3"/>
      <c r="J363" s="3"/>
      <c r="K363" s="3"/>
    </row>
    <row r="364" spans="4:16" ht="14.25" customHeight="1">
      <c r="D364" s="4"/>
    </row>
    <row r="365" spans="4:16" s="9" customFormat="1" ht="14.25" customHeight="1">
      <c r="D365" s="12"/>
      <c r="E365" s="12" t="str">
        <f t="shared" ref="E365" si="236">TRIM(LEFT(F366,5))</f>
        <v> 2005</v>
      </c>
      <c r="F365" s="6" t="s">
        <v>799</v>
      </c>
      <c r="G365" s="6" t="str">
        <f t="shared" ref="G365" si="237">+geturl(F365)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v>
      </c>
      <c r="H365" s="6"/>
      <c r="I365" s="6"/>
      <c r="J365" s="7"/>
      <c r="K365" s="7"/>
      <c r="L365" s="8"/>
      <c r="N365" s="8"/>
    </row>
    <row r="366" spans="4:16" s="9" customFormat="1" ht="14.25" customHeight="1">
      <c r="D366" s="12"/>
      <c r="F366" s="10" t="s">
        <v>1345</v>
      </c>
      <c r="G366" s="10"/>
      <c r="H366" s="10"/>
      <c r="I366" s="10"/>
      <c r="J366" s="10"/>
      <c r="K366" s="10"/>
      <c r="P366" s="8"/>
    </row>
    <row r="367" spans="4:16" s="9" customFormat="1" ht="14.25" customHeight="1">
      <c r="D367" s="11"/>
      <c r="P367" s="8"/>
    </row>
    <row r="368" spans="4:16" ht="14.25" customHeight="1">
      <c r="D368" s="1"/>
      <c r="E368" s="19" t="str">
        <f t="shared" ref="E368" si="238">TRIM(LEFT(F369,5))</f>
        <v> 2005</v>
      </c>
      <c r="F368" s="2" t="s">
        <v>1365</v>
      </c>
      <c r="G368" s="2" t="str">
        <f t="shared" ref="G368" si="239">+geturl(F368)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v>
      </c>
      <c r="H368" s="2"/>
      <c r="I368" s="2"/>
      <c r="J368" s="2"/>
      <c r="K368" s="2"/>
      <c r="P368" s="5"/>
    </row>
    <row r="369" spans="4:16" ht="14.25" customHeight="1">
      <c r="D369" s="1"/>
      <c r="E369" s="1"/>
      <c r="F369" s="3" t="s">
        <v>1345</v>
      </c>
      <c r="G369" s="3"/>
      <c r="H369" s="3"/>
      <c r="I369" s="3"/>
      <c r="J369" s="3"/>
      <c r="K369" s="3"/>
    </row>
    <row r="370" spans="4:16" ht="14.25" customHeight="1">
      <c r="D370" s="4"/>
    </row>
    <row r="371" spans="4:16" s="9" customFormat="1" ht="14.25" customHeight="1">
      <c r="D371" s="12"/>
      <c r="E371" s="12" t="str">
        <f t="shared" ref="E371" si="240">TRIM(LEFT(F372,5))</f>
        <v> 2005</v>
      </c>
      <c r="F371" s="6" t="s">
        <v>1366</v>
      </c>
      <c r="G371" s="6" t="str">
        <f t="shared" ref="G371" si="241">+geturl(F371)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v>
      </c>
      <c r="H371" s="6"/>
      <c r="I371" s="6"/>
      <c r="J371" s="7"/>
      <c r="K371" s="7"/>
      <c r="L371" s="8"/>
      <c r="N371" s="8"/>
    </row>
    <row r="372" spans="4:16" s="9" customFormat="1" ht="14.25" customHeight="1">
      <c r="D372" s="12"/>
      <c r="F372" s="10" t="s">
        <v>1350</v>
      </c>
      <c r="G372" s="10"/>
      <c r="H372" s="10"/>
      <c r="I372" s="10"/>
      <c r="J372" s="10"/>
      <c r="K372" s="10"/>
      <c r="P372" s="8"/>
    </row>
    <row r="373" spans="4:16" s="9" customFormat="1" ht="14.25" customHeight="1">
      <c r="D373" s="11"/>
      <c r="P373" s="8"/>
    </row>
    <row r="374" spans="4:16" ht="14.25" customHeight="1">
      <c r="D374" s="1"/>
      <c r="E374" s="19" t="str">
        <f t="shared" ref="E374" si="242">TRIM(LEFT(F375,5))</f>
        <v> 2005</v>
      </c>
      <c r="F374" s="2" t="s">
        <v>1367</v>
      </c>
      <c r="G374" s="2" t="str">
        <f t="shared" ref="G374" si="243">+geturl(F374)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v>
      </c>
      <c r="H374" s="2"/>
      <c r="I374" s="2"/>
      <c r="J374" s="2"/>
      <c r="K374" s="2"/>
      <c r="P374" s="5"/>
    </row>
    <row r="375" spans="4:16" ht="14.25" customHeight="1">
      <c r="D375" s="1"/>
      <c r="E375" s="1"/>
      <c r="F375" s="3" t="s">
        <v>1350</v>
      </c>
      <c r="G375" s="3"/>
      <c r="H375" s="3"/>
      <c r="I375" s="3"/>
      <c r="J375" s="3"/>
      <c r="K375" s="3"/>
    </row>
    <row r="376" spans="4:16" ht="14.25" customHeight="1">
      <c r="D376" s="4"/>
    </row>
    <row r="377" spans="4:16" s="9" customFormat="1" ht="14.25" customHeight="1">
      <c r="D377" s="12"/>
      <c r="E377" s="12" t="str">
        <f t="shared" ref="E377" si="244">TRIM(LEFT(F378,5))</f>
        <v> 2005</v>
      </c>
      <c r="F377" s="6" t="s">
        <v>1368</v>
      </c>
      <c r="G377" s="6" t="str">
        <f t="shared" ref="G377" si="245">+geturl(F377)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v>
      </c>
      <c r="H377" s="6"/>
      <c r="I377" s="6"/>
      <c r="J377" s="7"/>
      <c r="K377" s="7"/>
      <c r="L377" s="8"/>
      <c r="N377" s="8"/>
    </row>
    <row r="378" spans="4:16" s="9" customFormat="1" ht="14.25" customHeight="1">
      <c r="D378" s="12"/>
      <c r="F378" s="10" t="s">
        <v>1359</v>
      </c>
      <c r="G378" s="10"/>
      <c r="H378" s="10"/>
      <c r="I378" s="10"/>
      <c r="J378" s="10"/>
      <c r="K378" s="10"/>
      <c r="P378" s="8"/>
    </row>
    <row r="379" spans="4:16" s="9" customFormat="1" ht="14.25" customHeight="1">
      <c r="D379" s="11"/>
      <c r="P379" s="8"/>
    </row>
    <row r="380" spans="4:16" ht="14.25" customHeight="1">
      <c r="D380" s="1"/>
      <c r="E380" s="19" t="str">
        <f t="shared" ref="E380" si="246">TRIM(LEFT(F381,5))</f>
        <v> 2005</v>
      </c>
      <c r="F380" s="2" t="s">
        <v>1369</v>
      </c>
      <c r="G380" s="2" t="str">
        <f t="shared" ref="G380" si="247">+geturl(F380)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v>
      </c>
      <c r="H380" s="2"/>
      <c r="I380" s="2"/>
      <c r="J380" s="2"/>
      <c r="K380" s="2"/>
      <c r="P380" s="5"/>
    </row>
    <row r="381" spans="4:16" ht="14.25" customHeight="1">
      <c r="D381" s="1"/>
      <c r="E381" s="1"/>
      <c r="F381" s="3" t="s">
        <v>1370</v>
      </c>
      <c r="G381" s="3"/>
      <c r="H381" s="3"/>
      <c r="I381" s="3"/>
      <c r="J381" s="3"/>
      <c r="K381" s="3"/>
    </row>
    <row r="382" spans="4:16" ht="14.25" customHeight="1">
      <c r="D382" s="4"/>
    </row>
    <row r="383" spans="4:16" s="9" customFormat="1" ht="14.25" customHeight="1">
      <c r="D383" s="12"/>
      <c r="E383" s="12" t="str">
        <f t="shared" ref="E383" si="248">TRIM(LEFT(F384,5))</f>
        <v> 2005</v>
      </c>
      <c r="F383" s="6" t="s">
        <v>1371</v>
      </c>
      <c r="G383" s="6" t="str">
        <f t="shared" ref="G383" si="249">+geturl(F383)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v>
      </c>
      <c r="H383" s="6"/>
      <c r="I383" s="6"/>
      <c r="J383" s="7"/>
      <c r="K383" s="7"/>
      <c r="L383" s="8"/>
      <c r="N383" s="8"/>
    </row>
    <row r="384" spans="4:16" s="9" customFormat="1" ht="14.25" customHeight="1">
      <c r="D384" s="12"/>
      <c r="F384" s="10" t="s">
        <v>1347</v>
      </c>
      <c r="G384" s="10"/>
      <c r="H384" s="10"/>
      <c r="I384" s="10"/>
      <c r="J384" s="10"/>
      <c r="K384" s="10"/>
      <c r="P384" s="8"/>
    </row>
    <row r="385" spans="4:16" s="9" customFormat="1" ht="14.25" customHeight="1">
      <c r="D385" s="11"/>
      <c r="P385" s="8"/>
    </row>
    <row r="386" spans="4:16" ht="14.25" customHeight="1">
      <c r="D386" s="1"/>
      <c r="E386" s="19" t="str">
        <f t="shared" ref="E386" si="250">TRIM(LEFT(F387,5))</f>
        <v> 2005</v>
      </c>
      <c r="F386" s="2" t="s">
        <v>1372</v>
      </c>
      <c r="G386" s="2" t="str">
        <f t="shared" ref="G386" si="251">+geturl(F386)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v>
      </c>
      <c r="H386" s="2"/>
      <c r="I386" s="2"/>
      <c r="J386" s="2"/>
      <c r="K386" s="2"/>
      <c r="P386" s="5"/>
    </row>
    <row r="387" spans="4:16" ht="14.25" customHeight="1">
      <c r="D387" s="1"/>
      <c r="E387" s="1"/>
      <c r="F387" s="3" t="s">
        <v>1350</v>
      </c>
      <c r="G387" s="3"/>
      <c r="H387" s="3"/>
      <c r="I387" s="3"/>
      <c r="J387" s="3"/>
      <c r="K387" s="3"/>
    </row>
    <row r="388" spans="4:16" ht="14.25" customHeight="1">
      <c r="D388" s="4"/>
    </row>
    <row r="389" spans="4:16" s="9" customFormat="1" ht="14.25" customHeight="1">
      <c r="D389" s="12"/>
      <c r="E389" s="12" t="str">
        <f t="shared" ref="E389" si="252">TRIM(LEFT(F390,5))</f>
        <v> 2005</v>
      </c>
      <c r="F389" s="6" t="s">
        <v>1373</v>
      </c>
      <c r="G389" s="6" t="str">
        <f t="shared" ref="G389" si="253">+geturl(F389)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v>
      </c>
      <c r="H389" s="6"/>
      <c r="I389" s="6"/>
      <c r="J389" s="7"/>
      <c r="K389" s="7"/>
      <c r="L389" s="8"/>
      <c r="N389" s="8"/>
    </row>
    <row r="390" spans="4:16" s="9" customFormat="1" ht="14.25" customHeight="1">
      <c r="D390" s="12"/>
      <c r="F390" s="10" t="s">
        <v>1350</v>
      </c>
      <c r="G390" s="10"/>
      <c r="H390" s="10"/>
      <c r="I390" s="10"/>
      <c r="J390" s="10"/>
      <c r="K390" s="10"/>
      <c r="P390" s="8"/>
    </row>
    <row r="391" spans="4:16" s="9" customFormat="1" ht="14.25" customHeight="1">
      <c r="D391" s="11"/>
      <c r="P391" s="8"/>
    </row>
    <row r="392" spans="4:16" ht="14.25" customHeight="1">
      <c r="D392" s="1"/>
      <c r="E392" s="19" t="str">
        <f t="shared" ref="E392" si="254">TRIM(LEFT(F393,5))</f>
        <v> 2005</v>
      </c>
      <c r="F392" s="2" t="s">
        <v>1374</v>
      </c>
      <c r="G392" s="2" t="str">
        <f t="shared" ref="G392" si="255">+geturl(F392)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v>
      </c>
      <c r="H392" s="2"/>
      <c r="I392" s="2"/>
      <c r="J392" s="2"/>
      <c r="K392" s="2"/>
      <c r="P392" s="5"/>
    </row>
    <row r="393" spans="4:16" ht="14.25" customHeight="1">
      <c r="D393" s="1"/>
      <c r="E393" s="1"/>
      <c r="F393" s="3" t="s">
        <v>1370</v>
      </c>
      <c r="G393" s="3"/>
      <c r="H393" s="3"/>
      <c r="I393" s="3"/>
      <c r="J393" s="3"/>
      <c r="K393" s="3"/>
    </row>
    <row r="394" spans="4:16" ht="14.25" customHeight="1">
      <c r="D394" s="4"/>
    </row>
    <row r="395" spans="4:16" s="9" customFormat="1" ht="14.25" customHeight="1">
      <c r="D395" s="12"/>
      <c r="E395" s="12" t="str">
        <f t="shared" ref="E395" si="256">TRIM(LEFT(F396,5))</f>
        <v> 2004</v>
      </c>
      <c r="F395" s="6" t="s">
        <v>1375</v>
      </c>
      <c r="G395" s="6" t="str">
        <f t="shared" ref="G395" si="257">+geturl(F395)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v>
      </c>
      <c r="H395" s="6"/>
      <c r="I395" s="6"/>
      <c r="J395" s="7"/>
      <c r="K395" s="7"/>
      <c r="L395" s="8"/>
      <c r="N395" s="8"/>
    </row>
    <row r="396" spans="4:16" s="9" customFormat="1" ht="14.25" customHeight="1">
      <c r="D396" s="12"/>
      <c r="F396" s="10" t="s">
        <v>1376</v>
      </c>
      <c r="G396" s="10"/>
      <c r="H396" s="10"/>
      <c r="I396" s="10"/>
      <c r="J396" s="10"/>
      <c r="K396" s="10"/>
      <c r="P396" s="8"/>
    </row>
    <row r="397" spans="4:16" s="9" customFormat="1" ht="14.25" customHeight="1">
      <c r="D397" s="11"/>
      <c r="P397" s="8"/>
    </row>
    <row r="398" spans="4:16" ht="14.25" customHeight="1">
      <c r="D398" s="1"/>
      <c r="E398" s="19" t="str">
        <f t="shared" ref="E398" si="258">TRIM(LEFT(F399,5))</f>
        <v> 2004</v>
      </c>
      <c r="F398" s="2" t="s">
        <v>1377</v>
      </c>
      <c r="G398" s="2" t="str">
        <f t="shared" ref="G398" si="259">+geturl(F398)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v>
      </c>
      <c r="H398" s="2"/>
      <c r="I398" s="2"/>
      <c r="J398" s="2"/>
      <c r="K398" s="2"/>
      <c r="P398" s="5"/>
    </row>
    <row r="399" spans="4:16" ht="14.25" customHeight="1">
      <c r="D399" s="1"/>
      <c r="E399" s="1"/>
      <c r="F399" s="3" t="s">
        <v>1376</v>
      </c>
      <c r="G399" s="3"/>
      <c r="H399" s="3"/>
      <c r="I399" s="3"/>
      <c r="J399" s="3"/>
      <c r="K399" s="3"/>
    </row>
    <row r="400" spans="4:16" ht="14.25" customHeight="1">
      <c r="D400" s="4"/>
    </row>
    <row r="401" spans="4:16" s="9" customFormat="1" ht="14.25" customHeight="1">
      <c r="D401" s="12"/>
      <c r="E401" s="12" t="str">
        <f t="shared" ref="E401" si="260">TRIM(LEFT(F402,5))</f>
        <v> 2004</v>
      </c>
      <c r="F401" s="6" t="s">
        <v>1378</v>
      </c>
      <c r="G401" s="6" t="str">
        <f t="shared" ref="G401" si="261">+geturl(F401)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v>
      </c>
      <c r="H401" s="6"/>
      <c r="I401" s="6"/>
      <c r="J401" s="7"/>
      <c r="K401" s="7"/>
      <c r="L401" s="8"/>
      <c r="N401" s="8"/>
    </row>
    <row r="402" spans="4:16" s="9" customFormat="1" ht="14.25" customHeight="1">
      <c r="D402" s="12"/>
      <c r="F402" s="10" t="s">
        <v>1376</v>
      </c>
      <c r="G402" s="10"/>
      <c r="H402" s="10"/>
      <c r="I402" s="10"/>
      <c r="J402" s="10"/>
      <c r="K402" s="10"/>
      <c r="P402" s="8"/>
    </row>
    <row r="403" spans="4:16" s="9" customFormat="1" ht="14.25" customHeight="1">
      <c r="D403" s="11"/>
      <c r="P403" s="8"/>
    </row>
    <row r="404" spans="4:16" ht="14.25" customHeight="1">
      <c r="D404" s="1"/>
      <c r="E404" s="19" t="str">
        <f t="shared" ref="E404" si="262">TRIM(LEFT(F405,5))</f>
        <v> 2004</v>
      </c>
      <c r="F404" s="2" t="s">
        <v>1379</v>
      </c>
      <c r="G404" s="2" t="str">
        <f t="shared" ref="G404" si="263">+geturl(F404)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v>
      </c>
      <c r="H404" s="2"/>
      <c r="I404" s="2"/>
      <c r="J404" s="2"/>
      <c r="K404" s="2"/>
      <c r="P404" s="5"/>
    </row>
    <row r="405" spans="4:16" ht="14.25" customHeight="1">
      <c r="D405" s="1"/>
      <c r="E405" s="1"/>
      <c r="F405" s="3" t="s">
        <v>1376</v>
      </c>
      <c r="G405" s="3"/>
      <c r="H405" s="3"/>
      <c r="I405" s="3"/>
      <c r="J405" s="3"/>
      <c r="K405" s="3"/>
    </row>
    <row r="406" spans="4:16" ht="14.25" customHeight="1">
      <c r="D406" s="4"/>
    </row>
    <row r="407" spans="4:16" s="9" customFormat="1" ht="14.25" customHeight="1">
      <c r="D407" s="12"/>
      <c r="E407" s="12" t="str">
        <f t="shared" ref="E407" si="264">TRIM(LEFT(F408,5))</f>
        <v> 2004</v>
      </c>
      <c r="F407" s="6" t="s">
        <v>1380</v>
      </c>
      <c r="G407" s="6" t="str">
        <f t="shared" ref="G407" si="265">+geturl(F407)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v>
      </c>
      <c r="H407" s="6"/>
      <c r="I407" s="6"/>
      <c r="J407" s="7"/>
      <c r="K407" s="7"/>
      <c r="L407" s="8"/>
      <c r="N407" s="8"/>
    </row>
    <row r="408" spans="4:16" s="9" customFormat="1" ht="14.25" customHeight="1">
      <c r="D408" s="12"/>
      <c r="F408" s="10" t="s">
        <v>1381</v>
      </c>
      <c r="G408" s="10"/>
      <c r="H408" s="10"/>
      <c r="I408" s="10"/>
      <c r="J408" s="10"/>
      <c r="K408" s="10"/>
      <c r="P408" s="8"/>
    </row>
    <row r="409" spans="4:16" s="9" customFormat="1" ht="14.25" customHeight="1">
      <c r="D409" s="11"/>
      <c r="P409" s="8"/>
    </row>
    <row r="410" spans="4:16" ht="14.25" customHeight="1">
      <c r="D410" s="1"/>
      <c r="E410" s="19" t="str">
        <f t="shared" ref="E410" si="266">TRIM(LEFT(F411,5))</f>
        <v> 2004</v>
      </c>
      <c r="F410" s="2" t="s">
        <v>1382</v>
      </c>
      <c r="G410" s="2" t="str">
        <f t="shared" ref="G410" si="267">+geturl(F410)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v>
      </c>
      <c r="H410" s="2"/>
      <c r="I410" s="2"/>
      <c r="J410" s="2"/>
      <c r="K410" s="2"/>
      <c r="P410" s="5"/>
    </row>
    <row r="411" spans="4:16" ht="14.25" customHeight="1">
      <c r="D411" s="1"/>
      <c r="E411" s="1"/>
      <c r="F411" s="3" t="s">
        <v>1376</v>
      </c>
      <c r="G411" s="3"/>
      <c r="H411" s="3"/>
      <c r="I411" s="3"/>
      <c r="J411" s="3"/>
      <c r="K411" s="3"/>
    </row>
    <row r="412" spans="4:16" ht="14.25" customHeight="1">
      <c r="D412" s="4"/>
    </row>
    <row r="413" spans="4:16" s="9" customFormat="1" ht="14.25" customHeight="1">
      <c r="D413" s="12"/>
      <c r="E413" s="12" t="str">
        <f t="shared" ref="E413" si="268">TRIM(LEFT(F414,5))</f>
        <v> 2004</v>
      </c>
      <c r="F413" s="6" t="s">
        <v>1383</v>
      </c>
      <c r="G413" s="6" t="str">
        <f t="shared" ref="G413" si="269">+geturl(F413)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v>
      </c>
      <c r="H413" s="6"/>
      <c r="I413" s="6"/>
      <c r="J413" s="7"/>
      <c r="K413" s="7"/>
      <c r="L413" s="8"/>
      <c r="N413" s="8"/>
    </row>
    <row r="414" spans="4:16" s="9" customFormat="1" ht="14.25" customHeight="1">
      <c r="D414" s="12"/>
      <c r="F414" s="10" t="s">
        <v>1384</v>
      </c>
      <c r="G414" s="10"/>
      <c r="H414" s="10"/>
      <c r="I414" s="10"/>
      <c r="J414" s="10"/>
      <c r="K414" s="10"/>
      <c r="P414" s="8"/>
    </row>
    <row r="415" spans="4:16" s="9" customFormat="1" ht="14.25" customHeight="1">
      <c r="D415" s="11"/>
      <c r="P415" s="8"/>
    </row>
    <row r="416" spans="4:16" ht="14.25" customHeight="1">
      <c r="D416" s="1"/>
      <c r="E416" s="19" t="str">
        <f t="shared" ref="E416" si="270">TRIM(LEFT(F417,5))</f>
        <v> 2004</v>
      </c>
      <c r="F416" s="2" t="s">
        <v>1385</v>
      </c>
      <c r="G416" s="2" t="str">
        <f t="shared" ref="G416" si="271">+geturl(F416)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v>
      </c>
      <c r="H416" s="2"/>
      <c r="I416" s="2"/>
      <c r="J416" s="2"/>
      <c r="K416" s="2"/>
      <c r="P416" s="5"/>
    </row>
    <row r="417" spans="4:16" ht="14.25" customHeight="1">
      <c r="D417" s="1"/>
      <c r="E417" s="1"/>
      <c r="F417" s="3" t="s">
        <v>1376</v>
      </c>
      <c r="G417" s="3"/>
      <c r="H417" s="3"/>
      <c r="I417" s="3"/>
      <c r="J417" s="3"/>
      <c r="K417" s="3"/>
    </row>
    <row r="418" spans="4:16" ht="14.25" customHeight="1">
      <c r="D418" s="4"/>
    </row>
    <row r="419" spans="4:16" s="9" customFormat="1" ht="14.25" customHeight="1">
      <c r="D419" s="12"/>
      <c r="E419" s="12" t="str">
        <f t="shared" ref="E419" si="272">TRIM(LEFT(F420,5))</f>
        <v> 2004</v>
      </c>
      <c r="F419" s="6" t="s">
        <v>1386</v>
      </c>
      <c r="G419" s="6" t="str">
        <f t="shared" ref="G419" si="273">+geturl(F419)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v>
      </c>
      <c r="H419" s="6"/>
      <c r="I419" s="6"/>
      <c r="J419" s="7"/>
      <c r="K419" s="7"/>
      <c r="L419" s="8"/>
      <c r="N419" s="8"/>
    </row>
    <row r="420" spans="4:16" s="9" customFormat="1" ht="14.25" customHeight="1">
      <c r="D420" s="12"/>
      <c r="F420" s="10" t="s">
        <v>1381</v>
      </c>
      <c r="G420" s="10"/>
      <c r="H420" s="10"/>
      <c r="I420" s="10"/>
      <c r="J420" s="10"/>
      <c r="K420" s="10"/>
      <c r="P420" s="8"/>
    </row>
    <row r="421" spans="4:16" s="9" customFormat="1" ht="14.25" customHeight="1">
      <c r="D421" s="11"/>
      <c r="P421" s="8"/>
    </row>
    <row r="422" spans="4:16" ht="14.25" customHeight="1">
      <c r="D422" s="1"/>
      <c r="E422" s="19" t="str">
        <f t="shared" ref="E422" si="274">TRIM(LEFT(F423,5))</f>
        <v> 2004</v>
      </c>
      <c r="F422" s="2" t="s">
        <v>1387</v>
      </c>
      <c r="G422" s="2" t="str">
        <f t="shared" ref="G422" si="275">+geturl(F422)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v>
      </c>
      <c r="H422" s="2"/>
      <c r="I422" s="2"/>
      <c r="J422" s="2"/>
      <c r="K422" s="2"/>
      <c r="P422" s="5"/>
    </row>
    <row r="423" spans="4:16" ht="14.25" customHeight="1">
      <c r="D423" s="1"/>
      <c r="E423" s="1"/>
      <c r="F423" s="3" t="s">
        <v>1376</v>
      </c>
      <c r="G423" s="3"/>
      <c r="H423" s="3"/>
      <c r="I423" s="3"/>
      <c r="J423" s="3"/>
      <c r="K423" s="3"/>
    </row>
    <row r="424" spans="4:16" ht="14.25" customHeight="1">
      <c r="D424" s="4"/>
    </row>
    <row r="425" spans="4:16" s="9" customFormat="1" ht="14.25" customHeight="1">
      <c r="D425" s="12"/>
      <c r="E425" s="12" t="str">
        <f t="shared" ref="E425" si="276">TRIM(LEFT(F426,5))</f>
        <v> 2004</v>
      </c>
      <c r="F425" s="6" t="s">
        <v>1388</v>
      </c>
      <c r="G425" s="6" t="str">
        <f t="shared" ref="G425" si="277">+geturl(F425)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v>
      </c>
      <c r="H425" s="6"/>
      <c r="I425" s="6"/>
      <c r="J425" s="7"/>
      <c r="K425" s="7"/>
      <c r="L425" s="8"/>
      <c r="N425" s="8"/>
    </row>
    <row r="426" spans="4:16" s="9" customFormat="1" ht="14.25" customHeight="1">
      <c r="D426" s="12"/>
      <c r="F426" s="10" t="s">
        <v>1376</v>
      </c>
      <c r="G426" s="10"/>
      <c r="H426" s="10"/>
      <c r="I426" s="10"/>
      <c r="J426" s="10"/>
      <c r="K426" s="10"/>
      <c r="P426" s="8"/>
    </row>
    <row r="427" spans="4:16" s="9" customFormat="1" ht="14.25" customHeight="1">
      <c r="D427" s="11"/>
      <c r="P427" s="8"/>
    </row>
    <row r="428" spans="4:16" ht="14.25" customHeight="1">
      <c r="D428" s="1"/>
      <c r="E428" s="19" t="str">
        <f t="shared" ref="E428" si="278">TRIM(LEFT(F429,5))</f>
        <v> 2004</v>
      </c>
      <c r="F428" s="2" t="s">
        <v>1389</v>
      </c>
      <c r="G428" s="2" t="str">
        <f t="shared" ref="G428" si="279">+geturl(F428)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v>
      </c>
      <c r="H428" s="2"/>
      <c r="I428" s="2"/>
      <c r="J428" s="2"/>
      <c r="K428" s="2"/>
      <c r="P428" s="5"/>
    </row>
    <row r="429" spans="4:16" ht="14.25" customHeight="1">
      <c r="D429" s="1"/>
      <c r="E429" s="1"/>
      <c r="F429" s="3" t="s">
        <v>1390</v>
      </c>
      <c r="G429" s="3"/>
      <c r="H429" s="3"/>
      <c r="I429" s="3"/>
      <c r="J429" s="3"/>
      <c r="K429" s="3"/>
    </row>
    <row r="430" spans="4:16" ht="14.25" customHeight="1">
      <c r="D430" s="4"/>
    </row>
    <row r="431" spans="4:16" s="9" customFormat="1" ht="14.25" customHeight="1">
      <c r="D431" s="12"/>
      <c r="E431" s="12" t="str">
        <f t="shared" ref="E431" si="280">TRIM(LEFT(F432,5))</f>
        <v> 2004</v>
      </c>
      <c r="F431" s="6" t="s">
        <v>1391</v>
      </c>
      <c r="G431" s="6" t="str">
        <f t="shared" ref="G431" si="281">+geturl(F431)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v>
      </c>
      <c r="H431" s="6"/>
      <c r="I431" s="6"/>
      <c r="J431" s="7"/>
      <c r="K431" s="7"/>
      <c r="L431" s="8"/>
      <c r="N431" s="8"/>
    </row>
    <row r="432" spans="4:16" s="9" customFormat="1" ht="14.25" customHeight="1">
      <c r="D432" s="12"/>
      <c r="F432" s="10" t="s">
        <v>1376</v>
      </c>
      <c r="G432" s="10"/>
      <c r="H432" s="10"/>
      <c r="I432" s="10"/>
      <c r="J432" s="10"/>
      <c r="K432" s="10"/>
      <c r="P432" s="8"/>
    </row>
    <row r="433" spans="4:16" s="9" customFormat="1" ht="14.25" customHeight="1">
      <c r="D433" s="11"/>
      <c r="P433" s="8"/>
    </row>
    <row r="434" spans="4:16" ht="14.25" customHeight="1">
      <c r="D434" s="1"/>
      <c r="E434" s="19" t="str">
        <f t="shared" ref="E434" si="282">TRIM(LEFT(F435,5))</f>
        <v> 2004</v>
      </c>
      <c r="F434" s="2" t="s">
        <v>1392</v>
      </c>
      <c r="G434" s="2" t="str">
        <f t="shared" ref="G434" si="283">+geturl(F434)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v>
      </c>
      <c r="H434" s="2"/>
      <c r="I434" s="2"/>
      <c r="J434" s="2"/>
      <c r="K434" s="2"/>
      <c r="P434" s="5"/>
    </row>
    <row r="435" spans="4:16" ht="14.25" customHeight="1">
      <c r="D435" s="1"/>
      <c r="E435" s="1"/>
      <c r="F435" s="3" t="s">
        <v>1376</v>
      </c>
      <c r="G435" s="3"/>
      <c r="H435" s="3"/>
      <c r="I435" s="3"/>
      <c r="J435" s="3"/>
      <c r="K435" s="3"/>
    </row>
    <row r="436" spans="4:16" ht="14.25" customHeight="1">
      <c r="D436" s="4"/>
    </row>
    <row r="437" spans="4:16" s="9" customFormat="1" ht="14.25" customHeight="1">
      <c r="D437" s="12"/>
      <c r="E437" s="12" t="str">
        <f t="shared" ref="E437" si="284">TRIM(LEFT(F438,5))</f>
        <v> 2004</v>
      </c>
      <c r="F437" s="6" t="s">
        <v>1393</v>
      </c>
      <c r="G437" s="6" t="str">
        <f t="shared" ref="G437" si="285">+geturl(F437)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v>
      </c>
      <c r="H437" s="6"/>
      <c r="I437" s="6"/>
      <c r="J437" s="7"/>
      <c r="K437" s="7"/>
      <c r="L437" s="8"/>
      <c r="N437" s="8"/>
    </row>
    <row r="438" spans="4:16" s="9" customFormat="1" ht="14.25" customHeight="1">
      <c r="D438" s="12"/>
      <c r="F438" s="10" t="s">
        <v>1381</v>
      </c>
      <c r="G438" s="10"/>
      <c r="H438" s="10"/>
      <c r="I438" s="10"/>
      <c r="J438" s="10"/>
      <c r="K438" s="10"/>
      <c r="P438" s="8"/>
    </row>
    <row r="439" spans="4:16" s="9" customFormat="1" ht="14.25" customHeight="1">
      <c r="D439" s="11"/>
      <c r="P439" s="8"/>
    </row>
    <row r="440" spans="4:16" ht="14.25" customHeight="1">
      <c r="D440" s="1"/>
      <c r="E440" s="19" t="str">
        <f t="shared" ref="E440" si="286">TRIM(LEFT(F441,5))</f>
        <v> 2004</v>
      </c>
      <c r="F440" s="2" t="s">
        <v>1394</v>
      </c>
      <c r="G440" s="2" t="str">
        <f t="shared" ref="G440" si="287">+geturl(F440)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v>
      </c>
      <c r="H440" s="2"/>
      <c r="I440" s="2"/>
      <c r="J440" s="2"/>
      <c r="K440" s="2"/>
      <c r="P440" s="5"/>
    </row>
    <row r="441" spans="4:16" ht="14.25" customHeight="1">
      <c r="D441" s="1"/>
      <c r="E441" s="1"/>
      <c r="F441" s="3" t="s">
        <v>1376</v>
      </c>
      <c r="G441" s="3"/>
      <c r="H441" s="3"/>
      <c r="I441" s="3"/>
      <c r="J441" s="3"/>
      <c r="K441" s="3"/>
    </row>
    <row r="442" spans="4:16" ht="14.25" customHeight="1">
      <c r="D442" s="4"/>
    </row>
    <row r="443" spans="4:16" s="9" customFormat="1" ht="14.25" customHeight="1">
      <c r="D443" s="12"/>
      <c r="E443" s="12" t="str">
        <f t="shared" ref="E443" si="288">TRIM(LEFT(F444,5))</f>
        <v> 2004</v>
      </c>
      <c r="F443" s="6" t="s">
        <v>1395</v>
      </c>
      <c r="G443" s="6" t="str">
        <f t="shared" ref="G443" si="289">+geturl(F443)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v>
      </c>
      <c r="H443" s="6"/>
      <c r="I443" s="6"/>
      <c r="J443" s="7"/>
      <c r="K443" s="7"/>
      <c r="L443" s="8"/>
      <c r="N443" s="8"/>
    </row>
    <row r="444" spans="4:16" s="9" customFormat="1" ht="14.25" customHeight="1">
      <c r="D444" s="12"/>
      <c r="F444" s="10" t="s">
        <v>1376</v>
      </c>
      <c r="G444" s="10"/>
      <c r="H444" s="10"/>
      <c r="I444" s="10"/>
      <c r="J444" s="10"/>
      <c r="K444" s="10"/>
      <c r="P444" s="8"/>
    </row>
    <row r="445" spans="4:16" s="9" customFormat="1" ht="14.25" customHeight="1">
      <c r="D445" s="11"/>
      <c r="P445" s="8"/>
    </row>
    <row r="446" spans="4:16" ht="14.25" customHeight="1">
      <c r="D446" s="1"/>
      <c r="E446" s="19" t="str">
        <f t="shared" ref="E446" si="290">TRIM(LEFT(F447,5))</f>
        <v> 2004</v>
      </c>
      <c r="F446" s="2" t="s">
        <v>1396</v>
      </c>
      <c r="G446" s="2" t="str">
        <f t="shared" ref="G446" si="291">+geturl(F446)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v>
      </c>
      <c r="H446" s="2"/>
      <c r="I446" s="2"/>
      <c r="J446" s="2"/>
      <c r="K446" s="2"/>
      <c r="P446" s="5"/>
    </row>
    <row r="447" spans="4:16" ht="14.25" customHeight="1">
      <c r="D447" s="1"/>
      <c r="E447" s="1"/>
      <c r="F447" s="3" t="s">
        <v>1381</v>
      </c>
      <c r="G447" s="3"/>
      <c r="H447" s="3"/>
      <c r="I447" s="3"/>
      <c r="J447" s="3"/>
      <c r="K447" s="3"/>
    </row>
    <row r="448" spans="4:16" ht="14.25" customHeight="1">
      <c r="D448" s="4"/>
    </row>
    <row r="449" spans="4:16" s="9" customFormat="1" ht="14.25" customHeight="1">
      <c r="D449" s="12"/>
      <c r="E449" s="12" t="str">
        <f t="shared" ref="E449" si="292">TRIM(LEFT(F450,5))</f>
        <v> 2004</v>
      </c>
      <c r="F449" s="6" t="s">
        <v>1397</v>
      </c>
      <c r="G449" s="6" t="str">
        <f t="shared" ref="G449" si="293">+geturl(F449)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v>
      </c>
      <c r="H449" s="6"/>
      <c r="I449" s="6"/>
      <c r="J449" s="7"/>
      <c r="K449" s="7"/>
      <c r="L449" s="8"/>
      <c r="N449" s="8"/>
    </row>
    <row r="450" spans="4:16" s="9" customFormat="1" ht="14.25" customHeight="1">
      <c r="D450" s="12"/>
      <c r="F450" s="10" t="s">
        <v>1376</v>
      </c>
      <c r="G450" s="10"/>
      <c r="H450" s="10"/>
      <c r="I450" s="10"/>
      <c r="J450" s="10"/>
      <c r="K450" s="10"/>
      <c r="P450" s="8"/>
    </row>
    <row r="451" spans="4:16" s="9" customFormat="1" ht="14.25" customHeight="1">
      <c r="D451" s="11"/>
      <c r="P451" s="8"/>
    </row>
    <row r="452" spans="4:16" ht="14.25" customHeight="1">
      <c r="D452" s="1"/>
      <c r="E452" s="19" t="str">
        <f t="shared" ref="E452" si="294">TRIM(LEFT(F453,5))</f>
        <v> 2003</v>
      </c>
      <c r="F452" s="2" t="s">
        <v>1398</v>
      </c>
      <c r="G452" s="2" t="str">
        <f t="shared" ref="G452" si="295">+geturl(F452)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v>
      </c>
      <c r="H452" s="2"/>
      <c r="I452" s="2"/>
      <c r="J452" s="2"/>
      <c r="K452" s="2"/>
      <c r="P452" s="5"/>
    </row>
    <row r="453" spans="4:16" ht="14.25" customHeight="1">
      <c r="D453" s="1"/>
      <c r="E453" s="1"/>
      <c r="F453" s="3" t="s">
        <v>1399</v>
      </c>
      <c r="G453" s="3"/>
      <c r="H453" s="3"/>
      <c r="I453" s="3"/>
      <c r="J453" s="3"/>
      <c r="K453" s="3"/>
    </row>
    <row r="454" spans="4:16" ht="14.25" customHeight="1">
      <c r="D454" s="4"/>
    </row>
    <row r="455" spans="4:16" s="9" customFormat="1" ht="14.25" customHeight="1">
      <c r="D455" s="12"/>
      <c r="E455" s="12" t="str">
        <f t="shared" ref="E455" si="296">TRIM(LEFT(F456,5))</f>
        <v> 2003</v>
      </c>
      <c r="F455" s="6" t="s">
        <v>1400</v>
      </c>
      <c r="G455" s="6" t="str">
        <f t="shared" ref="G455" si="297">+geturl(F455)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v>
      </c>
      <c r="H455" s="6"/>
      <c r="I455" s="6"/>
      <c r="J455" s="7"/>
      <c r="K455" s="7"/>
      <c r="L455" s="8"/>
      <c r="N455" s="8"/>
    </row>
    <row r="456" spans="4:16" s="9" customFormat="1" ht="14.25" customHeight="1">
      <c r="D456" s="12"/>
      <c r="F456" s="10" t="s">
        <v>1401</v>
      </c>
      <c r="G456" s="10"/>
      <c r="H456" s="10"/>
      <c r="I456" s="10"/>
      <c r="J456" s="10"/>
      <c r="K456" s="10"/>
      <c r="P456" s="8"/>
    </row>
    <row r="457" spans="4:16" s="9" customFormat="1" ht="14.25" customHeight="1">
      <c r="D457" s="11"/>
      <c r="P457" s="8"/>
    </row>
    <row r="458" spans="4:16" ht="14.25" customHeight="1">
      <c r="D458" s="1"/>
      <c r="E458" s="19" t="str">
        <f t="shared" ref="E458" si="298">TRIM(LEFT(F459,5))</f>
        <v> 2003</v>
      </c>
      <c r="F458" s="2" t="s">
        <v>1402</v>
      </c>
      <c r="G458" s="2" t="str">
        <f t="shared" ref="G458" si="299">+geturl(F458)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v>
      </c>
      <c r="H458" s="2"/>
      <c r="I458" s="2"/>
      <c r="J458" s="2"/>
      <c r="K458" s="2"/>
      <c r="P458" s="5"/>
    </row>
    <row r="459" spans="4:16" ht="14.25" customHeight="1">
      <c r="D459" s="1"/>
      <c r="E459" s="1"/>
      <c r="F459" s="3" t="s">
        <v>1403</v>
      </c>
      <c r="G459" s="3"/>
      <c r="H459" s="3"/>
      <c r="I459" s="3"/>
      <c r="J459" s="3"/>
      <c r="K459" s="3"/>
    </row>
    <row r="460" spans="4:16" ht="14.25" customHeight="1">
      <c r="D460" s="4"/>
    </row>
    <row r="461" spans="4:16" s="9" customFormat="1" ht="14.25" customHeight="1">
      <c r="D461" s="12"/>
      <c r="E461" s="12" t="str">
        <f t="shared" ref="E461" si="300">TRIM(LEFT(F462,5))</f>
        <v> 2003</v>
      </c>
      <c r="F461" s="6" t="s">
        <v>1404</v>
      </c>
      <c r="G461" s="6" t="str">
        <f t="shared" ref="G461" si="301">+geturl(F461)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v>
      </c>
      <c r="H461" s="6"/>
      <c r="I461" s="6"/>
      <c r="J461" s="7"/>
      <c r="K461" s="7"/>
      <c r="L461" s="8"/>
      <c r="N461" s="8"/>
    </row>
    <row r="462" spans="4:16" s="9" customFormat="1" ht="14.25" customHeight="1">
      <c r="D462" s="12"/>
      <c r="F462" s="10" t="s">
        <v>1401</v>
      </c>
      <c r="G462" s="10"/>
      <c r="H462" s="10"/>
      <c r="I462" s="10"/>
      <c r="J462" s="10"/>
      <c r="K462" s="10"/>
      <c r="P462" s="8"/>
    </row>
    <row r="463" spans="4:16" s="9" customFormat="1" ht="14.25" customHeight="1">
      <c r="D463" s="11"/>
      <c r="P463" s="8"/>
    </row>
    <row r="464" spans="4:16" ht="14.25" customHeight="1">
      <c r="D464" s="1"/>
      <c r="E464" s="19" t="str">
        <f t="shared" ref="E464" si="302">TRIM(LEFT(F465,5))</f>
        <v> 2003</v>
      </c>
      <c r="F464" s="2" t="s">
        <v>1405</v>
      </c>
      <c r="G464" s="2" t="str">
        <f t="shared" ref="G464" si="303">+geturl(F464)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v>
      </c>
      <c r="H464" s="2"/>
      <c r="I464" s="2"/>
      <c r="J464" s="2"/>
      <c r="K464" s="2"/>
      <c r="P464" s="5"/>
    </row>
    <row r="465" spans="4:16" ht="14.25" customHeight="1">
      <c r="D465" s="1"/>
      <c r="E465" s="1"/>
      <c r="F465" s="3" t="s">
        <v>1401</v>
      </c>
      <c r="G465" s="3"/>
      <c r="H465" s="3"/>
      <c r="I465" s="3"/>
      <c r="J465" s="3"/>
      <c r="K465" s="3"/>
    </row>
    <row r="466" spans="4:16" ht="14.25" customHeight="1">
      <c r="D466" s="4"/>
    </row>
    <row r="467" spans="4:16" s="9" customFormat="1" ht="14.25" customHeight="1">
      <c r="D467" s="12"/>
      <c r="E467" s="12" t="str">
        <f t="shared" ref="E467" si="304">TRIM(LEFT(F468,5))</f>
        <v> 2003</v>
      </c>
      <c r="F467" s="6" t="s">
        <v>1406</v>
      </c>
      <c r="G467" s="6" t="str">
        <f t="shared" ref="G467" si="305">+geturl(F467)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v>
      </c>
      <c r="H467" s="6"/>
      <c r="I467" s="6"/>
      <c r="J467" s="7"/>
      <c r="K467" s="7"/>
      <c r="L467" s="8"/>
      <c r="N467" s="8"/>
    </row>
    <row r="468" spans="4:16" s="9" customFormat="1" ht="14.25" customHeight="1">
      <c r="D468" s="12"/>
      <c r="F468" s="10" t="s">
        <v>1401</v>
      </c>
      <c r="G468" s="10"/>
      <c r="H468" s="10"/>
      <c r="I468" s="10"/>
      <c r="J468" s="10"/>
      <c r="K468" s="10"/>
      <c r="P468" s="8"/>
    </row>
    <row r="469" spans="4:16" s="9" customFormat="1" ht="14.25" customHeight="1">
      <c r="D469" s="11"/>
      <c r="P469" s="8"/>
    </row>
    <row r="470" spans="4:16" ht="14.25" customHeight="1">
      <c r="D470" s="1"/>
      <c r="E470" s="19" t="str">
        <f t="shared" ref="E470" si="306">TRIM(LEFT(F471,5))</f>
        <v> 2003</v>
      </c>
      <c r="F470" s="2" t="s">
        <v>1407</v>
      </c>
      <c r="G470" s="2" t="str">
        <f t="shared" ref="G470" si="307">+geturl(F470)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v>
      </c>
      <c r="H470" s="2"/>
      <c r="I470" s="2"/>
      <c r="J470" s="2"/>
      <c r="K470" s="2"/>
      <c r="P470" s="5"/>
    </row>
    <row r="471" spans="4:16" ht="14.25" customHeight="1">
      <c r="D471" s="1"/>
      <c r="E471" s="1"/>
      <c r="F471" s="3" t="s">
        <v>1408</v>
      </c>
      <c r="G471" s="3"/>
      <c r="H471" s="3"/>
      <c r="I471" s="3"/>
      <c r="J471" s="3"/>
      <c r="K471" s="3"/>
    </row>
    <row r="472" spans="4:16" ht="14.25" customHeight="1">
      <c r="D472" s="4"/>
    </row>
    <row r="473" spans="4:16" s="9" customFormat="1" ht="14.25" customHeight="1">
      <c r="D473" s="12"/>
      <c r="E473" s="12" t="str">
        <f t="shared" ref="E473" si="308">TRIM(LEFT(F474,5))</f>
        <v> 2003</v>
      </c>
      <c r="F473" s="6" t="s">
        <v>1409</v>
      </c>
      <c r="G473" s="6" t="str">
        <f t="shared" ref="G473" si="309">+geturl(F473)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v>
      </c>
      <c r="H473" s="6"/>
      <c r="I473" s="6"/>
      <c r="J473" s="7"/>
      <c r="K473" s="7"/>
      <c r="L473" s="8"/>
      <c r="N473" s="8"/>
    </row>
    <row r="474" spans="4:16" s="9" customFormat="1" ht="14.25" customHeight="1">
      <c r="D474" s="12"/>
      <c r="F474" s="10" t="s">
        <v>1401</v>
      </c>
      <c r="G474" s="10"/>
      <c r="H474" s="10"/>
      <c r="I474" s="10"/>
      <c r="J474" s="10"/>
      <c r="K474" s="10"/>
      <c r="P474" s="8"/>
    </row>
    <row r="475" spans="4:16" s="9" customFormat="1" ht="14.25" customHeight="1">
      <c r="D475" s="11"/>
      <c r="P475" s="8"/>
    </row>
    <row r="476" spans="4:16" ht="14.25" customHeight="1">
      <c r="D476" s="1"/>
      <c r="E476" s="19" t="str">
        <f t="shared" ref="E476" si="310">TRIM(LEFT(F477,5))</f>
        <v> 2003</v>
      </c>
      <c r="F476" s="2" t="s">
        <v>1410</v>
      </c>
      <c r="G476" s="2" t="str">
        <f t="shared" ref="G476" si="311">+geturl(F476)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v>
      </c>
      <c r="H476" s="2"/>
      <c r="I476" s="2"/>
      <c r="J476" s="2"/>
      <c r="K476" s="2"/>
      <c r="P476" s="5"/>
    </row>
    <row r="477" spans="4:16" ht="14.25" customHeight="1">
      <c r="D477" s="1"/>
      <c r="E477" s="1"/>
      <c r="F477" s="3" t="s">
        <v>1401</v>
      </c>
      <c r="G477" s="3"/>
      <c r="H477" s="3"/>
      <c r="I477" s="3"/>
      <c r="J477" s="3"/>
      <c r="K477" s="3"/>
    </row>
    <row r="478" spans="4:16" ht="14.25" customHeight="1">
      <c r="D478" s="4"/>
    </row>
    <row r="479" spans="4:16" s="9" customFormat="1" ht="14.25" customHeight="1">
      <c r="D479" s="12"/>
      <c r="E479" s="12" t="str">
        <f t="shared" ref="E479" si="312">TRIM(LEFT(F480,5))</f>
        <v> 2003</v>
      </c>
      <c r="F479" s="6" t="s">
        <v>1411</v>
      </c>
      <c r="G479" s="6" t="str">
        <f t="shared" ref="G479" si="313">+geturl(F479)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v>
      </c>
      <c r="H479" s="6"/>
      <c r="I479" s="6"/>
      <c r="J479" s="7"/>
      <c r="K479" s="7"/>
      <c r="L479" s="8"/>
      <c r="N479" s="8"/>
    </row>
    <row r="480" spans="4:16" s="9" customFormat="1" ht="14.25" customHeight="1">
      <c r="D480" s="12"/>
      <c r="F480" s="10" t="s">
        <v>1412</v>
      </c>
      <c r="G480" s="10"/>
      <c r="H480" s="10"/>
      <c r="I480" s="10"/>
      <c r="J480" s="10"/>
      <c r="K480" s="10"/>
      <c r="P480" s="8"/>
    </row>
    <row r="481" spans="4:16" s="9" customFormat="1" ht="14.25" customHeight="1">
      <c r="D481" s="11"/>
      <c r="P481" s="8"/>
    </row>
    <row r="482" spans="4:16" ht="14.25" customHeight="1">
      <c r="D482" s="1"/>
      <c r="E482" s="19" t="str">
        <f t="shared" ref="E482" si="314">TRIM(LEFT(F483,5))</f>
        <v> 2003</v>
      </c>
      <c r="F482" s="2" t="s">
        <v>1413</v>
      </c>
      <c r="G482" s="2" t="str">
        <f t="shared" ref="G482" si="315">+geturl(F482)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v>
      </c>
      <c r="H482" s="2"/>
      <c r="I482" s="2"/>
      <c r="J482" s="2"/>
      <c r="K482" s="2"/>
      <c r="P482" s="5"/>
    </row>
    <row r="483" spans="4:16" ht="14.25" customHeight="1">
      <c r="D483" s="1"/>
      <c r="E483" s="1"/>
      <c r="F483" s="3" t="s">
        <v>1408</v>
      </c>
      <c r="G483" s="3"/>
      <c r="H483" s="3"/>
      <c r="I483" s="3"/>
      <c r="J483" s="3"/>
      <c r="K483" s="3"/>
    </row>
    <row r="484" spans="4:16" ht="14.25" customHeight="1">
      <c r="D484" s="4"/>
    </row>
    <row r="485" spans="4:16" s="9" customFormat="1" ht="14.25" customHeight="1">
      <c r="D485" s="12"/>
      <c r="E485" s="12" t="str">
        <f t="shared" ref="E485" si="316">TRIM(LEFT(F486,5))</f>
        <v> 2003</v>
      </c>
      <c r="F485" s="6" t="s">
        <v>1414</v>
      </c>
      <c r="G485" s="6" t="str">
        <f t="shared" ref="G485" si="317">+geturl(F485)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v>
      </c>
      <c r="H485" s="6"/>
      <c r="I485" s="6"/>
      <c r="J485" s="7"/>
      <c r="K485" s="7"/>
      <c r="L485" s="8"/>
      <c r="N485" s="8"/>
    </row>
    <row r="486" spans="4:16" s="9" customFormat="1" ht="14.25" customHeight="1">
      <c r="D486" s="12"/>
      <c r="F486" s="10" t="s">
        <v>1415</v>
      </c>
      <c r="G486" s="10"/>
      <c r="H486" s="10"/>
      <c r="I486" s="10"/>
      <c r="J486" s="10"/>
      <c r="K486" s="10"/>
      <c r="P486" s="8"/>
    </row>
    <row r="487" spans="4:16" s="9" customFormat="1" ht="14.25" customHeight="1">
      <c r="D487" s="11"/>
      <c r="P487" s="8"/>
    </row>
    <row r="488" spans="4:16" ht="14.25" customHeight="1">
      <c r="D488" s="1"/>
      <c r="E488" s="19" t="str">
        <f t="shared" ref="E488" si="318">TRIM(LEFT(F489,5))</f>
        <v> 2003</v>
      </c>
      <c r="F488" s="2" t="s">
        <v>467</v>
      </c>
      <c r="G488" s="2" t="str">
        <f t="shared" ref="G488" si="319">+geturl(F488)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v>
      </c>
      <c r="H488" s="2"/>
      <c r="I488" s="2"/>
      <c r="J488" s="2"/>
      <c r="K488" s="2"/>
      <c r="P488" s="5"/>
    </row>
    <row r="489" spans="4:16" ht="14.25" customHeight="1">
      <c r="D489" s="1"/>
      <c r="E489" s="1"/>
      <c r="F489" s="3" t="s">
        <v>1408</v>
      </c>
      <c r="G489" s="3"/>
      <c r="H489" s="3"/>
      <c r="I489" s="3"/>
      <c r="J489" s="3"/>
      <c r="K489" s="3"/>
    </row>
    <row r="490" spans="4:16" ht="14.25" customHeight="1">
      <c r="D490" s="4"/>
    </row>
    <row r="491" spans="4:16" s="9" customFormat="1" ht="14.25" customHeight="1">
      <c r="D491" s="12"/>
      <c r="E491" s="12" t="str">
        <f t="shared" ref="E491" si="320">TRIM(LEFT(F492,5))</f>
        <v> 2003</v>
      </c>
      <c r="F491" s="6" t="s">
        <v>557</v>
      </c>
      <c r="G491" s="6" t="str">
        <f t="shared" ref="G491" si="321">+geturl(F491)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v>
      </c>
      <c r="H491" s="6"/>
      <c r="I491" s="6"/>
      <c r="J491" s="7"/>
      <c r="K491" s="7"/>
      <c r="L491" s="8"/>
      <c r="N491" s="8"/>
    </row>
    <row r="492" spans="4:16" s="9" customFormat="1" ht="14.25" customHeight="1">
      <c r="D492" s="12"/>
      <c r="F492" s="10" t="s">
        <v>1416</v>
      </c>
      <c r="G492" s="10"/>
      <c r="H492" s="10"/>
      <c r="I492" s="10"/>
      <c r="J492" s="10"/>
      <c r="K492" s="10"/>
      <c r="P492" s="8"/>
    </row>
    <row r="493" spans="4:16" s="9" customFormat="1" ht="14.25" customHeight="1">
      <c r="D493" s="11"/>
      <c r="P493" s="8"/>
    </row>
    <row r="494" spans="4:16" ht="14.25" customHeight="1">
      <c r="D494" s="1"/>
      <c r="E494" s="19" t="str">
        <f t="shared" ref="E494" si="322">TRIM(LEFT(F495,5))</f>
        <v> 2003</v>
      </c>
      <c r="F494" s="2" t="s">
        <v>1417</v>
      </c>
      <c r="G494" s="2" t="str">
        <f t="shared" ref="G494" si="323">+geturl(F494)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v>
      </c>
      <c r="H494" s="2"/>
      <c r="I494" s="2"/>
      <c r="J494" s="2"/>
      <c r="K494" s="2"/>
      <c r="P494" s="5"/>
    </row>
    <row r="495" spans="4:16" ht="14.25" customHeight="1">
      <c r="D495" s="1"/>
      <c r="E495" s="1"/>
      <c r="F495" s="3" t="s">
        <v>1415</v>
      </c>
      <c r="G495" s="3"/>
      <c r="H495" s="3"/>
      <c r="I495" s="3"/>
      <c r="J495" s="3"/>
      <c r="K495" s="3"/>
    </row>
    <row r="496" spans="4:16" ht="14.25" customHeight="1">
      <c r="D496" s="4"/>
    </row>
    <row r="497" spans="4:16" s="9" customFormat="1" ht="14.25" customHeight="1">
      <c r="D497" s="12"/>
      <c r="E497" s="12" t="str">
        <f t="shared" ref="E497" si="324">TRIM(LEFT(F498,5))</f>
        <v> 2003</v>
      </c>
      <c r="F497" s="6" t="s">
        <v>1418</v>
      </c>
      <c r="G497" s="6" t="str">
        <f t="shared" ref="G497" si="325">+geturl(F497)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v>
      </c>
      <c r="H497" s="6"/>
      <c r="I497" s="6"/>
      <c r="J497" s="7"/>
      <c r="K497" s="7"/>
      <c r="L497" s="8"/>
      <c r="N497" s="8"/>
    </row>
    <row r="498" spans="4:16" s="9" customFormat="1" ht="14.25" customHeight="1">
      <c r="D498" s="12"/>
      <c r="F498" s="10" t="s">
        <v>1408</v>
      </c>
      <c r="G498" s="10"/>
      <c r="H498" s="10"/>
      <c r="I498" s="10"/>
      <c r="J498" s="10"/>
      <c r="K498" s="10"/>
      <c r="P498" s="8"/>
    </row>
    <row r="499" spans="4:16" s="9" customFormat="1" ht="14.25" customHeight="1">
      <c r="D499" s="11"/>
      <c r="P499" s="8"/>
    </row>
    <row r="500" spans="4:16" ht="14.25" customHeight="1">
      <c r="D500" s="1"/>
      <c r="E500" s="19" t="str">
        <f t="shared" ref="E500" si="326">TRIM(LEFT(F501,5))</f>
        <v> 2003</v>
      </c>
      <c r="F500" s="2" t="s">
        <v>1419</v>
      </c>
      <c r="G500" s="2" t="str">
        <f t="shared" ref="G500" si="327">+geturl(F500)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v>
      </c>
      <c r="H500" s="2"/>
      <c r="I500" s="2"/>
      <c r="J500" s="2"/>
      <c r="K500" s="2"/>
      <c r="P500" s="5"/>
    </row>
    <row r="501" spans="4:16" ht="14.25" customHeight="1">
      <c r="D501" s="1"/>
      <c r="E501" s="1"/>
      <c r="F501" s="3" t="s">
        <v>1408</v>
      </c>
      <c r="G501" s="3"/>
      <c r="H501" s="3"/>
      <c r="I501" s="3"/>
      <c r="J501" s="3"/>
      <c r="K501" s="3"/>
    </row>
    <row r="502" spans="4:16" ht="14.25" customHeight="1">
      <c r="D502" s="4"/>
    </row>
    <row r="503" spans="4:16" s="9" customFormat="1" ht="14.25" customHeight="1">
      <c r="D503" s="12"/>
      <c r="E503" s="12" t="str">
        <f t="shared" ref="E503" si="328">TRIM(LEFT(F504,5))</f>
        <v> 2003</v>
      </c>
      <c r="F503" s="6" t="s">
        <v>1420</v>
      </c>
      <c r="G503" s="6" t="str">
        <f t="shared" ref="G503" si="329">+geturl(F503)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v>
      </c>
      <c r="H503" s="6"/>
      <c r="I503" s="6"/>
      <c r="J503" s="7"/>
      <c r="K503" s="7"/>
      <c r="L503" s="8"/>
      <c r="N503" s="8"/>
    </row>
    <row r="504" spans="4:16" s="9" customFormat="1" ht="14.25" customHeight="1">
      <c r="D504" s="12"/>
      <c r="F504" s="10" t="s">
        <v>1412</v>
      </c>
      <c r="G504" s="10"/>
      <c r="H504" s="10"/>
      <c r="I504" s="10"/>
      <c r="J504" s="10"/>
      <c r="K504" s="10"/>
      <c r="P504" s="8"/>
    </row>
    <row r="505" spans="4:16" s="9" customFormat="1" ht="14.25" customHeight="1">
      <c r="D505" s="11"/>
      <c r="P505" s="8"/>
    </row>
    <row r="506" spans="4:16" ht="14.25" customHeight="1">
      <c r="D506" s="1"/>
      <c r="E506" s="19" t="str">
        <f t="shared" ref="E506" si="330">TRIM(LEFT(F507,5))</f>
        <v> 2003</v>
      </c>
      <c r="F506" s="2" t="s">
        <v>743</v>
      </c>
      <c r="G506" s="2" t="str">
        <f t="shared" ref="G506" si="331">+geturl(F506)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v>
      </c>
      <c r="H506" s="2"/>
      <c r="I506" s="2"/>
      <c r="J506" s="2"/>
      <c r="K506" s="2"/>
      <c r="P506" s="5"/>
    </row>
    <row r="507" spans="4:16" ht="14.25" customHeight="1">
      <c r="D507" s="1"/>
      <c r="E507" s="1"/>
      <c r="F507" s="3" t="s">
        <v>1421</v>
      </c>
      <c r="G507" s="3"/>
      <c r="H507" s="3"/>
      <c r="I507" s="3"/>
      <c r="J507" s="3"/>
      <c r="K507" s="3"/>
    </row>
    <row r="508" spans="4:16" ht="14.25" customHeight="1">
      <c r="D508" s="4"/>
    </row>
    <row r="509" spans="4:16" s="9" customFormat="1" ht="14.25" customHeight="1">
      <c r="D509" s="12"/>
      <c r="E509" s="12" t="str">
        <f t="shared" ref="E509" si="332">TRIM(LEFT(F510,5))</f>
        <v> 2003</v>
      </c>
      <c r="F509" s="6" t="s">
        <v>685</v>
      </c>
      <c r="G509" s="6" t="str">
        <f t="shared" ref="G509" si="333">+geturl(F509)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v>
      </c>
      <c r="H509" s="6"/>
      <c r="I509" s="6"/>
      <c r="J509" s="7"/>
      <c r="K509" s="7"/>
      <c r="L509" s="8"/>
      <c r="N509" s="8"/>
    </row>
    <row r="510" spans="4:16" s="9" customFormat="1" ht="14.25" customHeight="1">
      <c r="D510" s="12"/>
      <c r="F510" s="10" t="s">
        <v>1408</v>
      </c>
      <c r="G510" s="10"/>
      <c r="H510" s="10"/>
      <c r="I510" s="10"/>
      <c r="J510" s="10"/>
      <c r="K510" s="10"/>
      <c r="P510" s="8"/>
    </row>
    <row r="511" spans="4:16" s="9" customFormat="1" ht="14.25" customHeight="1">
      <c r="D511" s="11"/>
      <c r="P511" s="8"/>
    </row>
    <row r="512" spans="4:16" ht="14.25" customHeight="1">
      <c r="D512" s="1"/>
      <c r="E512" s="19" t="str">
        <f t="shared" ref="E512" si="334">TRIM(LEFT(F513,5))</f>
        <v> 2003</v>
      </c>
      <c r="F512" s="2" t="s">
        <v>1422</v>
      </c>
      <c r="G512" s="2" t="str">
        <f t="shared" ref="G512" si="335">+geturl(F512)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v>
      </c>
      <c r="H512" s="2"/>
      <c r="I512" s="2"/>
      <c r="J512" s="2"/>
      <c r="K512" s="2"/>
      <c r="P512" s="5"/>
    </row>
    <row r="513" spans="4:16" ht="14.25" customHeight="1">
      <c r="D513" s="1"/>
      <c r="E513" s="1"/>
      <c r="F513" s="3" t="s">
        <v>1408</v>
      </c>
      <c r="G513" s="3"/>
      <c r="H513" s="3"/>
      <c r="I513" s="3"/>
      <c r="J513" s="3"/>
      <c r="K513" s="3"/>
    </row>
    <row r="514" spans="4:16" ht="14.25" customHeight="1">
      <c r="D514" s="4"/>
    </row>
    <row r="515" spans="4:16" s="9" customFormat="1" ht="14.25" customHeight="1">
      <c r="D515" s="12"/>
      <c r="E515" s="12" t="str">
        <f t="shared" ref="E515" si="336">TRIM(LEFT(F516,5))</f>
        <v> 2002</v>
      </c>
      <c r="F515" s="6" t="s">
        <v>1423</v>
      </c>
      <c r="G515" s="6" t="str">
        <f t="shared" ref="G515" si="337">+geturl(F515)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v>
      </c>
      <c r="H515" s="6"/>
      <c r="I515" s="6"/>
      <c r="J515" s="7"/>
      <c r="K515" s="7"/>
      <c r="L515" s="8"/>
      <c r="N515" s="8"/>
    </row>
    <row r="516" spans="4:16" s="9" customFormat="1" ht="14.25" customHeight="1">
      <c r="D516" s="12"/>
      <c r="F516" s="10" t="s">
        <v>1424</v>
      </c>
      <c r="G516" s="10"/>
      <c r="H516" s="10"/>
      <c r="I516" s="10"/>
      <c r="J516" s="10"/>
      <c r="K516" s="10"/>
      <c r="P516" s="8"/>
    </row>
    <row r="517" spans="4:16" s="9" customFormat="1" ht="14.25" customHeight="1">
      <c r="D517" s="11"/>
      <c r="P517" s="8"/>
    </row>
    <row r="518" spans="4:16" ht="14.25" customHeight="1">
      <c r="D518" s="1"/>
      <c r="E518" s="19" t="str">
        <f t="shared" ref="E518" si="338">TRIM(LEFT(F519,5))</f>
        <v> 2002</v>
      </c>
      <c r="F518" s="2" t="s">
        <v>646</v>
      </c>
      <c r="G518" s="2" t="str">
        <f t="shared" ref="G518" si="339">+geturl(F518)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v>
      </c>
      <c r="H518" s="2"/>
      <c r="I518" s="2"/>
      <c r="J518" s="2"/>
      <c r="K518" s="2"/>
      <c r="P518" s="5"/>
    </row>
    <row r="519" spans="4:16" ht="14.25" customHeight="1">
      <c r="D519" s="1"/>
      <c r="E519" s="1"/>
      <c r="F519" s="3" t="s">
        <v>1425</v>
      </c>
      <c r="G519" s="3"/>
      <c r="H519" s="3"/>
      <c r="I519" s="3"/>
      <c r="J519" s="3"/>
      <c r="K519" s="3"/>
    </row>
    <row r="520" spans="4:16" ht="14.25" customHeight="1">
      <c r="D520" s="4"/>
    </row>
    <row r="521" spans="4:16" s="9" customFormat="1" ht="14.25" customHeight="1">
      <c r="D521" s="12"/>
      <c r="E521" s="12" t="str">
        <f t="shared" ref="E521" si="340">TRIM(LEFT(F522,5))</f>
        <v> 2002</v>
      </c>
      <c r="F521" s="6" t="s">
        <v>1426</v>
      </c>
      <c r="G521" s="6" t="str">
        <f t="shared" ref="G521" si="341">+geturl(F521)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v>
      </c>
      <c r="H521" s="6"/>
      <c r="I521" s="6"/>
      <c r="J521" s="7"/>
      <c r="K521" s="7"/>
      <c r="L521" s="8"/>
      <c r="N521" s="8"/>
    </row>
    <row r="522" spans="4:16" s="9" customFormat="1" ht="14.25" customHeight="1">
      <c r="D522" s="12"/>
      <c r="F522" s="10" t="s">
        <v>1425</v>
      </c>
      <c r="G522" s="10"/>
      <c r="H522" s="10"/>
      <c r="I522" s="10"/>
      <c r="J522" s="10"/>
      <c r="K522" s="10"/>
      <c r="P522" s="8"/>
    </row>
    <row r="523" spans="4:16" s="9" customFormat="1" ht="14.25" customHeight="1">
      <c r="D523" s="11"/>
      <c r="P523" s="8"/>
    </row>
    <row r="524" spans="4:16" ht="14.25" customHeight="1">
      <c r="D524" s="1"/>
      <c r="E524" s="19" t="str">
        <f t="shared" ref="E524" si="342">TRIM(LEFT(F525,5))</f>
        <v> 2002</v>
      </c>
      <c r="F524" s="2" t="s">
        <v>1427</v>
      </c>
      <c r="G524" s="2" t="str">
        <f t="shared" ref="G524" si="343">+geturl(F524)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v>
      </c>
      <c r="H524" s="2"/>
      <c r="I524" s="2"/>
      <c r="J524" s="2"/>
      <c r="K524" s="2"/>
      <c r="P524" s="5"/>
    </row>
    <row r="525" spans="4:16" ht="14.25" customHeight="1">
      <c r="D525" s="1"/>
      <c r="E525" s="1"/>
      <c r="F525" s="3" t="s">
        <v>1424</v>
      </c>
      <c r="G525" s="3"/>
      <c r="H525" s="3"/>
      <c r="I525" s="3"/>
      <c r="J525" s="3"/>
      <c r="K525" s="3"/>
    </row>
    <row r="526" spans="4:16" ht="14.25" customHeight="1">
      <c r="D526" s="4"/>
    </row>
    <row r="527" spans="4:16" s="9" customFormat="1" ht="14.25" customHeight="1">
      <c r="D527" s="12"/>
      <c r="E527" s="12" t="str">
        <f t="shared" ref="E527" si="344">TRIM(LEFT(F528,5))</f>
        <v> 2002</v>
      </c>
      <c r="F527" s="6" t="s">
        <v>689</v>
      </c>
      <c r="G527" s="6" t="str">
        <f t="shared" ref="G527" si="345">+geturl(F527)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v>
      </c>
      <c r="H527" s="6"/>
      <c r="I527" s="6"/>
      <c r="J527" s="7"/>
      <c r="K527" s="7"/>
      <c r="L527" s="8"/>
      <c r="N527" s="8"/>
    </row>
    <row r="528" spans="4:16" s="9" customFormat="1" ht="14.25" customHeight="1">
      <c r="D528" s="12"/>
      <c r="F528" s="10" t="s">
        <v>1425</v>
      </c>
      <c r="G528" s="10"/>
      <c r="H528" s="10"/>
      <c r="I528" s="10"/>
      <c r="J528" s="10"/>
      <c r="K528" s="10"/>
      <c r="P528" s="8"/>
    </row>
    <row r="529" spans="4:16" s="9" customFormat="1" ht="14.25" customHeight="1">
      <c r="D529" s="11"/>
      <c r="P529" s="8"/>
    </row>
    <row r="530" spans="4:16" ht="14.25" customHeight="1">
      <c r="D530" s="1"/>
      <c r="E530" s="19" t="str">
        <f t="shared" ref="E530" si="346">TRIM(LEFT(F531,5))</f>
        <v> 2002</v>
      </c>
      <c r="F530" s="2" t="s">
        <v>669</v>
      </c>
      <c r="G530" s="2" t="str">
        <f t="shared" ref="G530" si="347">+geturl(F530)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v>
      </c>
      <c r="H530" s="2"/>
      <c r="I530" s="2"/>
      <c r="J530" s="2"/>
      <c r="K530" s="2"/>
      <c r="P530" s="5"/>
    </row>
    <row r="531" spans="4:16" ht="14.25" customHeight="1">
      <c r="D531" s="1"/>
      <c r="E531" s="1"/>
      <c r="F531" s="3" t="s">
        <v>1428</v>
      </c>
      <c r="G531" s="3"/>
      <c r="H531" s="3"/>
      <c r="I531" s="3"/>
      <c r="J531" s="3"/>
      <c r="K531" s="3"/>
    </row>
    <row r="532" spans="4:16" ht="14.25" customHeight="1">
      <c r="D532" s="4"/>
    </row>
    <row r="533" spans="4:16" s="9" customFormat="1" ht="14.25" customHeight="1">
      <c r="D533" s="12"/>
      <c r="E533" s="12" t="str">
        <f t="shared" ref="E533" si="348">TRIM(LEFT(F534,5))</f>
        <v> 2002</v>
      </c>
      <c r="F533" s="6" t="s">
        <v>587</v>
      </c>
      <c r="G533" s="6" t="str">
        <f t="shared" ref="G533" si="349">+geturl(F533)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v>
      </c>
      <c r="H533" s="6"/>
      <c r="I533" s="6"/>
      <c r="J533" s="7"/>
      <c r="K533" s="7"/>
      <c r="L533" s="8"/>
      <c r="N533" s="8"/>
    </row>
    <row r="534" spans="4:16" s="9" customFormat="1" ht="14.25" customHeight="1">
      <c r="D534" s="12"/>
      <c r="F534" s="10" t="s">
        <v>1429</v>
      </c>
      <c r="G534" s="10"/>
      <c r="H534" s="10"/>
      <c r="I534" s="10"/>
      <c r="J534" s="10"/>
      <c r="K534" s="10"/>
      <c r="P534" s="8"/>
    </row>
    <row r="535" spans="4:16" s="9" customFormat="1" ht="14.25" customHeight="1">
      <c r="D535" s="11"/>
      <c r="P535" s="8"/>
    </row>
    <row r="536" spans="4:16" ht="14.25" customHeight="1">
      <c r="D536" s="1"/>
      <c r="E536" s="19" t="str">
        <f t="shared" ref="E536" si="350">TRIM(LEFT(F537,5))</f>
        <v> 2002</v>
      </c>
      <c r="F536" s="2" t="s">
        <v>488</v>
      </c>
      <c r="G536" s="2" t="str">
        <f t="shared" ref="G536" si="351">+geturl(F536)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v>
      </c>
      <c r="H536" s="2"/>
      <c r="I536" s="2"/>
      <c r="J536" s="2"/>
      <c r="K536" s="2"/>
      <c r="P536" s="5"/>
    </row>
    <row r="537" spans="4:16" ht="14.25" customHeight="1">
      <c r="D537" s="1"/>
      <c r="E537" s="1"/>
      <c r="F537" s="3" t="s">
        <v>1424</v>
      </c>
      <c r="G537" s="3"/>
      <c r="H537" s="3"/>
      <c r="I537" s="3"/>
      <c r="J537" s="3"/>
      <c r="K537" s="3"/>
    </row>
    <row r="538" spans="4:16" ht="14.25" customHeight="1">
      <c r="D538" s="4"/>
    </row>
    <row r="539" spans="4:16" s="9" customFormat="1" ht="14.25" customHeight="1">
      <c r="D539" s="12"/>
      <c r="E539" s="12" t="str">
        <f t="shared" ref="E539" si="352">TRIM(LEFT(F540,5))</f>
        <v> 2002</v>
      </c>
      <c r="F539" s="6" t="s">
        <v>1430</v>
      </c>
      <c r="G539" s="6" t="str">
        <f t="shared" ref="G539" si="353">+geturl(F539)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v>
      </c>
      <c r="H539" s="6"/>
      <c r="I539" s="6"/>
      <c r="J539" s="7"/>
      <c r="K539" s="7"/>
      <c r="L539" s="8"/>
      <c r="N539" s="8"/>
    </row>
    <row r="540" spans="4:16" s="9" customFormat="1" ht="14.25" customHeight="1">
      <c r="D540" s="12"/>
      <c r="F540" s="10" t="s">
        <v>1424</v>
      </c>
      <c r="G540" s="10"/>
      <c r="H540" s="10"/>
      <c r="I540" s="10"/>
      <c r="J540" s="10"/>
      <c r="K540" s="10"/>
      <c r="P540" s="8"/>
    </row>
    <row r="541" spans="4:16" s="9" customFormat="1" ht="14.25" customHeight="1">
      <c r="D541" s="11"/>
      <c r="P541" s="8"/>
    </row>
    <row r="542" spans="4:16" ht="14.25" customHeight="1">
      <c r="D542" s="1"/>
      <c r="E542" s="19" t="str">
        <f t="shared" ref="E542" si="354">TRIM(LEFT(F543,5))</f>
        <v> 2002</v>
      </c>
      <c r="F542" s="2" t="s">
        <v>1431</v>
      </c>
      <c r="G542" s="2" t="str">
        <f t="shared" ref="G542" si="355">+geturl(F542)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v>
      </c>
      <c r="H542" s="2"/>
      <c r="I542" s="2"/>
      <c r="J542" s="2"/>
      <c r="K542" s="2"/>
      <c r="P542" s="5"/>
    </row>
    <row r="543" spans="4:16" ht="14.25" customHeight="1">
      <c r="D543" s="1"/>
      <c r="E543" s="1"/>
      <c r="F543" s="3" t="s">
        <v>1424</v>
      </c>
      <c r="G543" s="3"/>
      <c r="H543" s="3"/>
      <c r="I543" s="3"/>
      <c r="J543" s="3"/>
      <c r="K543" s="3"/>
    </row>
    <row r="544" spans="4:16" ht="14.25" customHeight="1">
      <c r="D544" s="4"/>
    </row>
    <row r="545" spans="4:16" s="9" customFormat="1" ht="14.25" customHeight="1">
      <c r="D545" s="12"/>
      <c r="E545" s="12" t="str">
        <f t="shared" ref="E545" si="356">TRIM(LEFT(F546,5))</f>
        <v> 2002</v>
      </c>
      <c r="F545" s="6" t="s">
        <v>1432</v>
      </c>
      <c r="G545" s="6" t="str">
        <f t="shared" ref="G545" si="357">+geturl(F545)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v>
      </c>
      <c r="H545" s="6"/>
      <c r="I545" s="6"/>
      <c r="J545" s="7"/>
      <c r="K545" s="7"/>
      <c r="L545" s="8"/>
      <c r="N545" s="8"/>
    </row>
    <row r="546" spans="4:16" s="9" customFormat="1" ht="14.25" customHeight="1">
      <c r="D546" s="12"/>
      <c r="F546" s="10" t="s">
        <v>1433</v>
      </c>
      <c r="G546" s="10"/>
      <c r="H546" s="10"/>
      <c r="I546" s="10"/>
      <c r="J546" s="10"/>
      <c r="K546" s="10"/>
      <c r="P546" s="8"/>
    </row>
    <row r="547" spans="4:16" s="9" customFormat="1" ht="14.25" customHeight="1">
      <c r="D547" s="11"/>
      <c r="P547" s="8"/>
    </row>
    <row r="548" spans="4:16" ht="14.25" customHeight="1">
      <c r="D548" s="1"/>
      <c r="E548" s="19" t="str">
        <f t="shared" ref="E548" si="358">TRIM(LEFT(F549,5))</f>
        <v> 2001</v>
      </c>
      <c r="F548" s="2" t="s">
        <v>1434</v>
      </c>
      <c r="G548" s="2" t="str">
        <f t="shared" ref="G548" si="359">+geturl(F548)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v>
      </c>
      <c r="H548" s="2"/>
      <c r="I548" s="2"/>
      <c r="J548" s="2"/>
      <c r="K548" s="2"/>
      <c r="P548" s="5"/>
    </row>
    <row r="549" spans="4:16" ht="14.25" customHeight="1">
      <c r="D549" s="1"/>
      <c r="E549" s="1"/>
      <c r="F549" s="3" t="s">
        <v>1435</v>
      </c>
      <c r="G549" s="3"/>
      <c r="H549" s="3"/>
      <c r="I549" s="3"/>
      <c r="J549" s="3"/>
      <c r="K549" s="3"/>
    </row>
    <row r="550" spans="4:16" ht="14.25" customHeight="1">
      <c r="D550" s="4"/>
    </row>
    <row r="551" spans="4:16" s="9" customFormat="1" ht="14.25" customHeight="1">
      <c r="D551" s="12"/>
      <c r="E551" s="12" t="str">
        <f t="shared" ref="E551" si="360">TRIM(LEFT(F552,5))</f>
        <v> 2001</v>
      </c>
      <c r="F551" s="6" t="s">
        <v>630</v>
      </c>
      <c r="G551" s="6" t="str">
        <f t="shared" ref="G551" si="361">+geturl(F551)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v>
      </c>
      <c r="H551" s="6"/>
      <c r="I551" s="6"/>
      <c r="J551" s="7"/>
      <c r="K551" s="7"/>
      <c r="L551" s="8"/>
      <c r="N551" s="8"/>
    </row>
    <row r="552" spans="4:16" s="9" customFormat="1" ht="14.25" customHeight="1">
      <c r="D552" s="12"/>
      <c r="F552" s="10" t="s">
        <v>1435</v>
      </c>
      <c r="G552" s="10"/>
      <c r="H552" s="10"/>
      <c r="I552" s="10"/>
      <c r="J552" s="10"/>
      <c r="K552" s="10"/>
      <c r="P552" s="8"/>
    </row>
    <row r="553" spans="4:16" s="9" customFormat="1" ht="14.25" customHeight="1">
      <c r="D553" s="11"/>
      <c r="P553" s="8"/>
    </row>
    <row r="554" spans="4:16" ht="14.25" customHeight="1">
      <c r="D554" s="1"/>
      <c r="E554" s="19" t="str">
        <f t="shared" ref="E554" si="362">TRIM(LEFT(F555,5))</f>
        <v> 2001</v>
      </c>
      <c r="F554" s="2" t="s">
        <v>1436</v>
      </c>
      <c r="G554" s="2" t="str">
        <f t="shared" ref="G554" si="363">+geturl(F554)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v>
      </c>
      <c r="H554" s="2"/>
      <c r="I554" s="2"/>
      <c r="J554" s="2"/>
      <c r="K554" s="2"/>
      <c r="P554" s="5"/>
    </row>
    <row r="555" spans="4:16" ht="14.25" customHeight="1">
      <c r="D555" s="1"/>
      <c r="E555" s="1"/>
      <c r="F555" s="3" t="s">
        <v>1435</v>
      </c>
      <c r="G555" s="3"/>
      <c r="H555" s="3"/>
      <c r="I555" s="3"/>
      <c r="J555" s="3"/>
      <c r="K555" s="3"/>
    </row>
    <row r="556" spans="4:16" ht="14.25" customHeight="1">
      <c r="D556" s="4"/>
    </row>
    <row r="557" spans="4:16" s="9" customFormat="1" ht="14.25" customHeight="1">
      <c r="D557" s="12"/>
      <c r="E557" s="12" t="str">
        <f t="shared" ref="E557" si="364">TRIM(LEFT(F558,5))</f>
        <v> 2001</v>
      </c>
      <c r="F557" s="6" t="s">
        <v>1437</v>
      </c>
      <c r="G557" s="6" t="str">
        <f t="shared" ref="G557" si="365">+geturl(F557)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v>
      </c>
      <c r="H557" s="6"/>
      <c r="I557" s="6"/>
      <c r="J557" s="7"/>
      <c r="K557" s="7"/>
      <c r="L557" s="8"/>
      <c r="N557" s="8"/>
    </row>
    <row r="558" spans="4:16" s="9" customFormat="1" ht="14.25" customHeight="1">
      <c r="D558" s="12"/>
      <c r="F558" s="10" t="s">
        <v>1438</v>
      </c>
      <c r="G558" s="10"/>
      <c r="H558" s="10"/>
      <c r="I558" s="10"/>
      <c r="J558" s="10"/>
      <c r="K558" s="10"/>
      <c r="P558" s="8"/>
    </row>
    <row r="559" spans="4:16" s="9" customFormat="1" ht="14.25" customHeight="1">
      <c r="D559" s="11"/>
      <c r="P559" s="8"/>
    </row>
    <row r="560" spans="4:16" ht="14.25" customHeight="1">
      <c r="D560" s="1"/>
      <c r="E560" s="19" t="str">
        <f t="shared" ref="E560" si="366">TRIM(LEFT(F561,5))</f>
        <v> 2001</v>
      </c>
      <c r="F560" s="2" t="s">
        <v>1439</v>
      </c>
      <c r="G560" s="2" t="str">
        <f t="shared" ref="G560" si="367">+geturl(F560)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v>
      </c>
      <c r="H560" s="2"/>
      <c r="I560" s="2"/>
      <c r="J560" s="2"/>
      <c r="K560" s="2"/>
      <c r="P560" s="5"/>
    </row>
    <row r="561" spans="4:16" ht="14.25" customHeight="1">
      <c r="D561" s="1"/>
      <c r="E561" s="1"/>
      <c r="F561" s="3" t="s">
        <v>1438</v>
      </c>
      <c r="G561" s="3"/>
      <c r="H561" s="3"/>
      <c r="I561" s="3"/>
      <c r="J561" s="3"/>
      <c r="K561" s="3"/>
    </row>
    <row r="562" spans="4:16" ht="14.25" customHeight="1">
      <c r="D562" s="4"/>
    </row>
    <row r="563" spans="4:16" s="9" customFormat="1" ht="14.25" customHeight="1">
      <c r="D563" s="12"/>
      <c r="E563" s="12" t="str">
        <f t="shared" ref="E563" si="368">TRIM(LEFT(F564,5))</f>
        <v> 2001</v>
      </c>
      <c r="F563" s="6" t="s">
        <v>602</v>
      </c>
      <c r="G563" s="6" t="str">
        <f t="shared" ref="G563" si="369">+geturl(F563)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v>
      </c>
      <c r="H563" s="6"/>
      <c r="I563" s="6"/>
      <c r="J563" s="7"/>
      <c r="K563" s="7"/>
      <c r="L563" s="8"/>
      <c r="N563" s="8"/>
    </row>
    <row r="564" spans="4:16" s="9" customFormat="1" ht="14.25" customHeight="1">
      <c r="D564" s="12"/>
      <c r="F564" s="10" t="s">
        <v>1440</v>
      </c>
      <c r="G564" s="10"/>
      <c r="H564" s="10"/>
      <c r="I564" s="10"/>
      <c r="J564" s="10"/>
      <c r="K564" s="10"/>
      <c r="P564" s="8"/>
    </row>
    <row r="565" spans="4:16" s="9" customFormat="1" ht="14.25" customHeight="1">
      <c r="D565" s="11"/>
      <c r="P565" s="8"/>
    </row>
    <row r="566" spans="4:16" ht="14.25" customHeight="1">
      <c r="D566" s="1"/>
      <c r="E566" s="19" t="str">
        <f t="shared" ref="E566" si="370">TRIM(LEFT(F567,5))</f>
        <v> 2001</v>
      </c>
      <c r="F566" s="2" t="s">
        <v>1441</v>
      </c>
      <c r="G566" s="2" t="str">
        <f t="shared" ref="G566" si="371">+geturl(F566)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v>
      </c>
      <c r="H566" s="2"/>
      <c r="I566" s="2"/>
      <c r="J566" s="2"/>
      <c r="K566" s="2"/>
      <c r="P566" s="5"/>
    </row>
    <row r="567" spans="4:16" ht="14.25" customHeight="1">
      <c r="D567" s="1"/>
      <c r="E567" s="1"/>
      <c r="F567" s="3" t="s">
        <v>1435</v>
      </c>
      <c r="G567" s="3"/>
      <c r="H567" s="3"/>
      <c r="I567" s="3"/>
      <c r="J567" s="3"/>
      <c r="K567" s="3"/>
    </row>
    <row r="568" spans="4:16" ht="14.25" customHeight="1">
      <c r="D568" s="4"/>
    </row>
    <row r="569" spans="4:16" s="9" customFormat="1" ht="14.25" customHeight="1">
      <c r="D569" s="12"/>
      <c r="E569" s="12" t="str">
        <f t="shared" ref="E569" si="372">TRIM(LEFT(F570,5))</f>
        <v> 2001</v>
      </c>
      <c r="F569" s="6" t="s">
        <v>1442</v>
      </c>
      <c r="G569" s="6" t="str">
        <f t="shared" ref="G569" si="373">+geturl(F569)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v>
      </c>
      <c r="H569" s="6"/>
      <c r="I569" s="6"/>
      <c r="J569" s="7"/>
      <c r="K569" s="7"/>
      <c r="L569" s="8"/>
      <c r="N569" s="8"/>
    </row>
    <row r="570" spans="4:16" s="9" customFormat="1" ht="14.25" customHeight="1">
      <c r="D570" s="12"/>
      <c r="F570" s="10" t="s">
        <v>1438</v>
      </c>
      <c r="G570" s="10"/>
      <c r="H570" s="10"/>
      <c r="I570" s="10"/>
      <c r="J570" s="10"/>
      <c r="K570" s="10"/>
      <c r="P570" s="8"/>
    </row>
    <row r="571" spans="4:16" s="9" customFormat="1" ht="14.25" customHeight="1">
      <c r="D571" s="11"/>
      <c r="P571" s="8"/>
    </row>
    <row r="572" spans="4:16" ht="14.25" customHeight="1">
      <c r="D572" s="1"/>
      <c r="E572" s="19" t="str">
        <f t="shared" ref="E572" si="374">TRIM(LEFT(F573,5))</f>
        <v> 2001</v>
      </c>
      <c r="F572" s="2" t="s">
        <v>577</v>
      </c>
      <c r="G572" s="2" t="str">
        <f t="shared" ref="G572" si="375">+geturl(F572)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v>
      </c>
      <c r="H572" s="2"/>
      <c r="I572" s="2"/>
      <c r="J572" s="2"/>
      <c r="K572" s="2"/>
      <c r="P572" s="5"/>
    </row>
    <row r="573" spans="4:16" ht="14.25" customHeight="1">
      <c r="D573" s="1"/>
      <c r="E573" s="1"/>
      <c r="F573" s="3" t="s">
        <v>1435</v>
      </c>
      <c r="G573" s="3"/>
      <c r="H573" s="3"/>
      <c r="I573" s="3"/>
      <c r="J573" s="3"/>
      <c r="K573" s="3"/>
    </row>
    <row r="574" spans="4:16" ht="14.25" customHeight="1">
      <c r="D574" s="4"/>
    </row>
    <row r="575" spans="4:16" s="9" customFormat="1" ht="14.25" customHeight="1">
      <c r="D575" s="12"/>
      <c r="E575" s="12" t="str">
        <f t="shared" ref="E575" si="376">TRIM(LEFT(F576,5))</f>
        <v> 2001</v>
      </c>
      <c r="F575" s="6" t="s">
        <v>1443</v>
      </c>
      <c r="G575" s="6" t="str">
        <f t="shared" ref="G575" si="377">+geturl(F575)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v>
      </c>
      <c r="H575" s="6"/>
      <c r="I575" s="6"/>
      <c r="J575" s="7"/>
      <c r="K575" s="7"/>
      <c r="L575" s="8"/>
      <c r="N575" s="8"/>
    </row>
    <row r="576" spans="4:16" s="9" customFormat="1" ht="14.25" customHeight="1">
      <c r="D576" s="12"/>
      <c r="F576" s="10" t="s">
        <v>1438</v>
      </c>
      <c r="G576" s="10"/>
      <c r="H576" s="10"/>
      <c r="I576" s="10"/>
      <c r="J576" s="10"/>
      <c r="K576" s="10"/>
      <c r="P576" s="8"/>
    </row>
    <row r="577" spans="4:16" s="9" customFormat="1" ht="14.25" customHeight="1">
      <c r="D577" s="11"/>
      <c r="P577" s="8"/>
    </row>
    <row r="578" spans="4:16" ht="14.25" customHeight="1">
      <c r="D578" s="1"/>
      <c r="E578" s="19" t="str">
        <f t="shared" ref="E578" si="378">TRIM(LEFT(F579,5))</f>
        <v> 2001</v>
      </c>
      <c r="F578" s="2" t="s">
        <v>1444</v>
      </c>
      <c r="G578" s="2" t="str">
        <f t="shared" ref="G578" si="379">+geturl(F578)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v>
      </c>
      <c r="H578" s="2"/>
      <c r="I578" s="2"/>
      <c r="J578" s="2"/>
      <c r="K578" s="2"/>
      <c r="P578" s="5"/>
    </row>
    <row r="579" spans="4:16" ht="14.25" customHeight="1">
      <c r="D579" s="1"/>
      <c r="E579" s="1"/>
      <c r="F579" s="3" t="s">
        <v>1445</v>
      </c>
      <c r="G579" s="3"/>
      <c r="H579" s="3"/>
      <c r="I579" s="3"/>
      <c r="J579" s="3"/>
      <c r="K579" s="3"/>
    </row>
    <row r="580" spans="4:16" ht="14.25" customHeight="1">
      <c r="D580" s="4"/>
    </row>
    <row r="581" spans="4:16" s="9" customFormat="1" ht="14.25" customHeight="1">
      <c r="D581" s="12"/>
      <c r="E581" s="12" t="str">
        <f t="shared" ref="E581" si="380">TRIM(LEFT(F582,5))</f>
        <v> 2001</v>
      </c>
      <c r="F581" s="6" t="s">
        <v>1446</v>
      </c>
      <c r="G581" s="6" t="str">
        <f t="shared" ref="G581" si="381">+geturl(F581)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v>
      </c>
      <c r="H581" s="6"/>
      <c r="I581" s="6"/>
      <c r="J581" s="7"/>
      <c r="K581" s="7"/>
      <c r="L581" s="8"/>
      <c r="N581" s="8"/>
    </row>
    <row r="582" spans="4:16" s="9" customFormat="1" ht="14.25" customHeight="1">
      <c r="D582" s="12"/>
      <c r="F582" s="10" t="s">
        <v>1447</v>
      </c>
      <c r="G582" s="10"/>
      <c r="H582" s="10"/>
      <c r="I582" s="10"/>
      <c r="J582" s="10"/>
      <c r="K582" s="10"/>
      <c r="P582" s="8"/>
    </row>
    <row r="583" spans="4:16" s="9" customFormat="1" ht="14.25" customHeight="1">
      <c r="D583" s="11"/>
      <c r="P583" s="8"/>
    </row>
    <row r="584" spans="4:16" ht="14.25" customHeight="1">
      <c r="D584" s="1"/>
      <c r="E584" s="19" t="str">
        <f t="shared" ref="E584" si="382">TRIM(LEFT(F585,5))</f>
        <v> 2001</v>
      </c>
      <c r="F584" s="2" t="s">
        <v>581</v>
      </c>
      <c r="G584" s="2" t="str">
        <f t="shared" ref="G584" si="383">+geturl(F584)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v>
      </c>
      <c r="H584" s="2"/>
      <c r="I584" s="2"/>
      <c r="J584" s="2"/>
      <c r="K584" s="2"/>
      <c r="P584" s="5"/>
    </row>
    <row r="585" spans="4:16" ht="14.25" customHeight="1">
      <c r="D585" s="1"/>
      <c r="E585" s="1"/>
      <c r="F585" s="3" t="s">
        <v>1435</v>
      </c>
      <c r="G585" s="3"/>
      <c r="H585" s="3"/>
      <c r="I585" s="3"/>
      <c r="J585" s="3"/>
      <c r="K585" s="3"/>
    </row>
    <row r="586" spans="4:16" ht="14.25" customHeight="1">
      <c r="D586" s="4"/>
    </row>
    <row r="587" spans="4:16" s="9" customFormat="1" ht="14.25" customHeight="1">
      <c r="D587" s="12"/>
      <c r="E587" s="12" t="str">
        <f t="shared" ref="E587" si="384">TRIM(LEFT(F588,5))</f>
        <v> 2001</v>
      </c>
      <c r="F587" s="6" t="s">
        <v>1448</v>
      </c>
      <c r="G587" s="6" t="str">
        <f t="shared" ref="G587" si="385">+geturl(F587)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v>
      </c>
      <c r="H587" s="6"/>
      <c r="I587" s="6"/>
      <c r="J587" s="7"/>
      <c r="K587" s="7"/>
      <c r="L587" s="8"/>
      <c r="N587" s="8"/>
    </row>
    <row r="588" spans="4:16" s="9" customFormat="1" ht="14.25" customHeight="1">
      <c r="D588" s="12"/>
      <c r="F588" s="10" t="s">
        <v>1438</v>
      </c>
      <c r="G588" s="10"/>
      <c r="H588" s="10"/>
      <c r="I588" s="10"/>
      <c r="J588" s="10"/>
      <c r="K588" s="10"/>
      <c r="P588" s="8"/>
    </row>
    <row r="589" spans="4:16" s="9" customFormat="1" ht="14.25" customHeight="1">
      <c r="D589" s="11"/>
      <c r="P589" s="8"/>
    </row>
    <row r="590" spans="4:16" ht="14.25" customHeight="1">
      <c r="D590" s="1"/>
      <c r="E590" s="19" t="str">
        <f t="shared" ref="E590" si="386">TRIM(LEFT(F591,5))</f>
        <v> 2000</v>
      </c>
      <c r="F590" s="2" t="s">
        <v>548</v>
      </c>
      <c r="G590" s="2" t="str">
        <f t="shared" ref="G590" si="387">+geturl(F590)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v>
      </c>
      <c r="H590" s="2"/>
      <c r="I590" s="2"/>
      <c r="J590" s="2"/>
      <c r="K590" s="2"/>
      <c r="P590" s="5"/>
    </row>
    <row r="591" spans="4:16" ht="14.25" customHeight="1">
      <c r="D591" s="1"/>
      <c r="E591" s="1"/>
      <c r="F591" s="3" t="s">
        <v>1449</v>
      </c>
      <c r="G591" s="3"/>
      <c r="H591" s="3"/>
      <c r="I591" s="3"/>
      <c r="J591" s="3"/>
      <c r="K591" s="3"/>
    </row>
    <row r="592" spans="4:16" ht="14.25" customHeight="1">
      <c r="D592" s="4"/>
    </row>
    <row r="593" spans="4:16" s="9" customFormat="1" ht="14.25" customHeight="1">
      <c r="D593" s="12"/>
      <c r="E593" s="12" t="str">
        <f t="shared" ref="E593" si="388">TRIM(LEFT(F594,5))</f>
        <v> 2000</v>
      </c>
      <c r="F593" s="6" t="s">
        <v>550</v>
      </c>
      <c r="G593" s="6" t="str">
        <f t="shared" ref="G593" si="389">+geturl(F593)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v>
      </c>
      <c r="H593" s="6"/>
      <c r="I593" s="6"/>
      <c r="J593" s="7"/>
      <c r="K593" s="7"/>
      <c r="L593" s="8"/>
      <c r="N593" s="8"/>
    </row>
    <row r="594" spans="4:16" s="9" customFormat="1" ht="14.25" customHeight="1">
      <c r="D594" s="12"/>
      <c r="F594" s="10" t="s">
        <v>1449</v>
      </c>
      <c r="G594" s="10"/>
      <c r="H594" s="10"/>
      <c r="I594" s="10"/>
      <c r="J594" s="10"/>
      <c r="K594" s="10"/>
      <c r="P594" s="8"/>
    </row>
    <row r="595" spans="4:16" s="9" customFormat="1" ht="14.25" customHeight="1">
      <c r="D595" s="11"/>
      <c r="P595" s="8"/>
    </row>
    <row r="596" spans="4:16" ht="14.25" customHeight="1">
      <c r="D596" s="1"/>
      <c r="E596" s="19" t="str">
        <f t="shared" ref="E596" si="390">TRIM(LEFT(F597,5))</f>
        <v> 2000</v>
      </c>
      <c r="F596" s="2" t="s">
        <v>1450</v>
      </c>
      <c r="G596" s="2" t="str">
        <f t="shared" ref="G596" si="391">+geturl(F596)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v>
      </c>
      <c r="H596" s="2"/>
      <c r="I596" s="2"/>
      <c r="J596" s="2"/>
      <c r="K596" s="2"/>
      <c r="P596" s="5"/>
    </row>
    <row r="597" spans="4:16" ht="14.25" customHeight="1">
      <c r="D597" s="1"/>
      <c r="E597" s="1"/>
      <c r="F597" s="3" t="s">
        <v>1451</v>
      </c>
      <c r="G597" s="3"/>
      <c r="H597" s="3"/>
      <c r="I597" s="3"/>
      <c r="J597" s="3"/>
      <c r="K597" s="3"/>
    </row>
    <row r="598" spans="4:16" ht="14.25" customHeight="1">
      <c r="D598" s="4"/>
    </row>
    <row r="599" spans="4:16" s="9" customFormat="1" ht="14.25" customHeight="1">
      <c r="D599" s="12"/>
      <c r="E599" s="12" t="str">
        <f t="shared" ref="E599" si="392">TRIM(LEFT(F600,5))</f>
        <v> 2000</v>
      </c>
      <c r="F599" s="6" t="s">
        <v>560</v>
      </c>
      <c r="G599" s="6" t="str">
        <f t="shared" ref="G599" si="393">+geturl(F599)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v>
      </c>
      <c r="H599" s="6"/>
      <c r="I599" s="6"/>
      <c r="J599" s="7"/>
      <c r="K599" s="7"/>
      <c r="L599" s="8"/>
      <c r="N599" s="8"/>
    </row>
    <row r="600" spans="4:16" s="9" customFormat="1" ht="14.25" customHeight="1">
      <c r="D600" s="12"/>
      <c r="F600" s="10" t="s">
        <v>1449</v>
      </c>
      <c r="G600" s="10"/>
      <c r="H600" s="10"/>
      <c r="I600" s="10"/>
      <c r="J600" s="10"/>
      <c r="K600" s="10"/>
      <c r="P600" s="8"/>
    </row>
    <row r="601" spans="4:16" s="9" customFormat="1" ht="14.25" customHeight="1">
      <c r="D601" s="11"/>
      <c r="P601" s="8"/>
    </row>
    <row r="602" spans="4:16" ht="14.25" customHeight="1">
      <c r="D602" s="1"/>
      <c r="E602" s="19" t="str">
        <f t="shared" ref="E602" si="394">TRIM(LEFT(F603,5))</f>
        <v> 2000</v>
      </c>
      <c r="F602" s="2" t="s">
        <v>1452</v>
      </c>
      <c r="G602" s="2" t="str">
        <f t="shared" ref="G602" si="395">+geturl(F602)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v>
      </c>
      <c r="H602" s="2"/>
      <c r="I602" s="2"/>
      <c r="J602" s="2"/>
      <c r="K602" s="2"/>
      <c r="P602" s="5"/>
    </row>
    <row r="603" spans="4:16" ht="14.25" customHeight="1">
      <c r="D603" s="1"/>
      <c r="E603" s="1"/>
      <c r="F603" s="3" t="s">
        <v>1451</v>
      </c>
      <c r="G603" s="3"/>
      <c r="H603" s="3"/>
      <c r="I603" s="3"/>
      <c r="J603" s="3"/>
      <c r="K603" s="3"/>
    </row>
    <row r="604" spans="4:16" ht="14.25" customHeight="1">
      <c r="D604" s="4"/>
    </row>
    <row r="605" spans="4:16" s="9" customFormat="1" ht="14.25" customHeight="1">
      <c r="D605" s="12"/>
      <c r="E605" s="12" t="str">
        <f t="shared" ref="E605" si="396">TRIM(LEFT(F606,5))</f>
        <v> 2000</v>
      </c>
      <c r="F605" s="6" t="s">
        <v>1453</v>
      </c>
      <c r="G605" s="6" t="str">
        <f t="shared" ref="G605" si="397">+geturl(F605)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v>
      </c>
      <c r="H605" s="6"/>
      <c r="I605" s="6"/>
      <c r="J605" s="7"/>
      <c r="K605" s="7"/>
      <c r="L605" s="8"/>
      <c r="N605" s="8"/>
    </row>
    <row r="606" spans="4:16" s="9" customFormat="1" ht="14.25" customHeight="1">
      <c r="D606" s="12"/>
      <c r="F606" s="10" t="s">
        <v>1449</v>
      </c>
      <c r="G606" s="10"/>
      <c r="H606" s="10"/>
      <c r="I606" s="10"/>
      <c r="J606" s="10"/>
      <c r="K606" s="10"/>
      <c r="P606" s="8"/>
    </row>
    <row r="607" spans="4:16" s="9" customFormat="1" ht="14.25" customHeight="1">
      <c r="D607" s="11"/>
      <c r="P607" s="8"/>
    </row>
    <row r="608" spans="4:16" ht="14.25" customHeight="1">
      <c r="D608" s="1"/>
      <c r="E608" s="19" t="str">
        <f t="shared" ref="E608" si="398">TRIM(LEFT(F609,5))</f>
        <v> 2000</v>
      </c>
      <c r="F608" s="2" t="s">
        <v>1454</v>
      </c>
      <c r="G608" s="2" t="str">
        <f t="shared" ref="G608" si="399">+geturl(F608)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v>
      </c>
      <c r="H608" s="2"/>
      <c r="I608" s="2"/>
      <c r="J608" s="2"/>
      <c r="K608" s="2"/>
      <c r="P608" s="5"/>
    </row>
    <row r="609" spans="4:16" ht="14.25" customHeight="1">
      <c r="D609" s="1"/>
      <c r="E609" s="1"/>
      <c r="F609" s="3" t="s">
        <v>1449</v>
      </c>
      <c r="G609" s="3"/>
      <c r="H609" s="3"/>
      <c r="I609" s="3"/>
      <c r="J609" s="3"/>
      <c r="K609" s="3"/>
    </row>
    <row r="610" spans="4:16" ht="14.25" customHeight="1">
      <c r="D610" s="4"/>
    </row>
    <row r="611" spans="4:16" s="9" customFormat="1" ht="14.25" customHeight="1">
      <c r="D611" s="12"/>
      <c r="E611" s="12" t="str">
        <f t="shared" ref="E611" si="400">TRIM(LEFT(F612,5))</f>
        <v> 2000</v>
      </c>
      <c r="F611" s="6" t="s">
        <v>574</v>
      </c>
      <c r="G611" s="6" t="str">
        <f t="shared" ref="G611" si="401">+geturl(F611)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v>
      </c>
      <c r="H611" s="6"/>
      <c r="I611" s="6"/>
      <c r="J611" s="7"/>
      <c r="K611" s="7"/>
      <c r="L611" s="8"/>
      <c r="N611" s="8"/>
    </row>
    <row r="612" spans="4:16" s="9" customFormat="1" ht="14.25" customHeight="1">
      <c r="D612" s="12"/>
      <c r="F612" s="10" t="s">
        <v>1455</v>
      </c>
      <c r="G612" s="10"/>
      <c r="H612" s="10"/>
      <c r="I612" s="10"/>
      <c r="J612" s="10"/>
      <c r="K612" s="10"/>
      <c r="P612" s="8"/>
    </row>
    <row r="613" spans="4:16" s="9" customFormat="1" ht="14.25" customHeight="1">
      <c r="D613" s="11"/>
      <c r="P613" s="8"/>
    </row>
    <row r="614" spans="4:16" ht="14.25" customHeight="1">
      <c r="D614" s="1"/>
      <c r="E614" s="19" t="str">
        <f t="shared" ref="E614" si="402">TRIM(LEFT(F615,5))</f>
        <v> 2000</v>
      </c>
      <c r="F614" s="2" t="s">
        <v>418</v>
      </c>
      <c r="G614" s="2" t="str">
        <f t="shared" ref="G614" si="403">+geturl(F614)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v>
      </c>
      <c r="H614" s="2"/>
      <c r="I614" s="2"/>
      <c r="J614" s="2"/>
      <c r="K614" s="2"/>
      <c r="P614" s="5"/>
    </row>
    <row r="615" spans="4:16" ht="14.25" customHeight="1">
      <c r="D615" s="1"/>
      <c r="E615" s="1"/>
      <c r="F615" s="3" t="s">
        <v>1449</v>
      </c>
      <c r="G615" s="3"/>
      <c r="H615" s="3"/>
      <c r="I615" s="3"/>
      <c r="J615" s="3"/>
      <c r="K615" s="3"/>
    </row>
    <row r="616" spans="4:16" ht="14.25" customHeight="1">
      <c r="D616" s="4"/>
    </row>
    <row r="617" spans="4:16" s="9" customFormat="1" ht="14.25" customHeight="1">
      <c r="D617" s="12"/>
      <c r="E617" s="12" t="str">
        <f t="shared" ref="E617" si="404">TRIM(LEFT(F618,5))</f>
        <v> 2000</v>
      </c>
      <c r="F617" s="6" t="s">
        <v>1456</v>
      </c>
      <c r="G617" s="6" t="str">
        <f t="shared" ref="G617" si="405">+geturl(F617)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v>
      </c>
      <c r="H617" s="6"/>
      <c r="I617" s="6"/>
      <c r="J617" s="7"/>
      <c r="K617" s="7"/>
      <c r="L617" s="8"/>
      <c r="N617" s="8"/>
    </row>
    <row r="618" spans="4:16" s="9" customFormat="1" ht="14.25" customHeight="1">
      <c r="D618" s="12"/>
      <c r="F618" s="10" t="s">
        <v>1451</v>
      </c>
      <c r="G618" s="10"/>
      <c r="H618" s="10"/>
      <c r="I618" s="10"/>
      <c r="J618" s="10"/>
      <c r="K618" s="10"/>
      <c r="P618" s="8"/>
    </row>
    <row r="619" spans="4:16" s="9" customFormat="1" ht="14.25" customHeight="1">
      <c r="D619" s="11"/>
      <c r="P619" s="8"/>
    </row>
    <row r="620" spans="4:16" ht="14.25" customHeight="1">
      <c r="D620" s="1"/>
      <c r="E620" s="19" t="str">
        <f t="shared" ref="E620" si="406">TRIM(LEFT(F621,5))</f>
        <v> 2000</v>
      </c>
      <c r="F620" s="2" t="s">
        <v>497</v>
      </c>
      <c r="G620" s="2" t="str">
        <f t="shared" ref="G620" si="407">+geturl(F620)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v>
      </c>
      <c r="H620" s="2"/>
      <c r="I620" s="2"/>
      <c r="J620" s="2"/>
      <c r="K620" s="2"/>
      <c r="P620" s="5"/>
    </row>
    <row r="621" spans="4:16" ht="14.25" customHeight="1">
      <c r="D621" s="1"/>
      <c r="E621" s="1"/>
      <c r="F621" s="3" t="s">
        <v>1457</v>
      </c>
      <c r="G621" s="3"/>
      <c r="H621" s="3"/>
      <c r="I621" s="3"/>
      <c r="J621" s="3"/>
      <c r="K621" s="3"/>
    </row>
    <row r="622" spans="4:16" ht="14.25" customHeight="1">
      <c r="D622" s="4"/>
    </row>
    <row r="623" spans="4:16" s="9" customFormat="1" ht="14.25" customHeight="1">
      <c r="D623" s="12"/>
      <c r="E623" s="12" t="str">
        <f t="shared" ref="E623" si="408">TRIM(LEFT(F624,5))</f>
        <v> 2000</v>
      </c>
      <c r="F623" s="6" t="s">
        <v>1458</v>
      </c>
      <c r="G623" s="6" t="str">
        <f t="shared" ref="G623" si="409">+geturl(F623)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v>
      </c>
      <c r="H623" s="6"/>
      <c r="I623" s="6"/>
      <c r="J623" s="7"/>
      <c r="K623" s="7"/>
      <c r="L623" s="8"/>
      <c r="N623" s="8"/>
    </row>
    <row r="624" spans="4:16" s="9" customFormat="1" ht="14.25" customHeight="1">
      <c r="D624" s="12"/>
      <c r="F624" s="10" t="s">
        <v>1451</v>
      </c>
      <c r="G624" s="10"/>
      <c r="H624" s="10"/>
      <c r="I624" s="10"/>
      <c r="J624" s="10"/>
      <c r="K624" s="10"/>
      <c r="P624" s="8"/>
    </row>
    <row r="625" spans="4:16" s="9" customFormat="1" ht="14.25" customHeight="1">
      <c r="D625" s="11"/>
      <c r="P625" s="8"/>
    </row>
    <row r="626" spans="4:16" ht="14.25" customHeight="1">
      <c r="D626" s="1"/>
      <c r="E626" s="19" t="str">
        <f t="shared" ref="E626" si="410">TRIM(LEFT(F627,5))</f>
        <v> 2000</v>
      </c>
      <c r="F626" s="2" t="s">
        <v>1459</v>
      </c>
      <c r="G626" s="2" t="str">
        <f t="shared" ref="G626" si="411">+geturl(F626)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v>
      </c>
      <c r="H626" s="2"/>
      <c r="I626" s="2"/>
      <c r="J626" s="2"/>
      <c r="K626" s="2"/>
      <c r="P626" s="5"/>
    </row>
    <row r="627" spans="4:16" ht="14.25" customHeight="1">
      <c r="D627" s="1"/>
      <c r="E627" s="1"/>
      <c r="F627" s="3" t="s">
        <v>1449</v>
      </c>
      <c r="G627" s="3"/>
      <c r="H627" s="3"/>
      <c r="I627" s="3"/>
      <c r="J627" s="3"/>
      <c r="K627" s="3"/>
    </row>
    <row r="628" spans="4:16" ht="14.25" customHeight="1">
      <c r="D628" s="4"/>
    </row>
    <row r="629" spans="4:16" s="9" customFormat="1" ht="14.25" customHeight="1">
      <c r="D629" s="12"/>
      <c r="E629" s="12" t="str">
        <f t="shared" ref="E629" si="412">TRIM(LEFT(F630,5))</f>
        <v> 2000</v>
      </c>
      <c r="F629" s="6" t="s">
        <v>1460</v>
      </c>
      <c r="G629" s="6" t="str">
        <f t="shared" ref="G629" si="413">+geturl(F629)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v>
      </c>
      <c r="H629" s="6"/>
      <c r="I629" s="6"/>
      <c r="J629" s="7"/>
      <c r="K629" s="7"/>
      <c r="L629" s="8"/>
      <c r="N629" s="8"/>
    </row>
    <row r="630" spans="4:16" s="9" customFormat="1" ht="14.25" customHeight="1">
      <c r="D630" s="12"/>
      <c r="F630" s="10" t="s">
        <v>1455</v>
      </c>
      <c r="G630" s="10"/>
      <c r="H630" s="10"/>
      <c r="I630" s="10"/>
      <c r="J630" s="10"/>
      <c r="K630" s="10"/>
      <c r="P630" s="8"/>
    </row>
    <row r="631" spans="4:16" s="9" customFormat="1" ht="14.25" customHeight="1">
      <c r="D631" s="11"/>
      <c r="P631" s="8"/>
    </row>
    <row r="632" spans="4:16" ht="14.25" customHeight="1">
      <c r="D632" s="1"/>
      <c r="E632" s="19" t="str">
        <f t="shared" ref="E632" si="414">TRIM(LEFT(F633,5))</f>
        <v> 2000</v>
      </c>
      <c r="F632" s="2" t="s">
        <v>1461</v>
      </c>
      <c r="G632" s="2" t="str">
        <f t="shared" ref="G632" si="415">+geturl(F632)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v>
      </c>
      <c r="H632" s="2"/>
      <c r="I632" s="2"/>
      <c r="J632" s="2"/>
      <c r="K632" s="2"/>
      <c r="P632" s="5"/>
    </row>
    <row r="633" spans="4:16" ht="14.25" customHeight="1">
      <c r="D633" s="1"/>
      <c r="E633" s="1"/>
      <c r="F633" s="3" t="s">
        <v>1462</v>
      </c>
      <c r="G633" s="3"/>
      <c r="H633" s="3"/>
      <c r="I633" s="3"/>
      <c r="J633" s="3"/>
      <c r="K633" s="3"/>
    </row>
    <row r="634" spans="4:16" ht="14.25" customHeight="1">
      <c r="D634" s="4"/>
    </row>
    <row r="635" spans="4:16" s="9" customFormat="1" ht="14.25" customHeight="1">
      <c r="D635" s="12"/>
      <c r="E635" s="12" t="str">
        <f t="shared" ref="E635" si="416">TRIM(LEFT(F636,5))</f>
        <v> 2000</v>
      </c>
      <c r="F635" s="6" t="s">
        <v>1463</v>
      </c>
      <c r="G635" s="6" t="str">
        <f t="shared" ref="G635" si="417">+geturl(F635)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v>
      </c>
      <c r="H635" s="6"/>
      <c r="I635" s="6"/>
      <c r="J635" s="7"/>
      <c r="K635" s="7"/>
      <c r="L635" s="8"/>
      <c r="N635" s="8"/>
    </row>
    <row r="636" spans="4:16" s="9" customFormat="1" ht="14.25" customHeight="1">
      <c r="D636" s="12"/>
      <c r="F636" s="10" t="s">
        <v>1462</v>
      </c>
      <c r="G636" s="10"/>
      <c r="H636" s="10"/>
      <c r="I636" s="10"/>
      <c r="J636" s="10"/>
      <c r="K636" s="10"/>
      <c r="P636" s="8"/>
    </row>
    <row r="637" spans="4:16" s="9" customFormat="1" ht="14.25" customHeight="1">
      <c r="D637" s="11"/>
      <c r="P637" s="8"/>
    </row>
    <row r="638" spans="4:16" ht="14.25" customHeight="1">
      <c r="D638" s="1"/>
      <c r="E638" s="19" t="str">
        <f t="shared" ref="E638" si="418">TRIM(LEFT(F639,5))</f>
        <v> 2000</v>
      </c>
      <c r="F638" s="2" t="s">
        <v>1464</v>
      </c>
      <c r="G638" s="2" t="str">
        <f t="shared" ref="G638" si="419">+geturl(F638)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v>
      </c>
      <c r="H638" s="2"/>
      <c r="I638" s="2"/>
      <c r="J638" s="2"/>
      <c r="K638" s="2"/>
      <c r="P638" s="5"/>
    </row>
    <row r="639" spans="4:16" ht="14.25" customHeight="1">
      <c r="D639" s="1"/>
      <c r="E639" s="1"/>
      <c r="F639" s="3" t="s">
        <v>1465</v>
      </c>
      <c r="G639" s="3"/>
      <c r="H639" s="3"/>
      <c r="I639" s="3"/>
      <c r="J639" s="3"/>
      <c r="K639" s="3"/>
    </row>
    <row r="640" spans="4:16" ht="14.25" customHeight="1">
      <c r="D640" s="4"/>
    </row>
    <row r="641" spans="4:16" s="9" customFormat="1" ht="14.25" customHeight="1">
      <c r="D641" s="12"/>
      <c r="E641" s="12" t="str">
        <f t="shared" ref="E641" si="420">TRIM(LEFT(F642,5))</f>
        <v> 2000</v>
      </c>
      <c r="F641" s="6" t="s">
        <v>549</v>
      </c>
      <c r="G641" s="6" t="str">
        <f t="shared" ref="G641" si="421">+geturl(F641)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v>
      </c>
      <c r="H641" s="6"/>
      <c r="I641" s="6"/>
      <c r="J641" s="7"/>
      <c r="K641" s="7"/>
      <c r="L641" s="8"/>
      <c r="N641" s="8"/>
    </row>
    <row r="642" spans="4:16" s="9" customFormat="1" ht="14.25" customHeight="1">
      <c r="D642" s="12"/>
      <c r="F642" s="10" t="s">
        <v>1449</v>
      </c>
      <c r="G642" s="10"/>
      <c r="H642" s="10"/>
      <c r="I642" s="10"/>
      <c r="J642" s="10"/>
      <c r="K642" s="10"/>
      <c r="P642" s="8"/>
    </row>
    <row r="643" spans="4:16" s="9" customFormat="1" ht="14.25" customHeight="1">
      <c r="D643" s="11"/>
      <c r="P643" s="8"/>
    </row>
    <row r="644" spans="4:16" ht="14.25" customHeight="1">
      <c r="D644" s="1"/>
      <c r="E644" s="19" t="str">
        <f t="shared" ref="E644" si="422">TRIM(LEFT(F645,5))</f>
        <v> 2000</v>
      </c>
      <c r="F644" s="2" t="s">
        <v>396</v>
      </c>
      <c r="G644" s="2" t="str">
        <f t="shared" ref="G644" si="423">+geturl(F644)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v>
      </c>
      <c r="H644" s="2"/>
      <c r="I644" s="2"/>
      <c r="J644" s="2"/>
      <c r="K644" s="2"/>
      <c r="P644" s="5"/>
    </row>
    <row r="645" spans="4:16" ht="14.25" customHeight="1">
      <c r="D645" s="1"/>
      <c r="E645" s="1"/>
      <c r="F645" s="3" t="s">
        <v>1466</v>
      </c>
      <c r="G645" s="3"/>
      <c r="H645" s="3"/>
      <c r="I645" s="3"/>
      <c r="J645" s="3"/>
      <c r="K645" s="3"/>
    </row>
    <row r="646" spans="4:16" ht="14.25" customHeight="1">
      <c r="D646" s="4"/>
    </row>
    <row r="647" spans="4:16" s="9" customFormat="1" ht="14.25" customHeight="1">
      <c r="D647" s="12"/>
      <c r="E647" s="12" t="str">
        <f t="shared" ref="E647" si="424">TRIM(LEFT(F648,5))</f>
        <v> 2000</v>
      </c>
      <c r="F647" s="6" t="s">
        <v>1467</v>
      </c>
      <c r="G647" s="6" t="str">
        <f t="shared" ref="G647" si="425">+geturl(F647)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v>
      </c>
      <c r="H647" s="6"/>
      <c r="I647" s="6"/>
      <c r="J647" s="7"/>
      <c r="K647" s="7"/>
      <c r="L647" s="8"/>
      <c r="N647" s="8"/>
    </row>
    <row r="648" spans="4:16" s="9" customFormat="1" ht="14.25" customHeight="1">
      <c r="D648" s="12"/>
      <c r="F648" s="10" t="s">
        <v>1468</v>
      </c>
      <c r="G648" s="10"/>
      <c r="H648" s="10"/>
      <c r="I648" s="10"/>
      <c r="J648" s="10"/>
      <c r="K648" s="10"/>
      <c r="P648" s="8"/>
    </row>
    <row r="649" spans="4:16" s="9" customFormat="1" ht="14.25" customHeight="1">
      <c r="D649" s="11"/>
      <c r="P649" s="8"/>
    </row>
    <row r="650" spans="4:16" ht="14.25" customHeight="1">
      <c r="D650" s="1"/>
      <c r="E650" s="19" t="str">
        <f t="shared" ref="E650" si="426">TRIM(LEFT(F651,5))</f>
        <v> 2000</v>
      </c>
      <c r="F650" s="2" t="s">
        <v>1469</v>
      </c>
      <c r="G650" s="2" t="str">
        <f t="shared" ref="G650" si="427">+geturl(F650)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v>
      </c>
      <c r="H650" s="2"/>
      <c r="I650" s="2"/>
      <c r="J650" s="2"/>
      <c r="K650" s="2"/>
      <c r="P650" s="5"/>
    </row>
    <row r="651" spans="4:16" ht="14.25" customHeight="1">
      <c r="D651" s="1"/>
      <c r="E651" s="1"/>
      <c r="F651" s="3" t="s">
        <v>1470</v>
      </c>
      <c r="G651" s="3"/>
      <c r="H651" s="3"/>
      <c r="I651" s="3"/>
      <c r="J651" s="3"/>
      <c r="K651" s="3"/>
    </row>
    <row r="652" spans="4:16" ht="14.25" customHeight="1">
      <c r="D652" s="4"/>
    </row>
    <row r="653" spans="4:16" s="9" customFormat="1" ht="14.25" customHeight="1">
      <c r="D653" s="12"/>
      <c r="E653" s="12" t="str">
        <f t="shared" ref="E653" si="428">TRIM(LEFT(F654,5))</f>
        <v> 2000</v>
      </c>
      <c r="F653" s="6" t="s">
        <v>1471</v>
      </c>
      <c r="G653" s="6" t="str">
        <f t="shared" ref="G653" si="429">+geturl(F653)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v>
      </c>
      <c r="H653" s="6"/>
      <c r="I653" s="6"/>
      <c r="J653" s="7"/>
      <c r="K653" s="7"/>
      <c r="L653" s="8"/>
      <c r="N653" s="8"/>
    </row>
    <row r="654" spans="4:16" s="9" customFormat="1" ht="14.25" customHeight="1">
      <c r="D654" s="12"/>
      <c r="F654" s="10" t="s">
        <v>1472</v>
      </c>
      <c r="G654" s="10"/>
      <c r="H654" s="10"/>
      <c r="I654" s="10"/>
      <c r="J654" s="10"/>
      <c r="K654" s="10"/>
      <c r="P654" s="8"/>
    </row>
    <row r="655" spans="4:16" s="9" customFormat="1" ht="14.25" customHeight="1">
      <c r="D655" s="11"/>
      <c r="P655" s="8"/>
    </row>
    <row r="656" spans="4:16" ht="14.25" customHeight="1">
      <c r="D656" s="1"/>
      <c r="E656" s="19" t="str">
        <f t="shared" ref="E656" si="430">TRIM(LEFT(F657,5))</f>
        <v> 2000</v>
      </c>
      <c r="F656" s="2" t="s">
        <v>1473</v>
      </c>
      <c r="G656" s="2" t="str">
        <f t="shared" ref="G656" si="431">+geturl(F656)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v>
      </c>
      <c r="H656" s="2"/>
      <c r="I656" s="2"/>
      <c r="J656" s="2"/>
      <c r="K656" s="2"/>
      <c r="P656" s="5"/>
    </row>
    <row r="657" spans="4:16" ht="14.25" customHeight="1">
      <c r="D657" s="1"/>
      <c r="E657" s="1"/>
      <c r="F657" s="3" t="s">
        <v>1472</v>
      </c>
      <c r="G657" s="3"/>
      <c r="H657" s="3"/>
      <c r="I657" s="3"/>
      <c r="J657" s="3"/>
      <c r="K657" s="3"/>
    </row>
    <row r="658" spans="4:16" ht="14.25" customHeight="1">
      <c r="D658" s="4"/>
    </row>
    <row r="659" spans="4:16" s="9" customFormat="1" ht="14.25" customHeight="1">
      <c r="D659" s="12"/>
      <c r="E659" s="12" t="str">
        <f t="shared" ref="E659" si="432">TRIM(LEFT(F660,5))</f>
        <v> 2000</v>
      </c>
      <c r="F659" s="6" t="s">
        <v>1474</v>
      </c>
      <c r="G659" s="6" t="str">
        <f t="shared" ref="G659" si="433">+geturl(F659)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v>
      </c>
      <c r="H659" s="6"/>
      <c r="I659" s="6"/>
      <c r="J659" s="7"/>
      <c r="K659" s="7"/>
      <c r="L659" s="8"/>
      <c r="N659" s="8"/>
    </row>
    <row r="660" spans="4:16" s="9" customFormat="1" ht="14.25" customHeight="1">
      <c r="D660" s="12"/>
      <c r="F660" s="10" t="s">
        <v>1451</v>
      </c>
      <c r="G660" s="10"/>
      <c r="H660" s="10"/>
      <c r="I660" s="10"/>
      <c r="J660" s="10"/>
      <c r="K660" s="10"/>
      <c r="P660" s="8"/>
    </row>
    <row r="661" spans="4:16" s="9" customFormat="1" ht="14.25" customHeight="1">
      <c r="D661" s="11"/>
      <c r="P661" s="8"/>
    </row>
    <row r="662" spans="4:16" ht="14.25" customHeight="1">
      <c r="D662" s="1"/>
      <c r="E662" s="19" t="str">
        <f t="shared" ref="E662" si="434">TRIM(LEFT(F663,5))</f>
        <v> 1999</v>
      </c>
      <c r="F662" s="2" t="s">
        <v>528</v>
      </c>
      <c r="G662" s="2" t="str">
        <f t="shared" ref="G662" si="435">+geturl(F662)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v>
      </c>
      <c r="H662" s="2"/>
      <c r="I662" s="2"/>
      <c r="J662" s="2"/>
      <c r="K662" s="2"/>
      <c r="P662" s="5"/>
    </row>
    <row r="663" spans="4:16" ht="14.25" customHeight="1">
      <c r="D663" s="1"/>
      <c r="E663" s="1"/>
      <c r="F663" s="3" t="s">
        <v>1475</v>
      </c>
      <c r="G663" s="3"/>
      <c r="H663" s="3"/>
      <c r="I663" s="3"/>
      <c r="J663" s="3"/>
      <c r="K663" s="3"/>
    </row>
    <row r="664" spans="4:16" ht="14.25" customHeight="1">
      <c r="D664" s="4"/>
    </row>
    <row r="665" spans="4:16" s="9" customFormat="1" ht="14.25" customHeight="1">
      <c r="D665" s="12"/>
      <c r="E665" s="12" t="str">
        <f t="shared" ref="E665" si="436">TRIM(LEFT(F666,5))</f>
        <v> 1999</v>
      </c>
      <c r="F665" s="6" t="s">
        <v>534</v>
      </c>
      <c r="G665" s="6" t="str">
        <f t="shared" ref="G665" si="437">+geturl(F665)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v>
      </c>
      <c r="H665" s="6"/>
      <c r="I665" s="6"/>
      <c r="J665" s="7"/>
      <c r="K665" s="7"/>
      <c r="L665" s="8"/>
      <c r="N665" s="8"/>
    </row>
    <row r="666" spans="4:16" s="9" customFormat="1" ht="14.25" customHeight="1">
      <c r="D666" s="12"/>
      <c r="F666" s="10" t="s">
        <v>1476</v>
      </c>
      <c r="G666" s="10"/>
      <c r="H666" s="10"/>
      <c r="I666" s="10"/>
      <c r="J666" s="10"/>
      <c r="K666" s="10"/>
      <c r="P666" s="8"/>
    </row>
    <row r="667" spans="4:16" s="9" customFormat="1" ht="14.25" customHeight="1">
      <c r="D667" s="11"/>
      <c r="P667" s="8"/>
    </row>
    <row r="668" spans="4:16" ht="14.25" customHeight="1">
      <c r="D668" s="1"/>
      <c r="E668" s="19" t="str">
        <f t="shared" ref="E668" si="438">TRIM(LEFT(F669,5))</f>
        <v> 1999</v>
      </c>
      <c r="F668" s="2" t="s">
        <v>530</v>
      </c>
      <c r="G668" s="2" t="str">
        <f t="shared" ref="G668" si="439">+geturl(F668)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v>
      </c>
      <c r="H668" s="2"/>
      <c r="I668" s="2"/>
      <c r="J668" s="2"/>
      <c r="K668" s="2"/>
      <c r="P668" s="5"/>
    </row>
    <row r="669" spans="4:16" ht="14.25" customHeight="1">
      <c r="D669" s="1"/>
      <c r="E669" s="1"/>
      <c r="F669" s="3" t="s">
        <v>1476</v>
      </c>
      <c r="G669" s="3"/>
      <c r="H669" s="3"/>
      <c r="I669" s="3"/>
      <c r="J669" s="3"/>
      <c r="K669" s="3"/>
    </row>
    <row r="670" spans="4:16" ht="14.25" customHeight="1">
      <c r="D670" s="4"/>
    </row>
    <row r="671" spans="4:16" s="9" customFormat="1" ht="14.25" customHeight="1">
      <c r="D671" s="12"/>
      <c r="E671" s="12" t="str">
        <f t="shared" ref="E671" si="440">TRIM(LEFT(F672,5))</f>
        <v> 1999</v>
      </c>
      <c r="F671" s="6" t="s">
        <v>546</v>
      </c>
      <c r="G671" s="6" t="str">
        <f t="shared" ref="G671" si="441">+geturl(F671)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v>
      </c>
      <c r="H671" s="6"/>
      <c r="I671" s="6"/>
      <c r="J671" s="7"/>
      <c r="K671" s="7"/>
      <c r="L671" s="8"/>
      <c r="N671" s="8"/>
    </row>
    <row r="672" spans="4:16" s="9" customFormat="1" ht="14.25" customHeight="1">
      <c r="D672" s="12"/>
      <c r="F672" s="10" t="s">
        <v>1476</v>
      </c>
      <c r="G672" s="10"/>
      <c r="H672" s="10"/>
      <c r="I672" s="10"/>
      <c r="J672" s="10"/>
      <c r="K672" s="10"/>
      <c r="P672" s="8"/>
    </row>
    <row r="673" spans="4:16" s="9" customFormat="1" ht="14.25" customHeight="1">
      <c r="D673" s="11"/>
      <c r="P673" s="8"/>
    </row>
    <row r="674" spans="4:16" ht="14.25" customHeight="1">
      <c r="D674" s="1"/>
      <c r="E674" s="19" t="str">
        <f t="shared" ref="E674" si="442">TRIM(LEFT(F675,5))</f>
        <v> 1999</v>
      </c>
      <c r="F674" s="2" t="s">
        <v>538</v>
      </c>
      <c r="G674" s="2" t="str">
        <f t="shared" ref="G674" si="443">+geturl(F674)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v>
      </c>
      <c r="H674" s="2"/>
      <c r="I674" s="2"/>
      <c r="J674" s="2"/>
      <c r="K674" s="2"/>
      <c r="P674" s="5"/>
    </row>
    <row r="675" spans="4:16" ht="14.25" customHeight="1">
      <c r="D675" s="1"/>
      <c r="E675" s="1"/>
      <c r="F675" s="3" t="s">
        <v>1476</v>
      </c>
      <c r="G675" s="3"/>
      <c r="H675" s="3"/>
      <c r="I675" s="3"/>
      <c r="J675" s="3"/>
      <c r="K675" s="3"/>
    </row>
    <row r="676" spans="4:16" ht="14.25" customHeight="1">
      <c r="D676" s="4"/>
    </row>
    <row r="677" spans="4:16" s="9" customFormat="1" ht="14.25" customHeight="1">
      <c r="D677" s="12"/>
      <c r="E677" s="12" t="str">
        <f t="shared" ref="E677" si="444">TRIM(LEFT(F678,5))</f>
        <v> 1999</v>
      </c>
      <c r="F677" s="6" t="s">
        <v>1477</v>
      </c>
      <c r="G677" s="6" t="str">
        <f t="shared" ref="G677" si="445">+geturl(F677)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v>
      </c>
      <c r="H677" s="6"/>
      <c r="I677" s="6"/>
      <c r="J677" s="7"/>
      <c r="K677" s="7"/>
      <c r="L677" s="8"/>
      <c r="N677" s="8"/>
    </row>
    <row r="678" spans="4:16" s="9" customFormat="1" ht="14.25" customHeight="1">
      <c r="D678" s="12"/>
      <c r="F678" s="10" t="s">
        <v>1475</v>
      </c>
      <c r="G678" s="10"/>
      <c r="H678" s="10"/>
      <c r="I678" s="10"/>
      <c r="J678" s="10"/>
      <c r="K678" s="10"/>
      <c r="P678" s="8"/>
    </row>
    <row r="679" spans="4:16" s="9" customFormat="1" ht="14.25" customHeight="1">
      <c r="D679" s="11"/>
      <c r="P679" s="8"/>
    </row>
    <row r="680" spans="4:16" ht="14.25" customHeight="1">
      <c r="D680" s="1"/>
      <c r="E680" s="19" t="str">
        <f t="shared" ref="E680" si="446">TRIM(LEFT(F681,5))</f>
        <v> 1999</v>
      </c>
      <c r="F680" s="2" t="s">
        <v>1478</v>
      </c>
      <c r="G680" s="2" t="str">
        <f t="shared" ref="G680" si="447">+geturl(F680)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v>
      </c>
      <c r="H680" s="2"/>
      <c r="I680" s="2"/>
      <c r="J680" s="2"/>
      <c r="K680" s="2"/>
      <c r="P680" s="5"/>
    </row>
    <row r="681" spans="4:16" ht="14.25" customHeight="1">
      <c r="D681" s="1"/>
      <c r="E681" s="1"/>
      <c r="F681" s="3" t="s">
        <v>1479</v>
      </c>
      <c r="G681" s="3"/>
      <c r="H681" s="3"/>
      <c r="I681" s="3"/>
      <c r="J681" s="3"/>
      <c r="K681" s="3"/>
    </row>
    <row r="682" spans="4:16" ht="14.25" customHeight="1">
      <c r="D682" s="4"/>
    </row>
    <row r="683" spans="4:16" s="9" customFormat="1" ht="14.25" customHeight="1">
      <c r="D683" s="12"/>
      <c r="E683" s="12" t="str">
        <f t="shared" ref="E683" si="448">TRIM(LEFT(F684,5))</f>
        <v> 1999</v>
      </c>
      <c r="F683" s="6" t="s">
        <v>535</v>
      </c>
      <c r="G683" s="6" t="str">
        <f t="shared" ref="G683" si="449">+geturl(F683)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v>
      </c>
      <c r="H683" s="6"/>
      <c r="I683" s="6"/>
      <c r="J683" s="7"/>
      <c r="K683" s="7"/>
      <c r="L683" s="8"/>
      <c r="N683" s="8"/>
    </row>
    <row r="684" spans="4:16" s="9" customFormat="1" ht="14.25" customHeight="1">
      <c r="D684" s="12"/>
      <c r="F684" s="10" t="s">
        <v>1475</v>
      </c>
      <c r="G684" s="10"/>
      <c r="H684" s="10"/>
      <c r="I684" s="10"/>
      <c r="J684" s="10"/>
      <c r="K684" s="10"/>
      <c r="P684" s="8"/>
    </row>
    <row r="685" spans="4:16" s="9" customFormat="1" ht="14.25" customHeight="1">
      <c r="D685" s="11"/>
      <c r="P685" s="8"/>
    </row>
    <row r="686" spans="4:16" ht="14.25" customHeight="1">
      <c r="D686" s="1"/>
      <c r="E686" s="19" t="str">
        <f t="shared" ref="E686" si="450">TRIM(LEFT(F687,5))</f>
        <v> 1999</v>
      </c>
      <c r="F686" s="2" t="s">
        <v>1480</v>
      </c>
      <c r="G686" s="2" t="str">
        <f t="shared" ref="G686" si="451">+geturl(F686)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v>
      </c>
      <c r="H686" s="2"/>
      <c r="I686" s="2"/>
      <c r="J686" s="2"/>
      <c r="K686" s="2"/>
      <c r="P686" s="5"/>
    </row>
    <row r="687" spans="4:16" ht="14.25" customHeight="1">
      <c r="D687" s="1"/>
      <c r="E687" s="1"/>
      <c r="F687" s="3" t="s">
        <v>1475</v>
      </c>
      <c r="G687" s="3"/>
      <c r="H687" s="3"/>
      <c r="I687" s="3"/>
      <c r="J687" s="3"/>
      <c r="K687" s="3"/>
    </row>
    <row r="688" spans="4:16" ht="14.25" customHeight="1">
      <c r="D688" s="4"/>
    </row>
    <row r="689" spans="4:16" s="9" customFormat="1" ht="14.25" customHeight="1">
      <c r="D689" s="12"/>
      <c r="E689" s="12" t="str">
        <f t="shared" ref="E689" si="452">TRIM(LEFT(F690,5))</f>
        <v> 1999</v>
      </c>
      <c r="F689" s="6" t="s">
        <v>477</v>
      </c>
      <c r="G689" s="6" t="str">
        <f t="shared" ref="G689" si="453">+geturl(F689)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v>
      </c>
      <c r="H689" s="6"/>
      <c r="I689" s="6"/>
      <c r="J689" s="7"/>
      <c r="K689" s="7"/>
      <c r="L689" s="8"/>
      <c r="N689" s="8"/>
    </row>
    <row r="690" spans="4:16" s="9" customFormat="1" ht="14.25" customHeight="1">
      <c r="D690" s="12"/>
      <c r="F690" s="10" t="s">
        <v>1475</v>
      </c>
      <c r="G690" s="10"/>
      <c r="H690" s="10"/>
      <c r="I690" s="10"/>
      <c r="J690" s="10"/>
      <c r="K690" s="10"/>
      <c r="P690" s="8"/>
    </row>
    <row r="691" spans="4:16" s="9" customFormat="1" ht="14.25" customHeight="1">
      <c r="D691" s="11"/>
      <c r="P691" s="8"/>
    </row>
    <row r="692" spans="4:16" ht="14.25" customHeight="1">
      <c r="D692" s="1"/>
      <c r="E692" s="19" t="str">
        <f t="shared" ref="E692" si="454">TRIM(LEFT(F693,5))</f>
        <v> 1999</v>
      </c>
      <c r="F692" s="2" t="s">
        <v>1481</v>
      </c>
      <c r="G692" s="2" t="str">
        <f t="shared" ref="G692" si="455">+geturl(F692)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v>
      </c>
      <c r="H692" s="2"/>
      <c r="I692" s="2"/>
      <c r="J692" s="2"/>
      <c r="K692" s="2"/>
      <c r="P692" s="5"/>
    </row>
    <row r="693" spans="4:16" ht="14.25" customHeight="1">
      <c r="D693" s="1"/>
      <c r="E693" s="1"/>
      <c r="F693" s="3" t="s">
        <v>1482</v>
      </c>
      <c r="G693" s="3"/>
      <c r="H693" s="3"/>
      <c r="I693" s="3"/>
      <c r="J693" s="3"/>
      <c r="K693" s="3"/>
    </row>
    <row r="694" spans="4:16" ht="14.25" customHeight="1">
      <c r="D694" s="4"/>
    </row>
    <row r="695" spans="4:16" s="9" customFormat="1" ht="14.25" customHeight="1">
      <c r="D695" s="12"/>
      <c r="E695" s="12" t="str">
        <f t="shared" ref="E695" si="456">TRIM(LEFT(F696,5))</f>
        <v> 1999</v>
      </c>
      <c r="F695" s="6" t="s">
        <v>1473</v>
      </c>
      <c r="G695" s="6" t="str">
        <f t="shared" ref="G695" si="457">+geturl(F695)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v>
      </c>
      <c r="H695" s="6"/>
      <c r="I695" s="6"/>
      <c r="J695" s="7"/>
      <c r="K695" s="7"/>
      <c r="L695" s="8"/>
      <c r="N695" s="8"/>
    </row>
    <row r="696" spans="4:16" s="9" customFormat="1" ht="14.25" customHeight="1">
      <c r="D696" s="12"/>
      <c r="F696" s="10" t="s">
        <v>1483</v>
      </c>
      <c r="G696" s="10"/>
      <c r="H696" s="10"/>
      <c r="I696" s="10"/>
      <c r="J696" s="10"/>
      <c r="K696" s="10"/>
      <c r="P696" s="8"/>
    </row>
    <row r="697" spans="4:16" s="9" customFormat="1" ht="14.25" customHeight="1">
      <c r="D697" s="11"/>
      <c r="P697" s="8"/>
    </row>
    <row r="698" spans="4:16" ht="14.25" customHeight="1">
      <c r="D698" s="1"/>
      <c r="E698" s="19" t="str">
        <f t="shared" ref="E698" si="458">TRIM(LEFT(F699,5))</f>
        <v> 1998</v>
      </c>
      <c r="F698" s="2" t="s">
        <v>1484</v>
      </c>
      <c r="G698" s="2" t="str">
        <f t="shared" ref="G698" si="459">+geturl(F698)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v>
      </c>
      <c r="H698" s="2"/>
      <c r="I698" s="2"/>
      <c r="J698" s="2"/>
      <c r="K698" s="2"/>
      <c r="P698" s="5"/>
    </row>
    <row r="699" spans="4:16" ht="14.25" customHeight="1">
      <c r="D699" s="1"/>
      <c r="E699" s="1"/>
      <c r="F699" s="3" t="s">
        <v>1485</v>
      </c>
      <c r="G699" s="3"/>
      <c r="H699" s="3"/>
      <c r="I699" s="3"/>
      <c r="J699" s="3"/>
      <c r="K699" s="3"/>
    </row>
    <row r="700" spans="4:16" ht="14.25" customHeight="1">
      <c r="D700" s="4"/>
    </row>
    <row r="701" spans="4:16" s="9" customFormat="1" ht="14.25" customHeight="1">
      <c r="D701" s="12"/>
      <c r="E701" s="12" t="str">
        <f t="shared" ref="E701" si="460">TRIM(LEFT(F702,5))</f>
        <v> 1998</v>
      </c>
      <c r="F701" s="6" t="s">
        <v>1486</v>
      </c>
      <c r="G701" s="6" t="str">
        <f t="shared" ref="G701" si="461">+geturl(F701)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v>
      </c>
      <c r="H701" s="6"/>
      <c r="I701" s="6"/>
      <c r="J701" s="7"/>
      <c r="K701" s="7"/>
      <c r="L701" s="8"/>
      <c r="N701" s="8"/>
    </row>
    <row r="702" spans="4:16" s="9" customFormat="1" ht="14.25" customHeight="1">
      <c r="D702" s="12"/>
      <c r="F702" s="10" t="s">
        <v>1485</v>
      </c>
      <c r="G702" s="10"/>
      <c r="H702" s="10"/>
      <c r="I702" s="10"/>
      <c r="J702" s="10"/>
      <c r="K702" s="10"/>
      <c r="P702" s="8"/>
    </row>
    <row r="703" spans="4:16" s="9" customFormat="1" ht="14.25" customHeight="1">
      <c r="D703" s="11"/>
      <c r="P703" s="8"/>
    </row>
    <row r="704" spans="4:16" ht="14.25" customHeight="1">
      <c r="D704" s="1"/>
      <c r="E704" s="19" t="str">
        <f t="shared" ref="E704" si="462">TRIM(LEFT(F705,5))</f>
        <v> 1998</v>
      </c>
      <c r="F704" s="2" t="s">
        <v>1487</v>
      </c>
      <c r="G704" s="2" t="str">
        <f t="shared" ref="G704" si="463">+geturl(F704)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v>
      </c>
      <c r="H704" s="2"/>
      <c r="I704" s="2"/>
      <c r="J704" s="2"/>
      <c r="K704" s="2"/>
      <c r="P704" s="5"/>
    </row>
    <row r="705" spans="4:16" ht="14.25" customHeight="1">
      <c r="D705" s="1"/>
      <c r="E705" s="1"/>
      <c r="F705" s="3" t="s">
        <v>1488</v>
      </c>
      <c r="G705" s="3"/>
      <c r="H705" s="3"/>
      <c r="I705" s="3"/>
      <c r="J705" s="3"/>
      <c r="K705" s="3"/>
    </row>
    <row r="706" spans="4:16" ht="14.25" customHeight="1">
      <c r="D706" s="4"/>
    </row>
    <row r="707" spans="4:16" s="9" customFormat="1" ht="14.25" customHeight="1">
      <c r="D707" s="12"/>
      <c r="E707" s="12" t="str">
        <f t="shared" ref="E707" si="464">TRIM(LEFT(F708,5))</f>
        <v> 1998</v>
      </c>
      <c r="F707" s="6" t="s">
        <v>1489</v>
      </c>
      <c r="G707" s="6" t="str">
        <f t="shared" ref="G707" si="465">+geturl(F707)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v>
      </c>
      <c r="H707" s="6"/>
      <c r="I707" s="6"/>
      <c r="J707" s="7"/>
      <c r="K707" s="7"/>
      <c r="L707" s="8"/>
      <c r="N707" s="8"/>
    </row>
    <row r="708" spans="4:16" s="9" customFormat="1" ht="14.25" customHeight="1">
      <c r="D708" s="12"/>
      <c r="F708" s="10" t="s">
        <v>1485</v>
      </c>
      <c r="G708" s="10"/>
      <c r="H708" s="10"/>
      <c r="I708" s="10"/>
      <c r="J708" s="10"/>
      <c r="K708" s="10"/>
      <c r="P708" s="8"/>
    </row>
    <row r="709" spans="4:16" s="9" customFormat="1" ht="14.25" customHeight="1">
      <c r="D709" s="11"/>
      <c r="P709" s="8"/>
    </row>
    <row r="710" spans="4:16" ht="14.25" customHeight="1">
      <c r="D710" s="1"/>
      <c r="E710" s="19" t="str">
        <f t="shared" ref="E710" si="466">TRIM(LEFT(F711,5))</f>
        <v> 1998</v>
      </c>
      <c r="F710" s="2" t="s">
        <v>1490</v>
      </c>
      <c r="G710" s="2" t="str">
        <f t="shared" ref="G710" si="467">+geturl(F710)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v>
      </c>
      <c r="H710" s="2"/>
      <c r="I710" s="2"/>
      <c r="J710" s="2"/>
      <c r="K710" s="2"/>
      <c r="P710" s="5"/>
    </row>
    <row r="711" spans="4:16" ht="14.25" customHeight="1">
      <c r="D711" s="1"/>
      <c r="E711" s="1"/>
      <c r="F711" s="3" t="s">
        <v>1485</v>
      </c>
      <c r="G711" s="3"/>
      <c r="H711" s="3"/>
      <c r="I711" s="3"/>
      <c r="J711" s="3"/>
      <c r="K711" s="3"/>
    </row>
    <row r="712" spans="4:16" ht="14.25" customHeight="1">
      <c r="D712" s="4"/>
    </row>
    <row r="713" spans="4:16" s="9" customFormat="1" ht="14.25" customHeight="1">
      <c r="D713" s="12"/>
      <c r="E713" s="12" t="str">
        <f t="shared" ref="E713" si="468">TRIM(LEFT(F714,5))</f>
        <v> 1998</v>
      </c>
      <c r="F713" s="6" t="s">
        <v>1491</v>
      </c>
      <c r="G713" s="6" t="str">
        <f t="shared" ref="G713" si="469">+geturl(F713)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v>
      </c>
      <c r="H713" s="6"/>
      <c r="I713" s="6"/>
      <c r="J713" s="7"/>
      <c r="K713" s="7"/>
      <c r="L713" s="8"/>
      <c r="N713" s="8"/>
    </row>
    <row r="714" spans="4:16" s="9" customFormat="1" ht="14.25" customHeight="1">
      <c r="D714" s="12"/>
      <c r="F714" s="10" t="s">
        <v>1485</v>
      </c>
      <c r="G714" s="10"/>
      <c r="H714" s="10"/>
      <c r="I714" s="10"/>
      <c r="J714" s="10"/>
      <c r="K714" s="10"/>
      <c r="P714" s="8"/>
    </row>
    <row r="715" spans="4:16" s="9" customFormat="1" ht="14.25" customHeight="1">
      <c r="D715" s="11"/>
      <c r="P715" s="8"/>
    </row>
    <row r="716" spans="4:16" ht="14.25" customHeight="1">
      <c r="D716" s="1"/>
      <c r="E716" s="19" t="str">
        <f t="shared" ref="E716" si="470">TRIM(LEFT(F717,5))</f>
        <v> 1998</v>
      </c>
      <c r="F716" s="2" t="s">
        <v>1492</v>
      </c>
      <c r="G716" s="2" t="str">
        <f t="shared" ref="G716" si="471">+geturl(F716)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v>
      </c>
      <c r="H716" s="2"/>
      <c r="I716" s="2"/>
      <c r="J716" s="2"/>
      <c r="K716" s="2"/>
      <c r="P716" s="5"/>
    </row>
    <row r="717" spans="4:16" ht="14.25" customHeight="1">
      <c r="D717" s="1"/>
      <c r="E717" s="1"/>
      <c r="F717" s="3" t="s">
        <v>1485</v>
      </c>
      <c r="G717" s="3"/>
      <c r="H717" s="3"/>
      <c r="I717" s="3"/>
      <c r="J717" s="3"/>
      <c r="K717" s="3"/>
    </row>
    <row r="718" spans="4:16" ht="14.25" customHeight="1">
      <c r="D718" s="4"/>
    </row>
    <row r="719" spans="4:16" s="9" customFormat="1" ht="14.25" customHeight="1">
      <c r="D719" s="12"/>
      <c r="E719" s="12" t="str">
        <f t="shared" ref="E719" si="472">TRIM(LEFT(F720,5))</f>
        <v> 1998</v>
      </c>
      <c r="F719" s="6" t="s">
        <v>1493</v>
      </c>
      <c r="G719" s="6" t="str">
        <f t="shared" ref="G719" si="473">+geturl(F719)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v>
      </c>
      <c r="H719" s="6"/>
      <c r="I719" s="6"/>
      <c r="J719" s="7"/>
      <c r="K719" s="7"/>
      <c r="L719" s="8"/>
      <c r="N719" s="8"/>
    </row>
    <row r="720" spans="4:16" s="9" customFormat="1" ht="14.25" customHeight="1">
      <c r="D720" s="12"/>
      <c r="F720" s="10" t="s">
        <v>1485</v>
      </c>
      <c r="G720" s="10"/>
      <c r="H720" s="10"/>
      <c r="I720" s="10"/>
      <c r="J720" s="10"/>
      <c r="K720" s="10"/>
      <c r="P720" s="8"/>
    </row>
    <row r="721" spans="4:16" s="9" customFormat="1" ht="14.25" customHeight="1">
      <c r="D721" s="11"/>
      <c r="P721" s="8"/>
    </row>
    <row r="722" spans="4:16" ht="14.25" customHeight="1">
      <c r="D722" s="1"/>
      <c r="E722" s="19" t="str">
        <f t="shared" ref="E722" si="474">TRIM(LEFT(F723,5))</f>
        <v> 1998</v>
      </c>
      <c r="F722" s="2" t="s">
        <v>492</v>
      </c>
      <c r="G722" s="2" t="str">
        <f t="shared" ref="G722" si="475">+geturl(F722)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v>
      </c>
      <c r="H722" s="2"/>
      <c r="I722" s="2"/>
      <c r="J722" s="2"/>
      <c r="K722" s="2"/>
      <c r="P722" s="5"/>
    </row>
    <row r="723" spans="4:16" ht="14.25" customHeight="1">
      <c r="D723" s="1"/>
      <c r="E723" s="1"/>
      <c r="F723" s="3" t="s">
        <v>1494</v>
      </c>
      <c r="G723" s="3"/>
      <c r="H723" s="3"/>
      <c r="I723" s="3"/>
      <c r="J723" s="3"/>
      <c r="K723" s="3"/>
    </row>
    <row r="724" spans="4:16" ht="14.25" customHeight="1">
      <c r="D724" s="4"/>
    </row>
    <row r="725" spans="4:16" s="9" customFormat="1" ht="14.25" customHeight="1">
      <c r="D725" s="12"/>
      <c r="E725" s="12" t="str">
        <f t="shared" ref="E725" si="476">TRIM(LEFT(F726,5))</f>
        <v> 1998</v>
      </c>
      <c r="F725" s="6" t="s">
        <v>1495</v>
      </c>
      <c r="G725" s="6" t="str">
        <f t="shared" ref="G725" si="477">+geturl(F725)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v>
      </c>
      <c r="H725" s="6"/>
      <c r="I725" s="6"/>
      <c r="J725" s="7"/>
      <c r="K725" s="7"/>
      <c r="L725" s="8"/>
      <c r="N725" s="8"/>
    </row>
    <row r="726" spans="4:16" s="9" customFormat="1" ht="14.25" customHeight="1">
      <c r="D726" s="12"/>
      <c r="F726" s="10" t="s">
        <v>1485</v>
      </c>
      <c r="G726" s="10"/>
      <c r="H726" s="10"/>
      <c r="I726" s="10"/>
      <c r="J726" s="10"/>
      <c r="K726" s="10"/>
      <c r="P726" s="8"/>
    </row>
    <row r="727" spans="4:16" s="9" customFormat="1" ht="14.25" customHeight="1">
      <c r="D727" s="11"/>
      <c r="P727" s="8"/>
    </row>
    <row r="728" spans="4:16" ht="14.25" customHeight="1">
      <c r="D728" s="1"/>
      <c r="E728" s="19" t="str">
        <f t="shared" ref="E728" si="478">TRIM(LEFT(F729,5))</f>
        <v> 1998</v>
      </c>
      <c r="F728" s="2" t="s">
        <v>1496</v>
      </c>
      <c r="G728" s="2" t="str">
        <f t="shared" ref="G728" si="479">+geturl(F728)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v>
      </c>
      <c r="H728" s="2"/>
      <c r="I728" s="2"/>
      <c r="J728" s="2"/>
      <c r="K728" s="2"/>
      <c r="P728" s="5"/>
    </row>
    <row r="729" spans="4:16" ht="14.25" customHeight="1">
      <c r="D729" s="1"/>
      <c r="E729" s="1"/>
      <c r="F729" s="3" t="s">
        <v>1497</v>
      </c>
      <c r="G729" s="3"/>
      <c r="H729" s="3"/>
      <c r="I729" s="3"/>
      <c r="J729" s="3"/>
      <c r="K729" s="3"/>
    </row>
    <row r="730" spans="4:16" ht="14.25" customHeight="1">
      <c r="D730" s="4"/>
    </row>
    <row r="731" spans="4:16" s="9" customFormat="1" ht="14.25" customHeight="1">
      <c r="D731" s="12"/>
      <c r="E731" s="12" t="str">
        <f t="shared" ref="E731" si="480">TRIM(LEFT(F732,5))</f>
        <v> 1998</v>
      </c>
      <c r="F731" s="6" t="s">
        <v>1498</v>
      </c>
      <c r="G731" s="6" t="str">
        <f t="shared" ref="G731" si="481">+geturl(F731)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v>
      </c>
      <c r="H731" s="6"/>
      <c r="I731" s="6"/>
      <c r="J731" s="7"/>
      <c r="K731" s="7"/>
      <c r="L731" s="8"/>
      <c r="N731" s="8"/>
    </row>
    <row r="732" spans="4:16" s="9" customFormat="1" ht="14.25" customHeight="1">
      <c r="D732" s="12"/>
      <c r="F732" s="10" t="s">
        <v>1494</v>
      </c>
      <c r="G732" s="10"/>
      <c r="H732" s="10"/>
      <c r="I732" s="10"/>
      <c r="J732" s="10"/>
      <c r="K732" s="10"/>
      <c r="P732" s="8"/>
    </row>
    <row r="733" spans="4:16" s="9" customFormat="1" ht="14.25" customHeight="1">
      <c r="D733" s="11"/>
      <c r="P733" s="8"/>
    </row>
    <row r="734" spans="4:16" ht="14.25" customHeight="1">
      <c r="D734" s="1"/>
      <c r="E734" s="19" t="str">
        <f t="shared" ref="E734" si="482">TRIM(LEFT(F735,5))</f>
        <v> 1998</v>
      </c>
      <c r="F734" s="2" t="s">
        <v>1499</v>
      </c>
      <c r="G734" s="2" t="str">
        <f t="shared" ref="G734" si="483">+geturl(F734)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v>
      </c>
      <c r="H734" s="2"/>
      <c r="I734" s="2"/>
      <c r="J734" s="2"/>
      <c r="K734" s="2"/>
      <c r="P734" s="5"/>
    </row>
    <row r="735" spans="4:16" ht="14.25" customHeight="1">
      <c r="D735" s="1"/>
      <c r="E735" s="1"/>
      <c r="F735" s="3" t="s">
        <v>1494</v>
      </c>
      <c r="G735" s="3"/>
      <c r="H735" s="3"/>
      <c r="I735" s="3"/>
      <c r="J735" s="3"/>
      <c r="K735" s="3"/>
    </row>
    <row r="736" spans="4:16" ht="14.25" customHeight="1">
      <c r="D736" s="4"/>
    </row>
    <row r="737" spans="4:16" s="9" customFormat="1" ht="14.25" customHeight="1">
      <c r="D737" s="12"/>
      <c r="E737" s="12" t="str">
        <f t="shared" ref="E737" si="484">TRIM(LEFT(F738,5))</f>
        <v> 1998</v>
      </c>
      <c r="F737" s="6" t="s">
        <v>1500</v>
      </c>
      <c r="G737" s="6" t="str">
        <f t="shared" ref="G737" si="485">+geturl(F737)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v>
      </c>
      <c r="H737" s="6"/>
      <c r="I737" s="6"/>
      <c r="J737" s="7"/>
      <c r="K737" s="7"/>
      <c r="L737" s="8"/>
      <c r="N737" s="8"/>
    </row>
    <row r="738" spans="4:16" s="9" customFormat="1" ht="14.25" customHeight="1">
      <c r="D738" s="12"/>
      <c r="F738" s="10" t="s">
        <v>1485</v>
      </c>
      <c r="G738" s="10"/>
      <c r="H738" s="10"/>
      <c r="I738" s="10"/>
      <c r="J738" s="10"/>
      <c r="K738" s="10"/>
      <c r="P738" s="8"/>
    </row>
    <row r="739" spans="4:16" s="9" customFormat="1" ht="14.25" customHeight="1">
      <c r="D739" s="11"/>
      <c r="P739" s="8"/>
    </row>
    <row r="740" spans="4:16" ht="14.25" customHeight="1">
      <c r="D740" s="1"/>
      <c r="E740" s="19" t="str">
        <f t="shared" ref="E740" si="486">TRIM(LEFT(F741,5))</f>
        <v> 1997</v>
      </c>
      <c r="F740" s="2" t="s">
        <v>1501</v>
      </c>
      <c r="G740" s="2" t="str">
        <f t="shared" ref="G740" si="487">+geturl(F740)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v>
      </c>
      <c r="H740" s="2"/>
      <c r="I740" s="2"/>
      <c r="J740" s="2"/>
      <c r="K740" s="2"/>
      <c r="P740" s="5"/>
    </row>
    <row r="741" spans="4:16" ht="14.25" customHeight="1">
      <c r="D741" s="1"/>
      <c r="E741" s="1"/>
      <c r="F741" s="3" t="s">
        <v>1502</v>
      </c>
      <c r="G741" s="3"/>
      <c r="H741" s="3"/>
      <c r="I741" s="3"/>
      <c r="J741" s="3"/>
      <c r="K741" s="3"/>
    </row>
    <row r="742" spans="4:16" ht="14.25" customHeight="1">
      <c r="D742" s="4"/>
    </row>
    <row r="743" spans="4:16" s="9" customFormat="1" ht="14.25" customHeight="1">
      <c r="D743" s="12"/>
      <c r="E743" s="12" t="str">
        <f t="shared" ref="E743" si="488">TRIM(LEFT(F744,5))</f>
        <v> 1997</v>
      </c>
      <c r="F743" s="6" t="s">
        <v>478</v>
      </c>
      <c r="G743" s="6" t="str">
        <f t="shared" ref="G743" si="489">+geturl(F743)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v>
      </c>
      <c r="H743" s="6"/>
      <c r="I743" s="6"/>
      <c r="J743" s="7"/>
      <c r="K743" s="7"/>
      <c r="L743" s="8"/>
      <c r="N743" s="8"/>
    </row>
    <row r="744" spans="4:16" s="9" customFormat="1" ht="14.25" customHeight="1">
      <c r="D744" s="12"/>
      <c r="F744" s="10" t="s">
        <v>1503</v>
      </c>
      <c r="G744" s="10"/>
      <c r="H744" s="10"/>
      <c r="I744" s="10"/>
      <c r="J744" s="10"/>
      <c r="K744" s="10"/>
      <c r="P744" s="8"/>
    </row>
    <row r="745" spans="4:16" s="9" customFormat="1" ht="14.25" customHeight="1">
      <c r="D745" s="11"/>
      <c r="P745" s="8"/>
    </row>
    <row r="746" spans="4:16" ht="14.25" customHeight="1">
      <c r="D746" s="1"/>
      <c r="E746" s="19" t="str">
        <f t="shared" ref="E746" si="490">TRIM(LEFT(F747,5))</f>
        <v> 1997</v>
      </c>
      <c r="F746" s="2" t="s">
        <v>1504</v>
      </c>
      <c r="G746" s="2" t="str">
        <f t="shared" ref="G746" si="491">+geturl(F746)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v>
      </c>
      <c r="H746" s="2"/>
      <c r="I746" s="2"/>
      <c r="J746" s="2"/>
      <c r="K746" s="2"/>
      <c r="P746" s="5"/>
    </row>
    <row r="747" spans="4:16" ht="14.25" customHeight="1">
      <c r="D747" s="1"/>
      <c r="E747" s="1"/>
      <c r="F747" s="3" t="s">
        <v>1502</v>
      </c>
      <c r="G747" s="3"/>
      <c r="H747" s="3"/>
      <c r="I747" s="3"/>
      <c r="J747" s="3"/>
      <c r="K747" s="3"/>
    </row>
    <row r="748" spans="4:16" ht="14.25" customHeight="1">
      <c r="D748" s="4"/>
    </row>
    <row r="749" spans="4:16" s="9" customFormat="1" ht="14.25" customHeight="1">
      <c r="D749" s="12"/>
      <c r="E749" s="12" t="str">
        <f t="shared" ref="E749" si="492">TRIM(LEFT(F750,5))</f>
        <v> 1997</v>
      </c>
      <c r="F749" s="6" t="s">
        <v>477</v>
      </c>
      <c r="G749" s="6" t="str">
        <f t="shared" ref="G749" si="493">+geturl(F749)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v>
      </c>
      <c r="H749" s="6"/>
      <c r="I749" s="6"/>
      <c r="J749" s="7"/>
      <c r="K749" s="7"/>
      <c r="L749" s="8"/>
      <c r="N749" s="8"/>
    </row>
    <row r="750" spans="4:16" s="9" customFormat="1" ht="14.25" customHeight="1">
      <c r="D750" s="12"/>
      <c r="F750" s="10" t="s">
        <v>1502</v>
      </c>
      <c r="G750" s="10"/>
      <c r="H750" s="10"/>
      <c r="I750" s="10"/>
      <c r="J750" s="10"/>
      <c r="K750" s="10"/>
      <c r="P750" s="8"/>
    </row>
    <row r="751" spans="4:16" s="9" customFormat="1" ht="14.25" customHeight="1">
      <c r="D751" s="11"/>
      <c r="P751" s="8"/>
    </row>
    <row r="752" spans="4:16" ht="14.25" customHeight="1">
      <c r="D752" s="1"/>
      <c r="E752" s="19" t="str">
        <f t="shared" ref="E752" si="494">TRIM(LEFT(F753,5))</f>
        <v> 1997</v>
      </c>
      <c r="F752" s="2" t="s">
        <v>1505</v>
      </c>
      <c r="G752" s="2" t="str">
        <f t="shared" ref="G752" si="495">+geturl(F752)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v>
      </c>
      <c r="H752" s="2"/>
      <c r="I752" s="2"/>
      <c r="J752" s="2"/>
      <c r="K752" s="2"/>
      <c r="P752" s="5"/>
    </row>
    <row r="753" spans="4:16" ht="14.25" customHeight="1">
      <c r="D753" s="1"/>
      <c r="E753" s="1"/>
      <c r="F753" s="3" t="s">
        <v>1506</v>
      </c>
      <c r="G753" s="3"/>
      <c r="H753" s="3"/>
      <c r="I753" s="3"/>
      <c r="J753" s="3"/>
      <c r="K753" s="3"/>
    </row>
    <row r="754" spans="4:16" ht="14.25" customHeight="1">
      <c r="D754" s="4"/>
    </row>
    <row r="755" spans="4:16" s="9" customFormat="1" ht="14.25" customHeight="1">
      <c r="D755" s="12"/>
      <c r="E755" s="12" t="str">
        <f t="shared" ref="E755" si="496">TRIM(LEFT(F756,5))</f>
        <v> 1997</v>
      </c>
      <c r="F755" s="6" t="s">
        <v>1507</v>
      </c>
      <c r="G755" s="6" t="str">
        <f t="shared" ref="G755" si="497">+geturl(F755)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v>
      </c>
      <c r="H755" s="6"/>
      <c r="I755" s="6"/>
      <c r="J755" s="7"/>
      <c r="K755" s="7"/>
      <c r="L755" s="8"/>
      <c r="N755" s="8"/>
    </row>
    <row r="756" spans="4:16" s="9" customFormat="1" ht="14.25" customHeight="1">
      <c r="D756" s="12"/>
      <c r="F756" s="10" t="s">
        <v>1508</v>
      </c>
      <c r="G756" s="10"/>
      <c r="H756" s="10"/>
      <c r="I756" s="10"/>
      <c r="J756" s="10"/>
      <c r="K756" s="10"/>
      <c r="P756" s="8"/>
    </row>
    <row r="757" spans="4:16" s="9" customFormat="1" ht="14.25" customHeight="1">
      <c r="D757" s="11"/>
      <c r="P757" s="8"/>
    </row>
    <row r="758" spans="4:16" ht="14.25" customHeight="1">
      <c r="D758" s="1"/>
      <c r="E758" s="19" t="str">
        <f t="shared" ref="E758" si="498">TRIM(LEFT(F759,5))</f>
        <v> 1997</v>
      </c>
      <c r="F758" s="2" t="s">
        <v>1509</v>
      </c>
      <c r="G758" s="2" t="str">
        <f t="shared" ref="G758" si="499">+geturl(F758)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v>
      </c>
      <c r="H758" s="2"/>
      <c r="I758" s="2"/>
      <c r="J758" s="2"/>
      <c r="K758" s="2"/>
      <c r="P758" s="5"/>
    </row>
    <row r="759" spans="4:16" ht="14.25" customHeight="1">
      <c r="D759" s="1"/>
      <c r="E759" s="1"/>
      <c r="F759" s="3" t="s">
        <v>1508</v>
      </c>
      <c r="G759" s="3"/>
      <c r="H759" s="3"/>
      <c r="I759" s="3"/>
      <c r="J759" s="3"/>
      <c r="K759" s="3"/>
    </row>
    <row r="760" spans="4:16" ht="14.25" customHeight="1">
      <c r="D760" s="4"/>
    </row>
    <row r="761" spans="4:16" s="9" customFormat="1" ht="14.25" customHeight="1">
      <c r="D761" s="12"/>
      <c r="E761" s="12" t="str">
        <f t="shared" ref="E761" si="500">TRIM(LEFT(F762,5))</f>
        <v> 1997</v>
      </c>
      <c r="F761" s="6" t="s">
        <v>1510</v>
      </c>
      <c r="G761" s="6" t="str">
        <f t="shared" ref="G761" si="501">+geturl(F761)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v>
      </c>
      <c r="H761" s="6"/>
      <c r="I761" s="6"/>
      <c r="J761" s="7"/>
      <c r="K761" s="7"/>
      <c r="L761" s="8"/>
      <c r="N761" s="8"/>
    </row>
    <row r="762" spans="4:16" s="9" customFormat="1" ht="14.25" customHeight="1">
      <c r="D762" s="12"/>
      <c r="F762" s="10" t="s">
        <v>1506</v>
      </c>
      <c r="G762" s="10"/>
      <c r="H762" s="10"/>
      <c r="I762" s="10"/>
      <c r="J762" s="10"/>
      <c r="K762" s="10"/>
      <c r="P762" s="8"/>
    </row>
    <row r="763" spans="4:16" s="9" customFormat="1" ht="14.25" customHeight="1">
      <c r="D763" s="11"/>
      <c r="P763" s="8"/>
    </row>
    <row r="764" spans="4:16" ht="14.25" customHeight="1">
      <c r="D764" s="1"/>
      <c r="E764" s="19" t="str">
        <f t="shared" ref="E764" si="502">TRIM(LEFT(F765,5))</f>
        <v> 1996</v>
      </c>
      <c r="F764" s="2" t="s">
        <v>1511</v>
      </c>
      <c r="G764" s="2" t="str">
        <f t="shared" ref="G764" si="503">+geturl(F764)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v>
      </c>
      <c r="H764" s="2"/>
      <c r="I764" s="2"/>
      <c r="J764" s="2"/>
      <c r="K764" s="2"/>
      <c r="P764" s="5"/>
    </row>
    <row r="765" spans="4:16" ht="14.25" customHeight="1">
      <c r="D765" s="1"/>
      <c r="E765" s="1"/>
      <c r="F765" s="3" t="s">
        <v>1512</v>
      </c>
      <c r="G765" s="3"/>
      <c r="H765" s="3"/>
      <c r="I765" s="3"/>
      <c r="J765" s="3"/>
      <c r="K765" s="3"/>
    </row>
    <row r="766" spans="4:16" ht="14.25" customHeight="1">
      <c r="D766" s="4"/>
    </row>
    <row r="767" spans="4:16" s="9" customFormat="1" ht="14.25" customHeight="1">
      <c r="D767" s="12"/>
      <c r="E767" s="12" t="str">
        <f t="shared" ref="E767" si="504">TRIM(LEFT(F768,5))</f>
        <v> 1996</v>
      </c>
      <c r="F767" s="6" t="s">
        <v>425</v>
      </c>
      <c r="G767" s="6" t="str">
        <f t="shared" ref="G767" si="505">+geturl(F767)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v>
      </c>
      <c r="H767" s="6"/>
      <c r="I767" s="6"/>
      <c r="J767" s="7"/>
      <c r="K767" s="7"/>
      <c r="L767" s="8"/>
      <c r="N767" s="8"/>
    </row>
    <row r="768" spans="4:16" s="9" customFormat="1" ht="14.25" customHeight="1">
      <c r="D768" s="12"/>
      <c r="F768" s="10" t="s">
        <v>1513</v>
      </c>
      <c r="G768" s="10"/>
      <c r="H768" s="10"/>
      <c r="I768" s="10"/>
      <c r="J768" s="10"/>
      <c r="K768" s="10"/>
      <c r="P768" s="8"/>
    </row>
    <row r="769" spans="4:16" s="9" customFormat="1" ht="14.25" customHeight="1">
      <c r="D769" s="11"/>
      <c r="P769" s="8"/>
    </row>
    <row r="770" spans="4:16" ht="14.25" customHeight="1">
      <c r="D770" s="1"/>
      <c r="E770" s="19" t="str">
        <f t="shared" ref="E770" si="506">TRIM(LEFT(F771,5))</f>
        <v> 1996</v>
      </c>
      <c r="F770" s="2" t="s">
        <v>1514</v>
      </c>
      <c r="G770" s="2" t="str">
        <f t="shared" ref="G770" si="507">+geturl(F770)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v>
      </c>
      <c r="H770" s="2"/>
      <c r="I770" s="2"/>
      <c r="J770" s="2"/>
      <c r="K770" s="2"/>
      <c r="P770" s="5"/>
    </row>
    <row r="771" spans="4:16" ht="14.25" customHeight="1">
      <c r="D771" s="1"/>
      <c r="E771" s="1"/>
      <c r="F771" s="3" t="s">
        <v>1513</v>
      </c>
      <c r="G771" s="3"/>
      <c r="H771" s="3"/>
      <c r="I771" s="3"/>
      <c r="J771" s="3"/>
      <c r="K771" s="3"/>
    </row>
    <row r="772" spans="4:16" ht="14.25" customHeight="1">
      <c r="D772" s="4"/>
    </row>
    <row r="773" spans="4:16" s="9" customFormat="1" ht="14.25" customHeight="1">
      <c r="D773" s="12"/>
      <c r="E773" s="12" t="str">
        <f t="shared" ref="E773" si="508">TRIM(LEFT(F774,5))</f>
        <v> 1996</v>
      </c>
      <c r="F773" s="6" t="s">
        <v>405</v>
      </c>
      <c r="G773" s="6" t="str">
        <f t="shared" ref="G773" si="509">+geturl(F773)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v>
      </c>
      <c r="H773" s="6"/>
      <c r="I773" s="6"/>
      <c r="J773" s="7"/>
      <c r="K773" s="7"/>
      <c r="L773" s="8"/>
      <c r="N773" s="8"/>
    </row>
    <row r="774" spans="4:16" s="9" customFormat="1" ht="14.25" customHeight="1">
      <c r="D774" s="12"/>
      <c r="F774" s="10" t="s">
        <v>1515</v>
      </c>
      <c r="G774" s="10"/>
      <c r="H774" s="10"/>
      <c r="I774" s="10"/>
      <c r="J774" s="10"/>
      <c r="K774" s="10"/>
      <c r="P774" s="8"/>
    </row>
    <row r="775" spans="4:16" s="9" customFormat="1" ht="14.25" customHeight="1">
      <c r="D775" s="11"/>
      <c r="P775" s="8"/>
    </row>
    <row r="776" spans="4:16" ht="14.25" customHeight="1">
      <c r="D776" s="1"/>
      <c r="E776" s="19" t="str">
        <f t="shared" ref="E776" si="510">TRIM(LEFT(F777,5))</f>
        <v> 1996</v>
      </c>
      <c r="F776" s="2" t="s">
        <v>1516</v>
      </c>
      <c r="G776" s="2" t="str">
        <f t="shared" ref="G776" si="511">+geturl(F776)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v>
      </c>
      <c r="H776" s="2"/>
      <c r="I776" s="2"/>
      <c r="J776" s="2"/>
      <c r="K776" s="2"/>
      <c r="P776" s="5"/>
    </row>
    <row r="777" spans="4:16" ht="14.25" customHeight="1">
      <c r="D777" s="1"/>
      <c r="E777" s="1"/>
      <c r="F777" s="3" t="s">
        <v>1515</v>
      </c>
      <c r="G777" s="3"/>
      <c r="H777" s="3"/>
      <c r="I777" s="3"/>
      <c r="J777" s="3"/>
      <c r="K777" s="3"/>
    </row>
    <row r="778" spans="4:16" ht="14.25" customHeight="1">
      <c r="D778" s="4"/>
    </row>
    <row r="779" spans="4:16" s="9" customFormat="1" ht="14.25" customHeight="1">
      <c r="D779" s="12"/>
      <c r="E779" s="12" t="str">
        <f t="shared" ref="E779" si="512">TRIM(LEFT(F780,5))</f>
        <v> 1996</v>
      </c>
      <c r="F779" s="6" t="s">
        <v>1517</v>
      </c>
      <c r="G779" s="6" t="str">
        <f t="shared" ref="G779" si="513">+geturl(F779)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v>
      </c>
      <c r="H779" s="6"/>
      <c r="I779" s="6"/>
      <c r="J779" s="7"/>
      <c r="K779" s="7"/>
      <c r="L779" s="8"/>
      <c r="N779" s="8"/>
    </row>
    <row r="780" spans="4:16" s="9" customFormat="1" ht="14.25" customHeight="1">
      <c r="D780" s="12"/>
      <c r="F780" s="10" t="s">
        <v>1515</v>
      </c>
      <c r="G780" s="10"/>
      <c r="H780" s="10"/>
      <c r="I780" s="10"/>
      <c r="J780" s="10"/>
      <c r="K780" s="10"/>
      <c r="P780" s="8"/>
    </row>
    <row r="781" spans="4:16" s="9" customFormat="1" ht="14.25" customHeight="1">
      <c r="D781" s="11"/>
      <c r="P781" s="8"/>
    </row>
    <row r="782" spans="4:16" ht="14.25" customHeight="1">
      <c r="D782" s="1"/>
      <c r="E782" s="19" t="str">
        <f t="shared" ref="E782" si="514">TRIM(LEFT(F783,5))</f>
        <v> 1996</v>
      </c>
      <c r="F782" s="2" t="s">
        <v>429</v>
      </c>
      <c r="G782" s="2" t="str">
        <f t="shared" ref="G782" si="515">+geturl(F782)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v>
      </c>
      <c r="H782" s="2"/>
      <c r="I782" s="2"/>
      <c r="J782" s="2"/>
      <c r="K782" s="2"/>
      <c r="P782" s="5"/>
    </row>
    <row r="783" spans="4:16" ht="14.25" customHeight="1">
      <c r="D783" s="1"/>
      <c r="E783" s="1"/>
      <c r="F783" s="3" t="s">
        <v>1513</v>
      </c>
      <c r="G783" s="3"/>
      <c r="H783" s="3"/>
      <c r="I783" s="3"/>
      <c r="J783" s="3"/>
      <c r="K783" s="3"/>
    </row>
    <row r="784" spans="4:16" ht="14.25" customHeight="1">
      <c r="D784" s="4"/>
    </row>
    <row r="785" spans="4:16" s="9" customFormat="1" ht="14.25" customHeight="1">
      <c r="D785" s="12"/>
      <c r="E785" s="12" t="str">
        <f t="shared" ref="E785" si="516">TRIM(LEFT(F786,5))</f>
        <v> 1995</v>
      </c>
      <c r="F785" s="6" t="s">
        <v>1518</v>
      </c>
      <c r="G785" s="6" t="str">
        <f t="shared" ref="G785" si="517">+geturl(F785)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v>
      </c>
      <c r="H785" s="6"/>
      <c r="I785" s="6"/>
      <c r="J785" s="7"/>
      <c r="K785" s="7"/>
      <c r="L785" s="8"/>
      <c r="N785" s="8"/>
    </row>
    <row r="786" spans="4:16" s="9" customFormat="1" ht="14.25" customHeight="1">
      <c r="D786" s="12"/>
      <c r="F786" s="10" t="s">
        <v>1519</v>
      </c>
      <c r="G786" s="10"/>
      <c r="H786" s="10"/>
      <c r="I786" s="10"/>
      <c r="J786" s="10"/>
      <c r="K786" s="10"/>
      <c r="P786" s="8"/>
    </row>
    <row r="787" spans="4:16" s="9" customFormat="1" ht="14.25" customHeight="1">
      <c r="D787" s="11"/>
      <c r="P787" s="8"/>
    </row>
    <row r="788" spans="4:16" ht="14.25" customHeight="1">
      <c r="D788" s="1"/>
      <c r="E788" s="19" t="str">
        <f t="shared" ref="E788" si="518">TRIM(LEFT(F789,5))</f>
        <v> 1995</v>
      </c>
      <c r="F788" s="2" t="s">
        <v>1520</v>
      </c>
      <c r="G788" s="2" t="str">
        <f t="shared" ref="G788" si="519">+geturl(F788)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v>
      </c>
      <c r="H788" s="2"/>
      <c r="I788" s="2"/>
      <c r="J788" s="2"/>
      <c r="K788" s="2"/>
      <c r="P788" s="5"/>
    </row>
    <row r="789" spans="4:16" ht="14.25" customHeight="1">
      <c r="D789" s="1"/>
      <c r="E789" s="1"/>
      <c r="F789" s="3" t="s">
        <v>1521</v>
      </c>
      <c r="G789" s="3"/>
      <c r="H789" s="3"/>
      <c r="I789" s="3"/>
      <c r="J789" s="3"/>
      <c r="K789" s="3"/>
    </row>
    <row r="790" spans="4:16" ht="14.25" customHeight="1">
      <c r="D790" s="4"/>
    </row>
    <row r="791" spans="4:16" s="9" customFormat="1" ht="14.25" customHeight="1">
      <c r="D791" s="12"/>
      <c r="E791" s="12" t="str">
        <f t="shared" ref="E791" si="520">TRIM(LEFT(F792,5))</f>
        <v> 1995</v>
      </c>
      <c r="F791" s="6" t="s">
        <v>369</v>
      </c>
      <c r="G791" s="6" t="str">
        <f t="shared" ref="G791" si="521">+geturl(F791)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v>
      </c>
      <c r="H791" s="6"/>
      <c r="I791" s="6"/>
      <c r="J791" s="7"/>
      <c r="K791" s="7"/>
      <c r="L791" s="8"/>
      <c r="N791" s="8"/>
    </row>
    <row r="792" spans="4:16" s="9" customFormat="1" ht="14.25" customHeight="1">
      <c r="D792" s="12"/>
      <c r="F792" s="10" t="s">
        <v>1519</v>
      </c>
      <c r="G792" s="10"/>
      <c r="H792" s="10"/>
      <c r="I792" s="10"/>
      <c r="J792" s="10"/>
      <c r="K792" s="10"/>
      <c r="P792" s="8"/>
    </row>
    <row r="793" spans="4:16" s="9" customFormat="1" ht="14.25" customHeight="1">
      <c r="D793" s="11"/>
      <c r="P793" s="8"/>
    </row>
    <row r="794" spans="4:16" ht="14.25" customHeight="1">
      <c r="D794" s="1"/>
      <c r="E794" s="19" t="str">
        <f t="shared" ref="E794" si="522">TRIM(LEFT(F795,5))</f>
        <v> 1995</v>
      </c>
      <c r="F794" s="2" t="s">
        <v>402</v>
      </c>
      <c r="G794" s="2" t="str">
        <f t="shared" ref="G794" si="523">+geturl(F794)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v>
      </c>
      <c r="H794" s="2"/>
      <c r="I794" s="2"/>
      <c r="J794" s="2"/>
      <c r="K794" s="2"/>
      <c r="P794" s="5"/>
    </row>
    <row r="795" spans="4:16" ht="14.25" customHeight="1">
      <c r="D795" s="1"/>
      <c r="E795" s="1"/>
      <c r="F795" s="3" t="s">
        <v>1519</v>
      </c>
      <c r="G795" s="3"/>
      <c r="H795" s="3"/>
      <c r="I795" s="3"/>
      <c r="J795" s="3"/>
      <c r="K795" s="3"/>
    </row>
    <row r="796" spans="4:16" ht="14.25" customHeight="1">
      <c r="D796" s="4"/>
    </row>
    <row r="797" spans="4:16" s="9" customFormat="1" ht="14.25" customHeight="1">
      <c r="D797" s="12"/>
      <c r="E797" s="12" t="str">
        <f t="shared" ref="E797" si="524">TRIM(LEFT(F798,5))</f>
        <v> 1994</v>
      </c>
      <c r="F797" s="6" t="s">
        <v>342</v>
      </c>
      <c r="G797" s="6" t="str">
        <f t="shared" ref="G797" si="525">+geturl(F797)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v>
      </c>
      <c r="H797" s="6"/>
      <c r="I797" s="6"/>
      <c r="J797" s="7"/>
      <c r="K797" s="7"/>
      <c r="L797" s="8"/>
      <c r="N797" s="8"/>
    </row>
    <row r="798" spans="4:16" s="9" customFormat="1" ht="14.25" customHeight="1">
      <c r="D798" s="12"/>
      <c r="F798" s="10" t="s">
        <v>1522</v>
      </c>
      <c r="G798" s="10"/>
      <c r="H798" s="10"/>
      <c r="I798" s="10"/>
      <c r="J798" s="10"/>
      <c r="K798" s="10"/>
      <c r="P798" s="8"/>
    </row>
    <row r="799" spans="4:16" s="9" customFormat="1" ht="14.25" customHeight="1">
      <c r="D799" s="11"/>
      <c r="P799" s="8"/>
    </row>
    <row r="800" spans="4:16" ht="14.25" customHeight="1">
      <c r="D800" s="1"/>
      <c r="E800" s="19" t="str">
        <f t="shared" ref="E800" si="526">TRIM(LEFT(F801,5))</f>
        <v> 1994</v>
      </c>
      <c r="F800" s="2" t="s">
        <v>1523</v>
      </c>
      <c r="G800" s="2" t="str">
        <f t="shared" ref="G800" si="527">+geturl(F800)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v>
      </c>
      <c r="H800" s="2"/>
      <c r="I800" s="2"/>
      <c r="J800" s="2"/>
      <c r="K800" s="2"/>
      <c r="P800" s="5"/>
    </row>
    <row r="801" spans="4:16" ht="14.25" customHeight="1">
      <c r="D801" s="1"/>
      <c r="E801" s="1"/>
      <c r="F801" s="3" t="s">
        <v>1524</v>
      </c>
      <c r="G801" s="3"/>
      <c r="H801" s="3"/>
      <c r="I801" s="3"/>
      <c r="J801" s="3"/>
      <c r="K801" s="3"/>
    </row>
    <row r="802" spans="4:16" ht="14.25" customHeight="1">
      <c r="D802" s="4"/>
    </row>
    <row r="803" spans="4:16" s="9" customFormat="1" ht="14.25" customHeight="1">
      <c r="D803" s="12"/>
      <c r="E803" s="12" t="str">
        <f t="shared" ref="E803" si="528">TRIM(LEFT(F804,5))</f>
        <v> 1994</v>
      </c>
      <c r="F803" s="6" t="s">
        <v>1525</v>
      </c>
      <c r="G803" s="6" t="str">
        <f t="shared" ref="G803" si="529">+geturl(F803)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v>
      </c>
      <c r="H803" s="6"/>
      <c r="I803" s="6"/>
      <c r="J803" s="7"/>
      <c r="K803" s="7"/>
      <c r="L803" s="8"/>
      <c r="N803" s="8"/>
    </row>
    <row r="804" spans="4:16" s="9" customFormat="1" ht="14.25" customHeight="1">
      <c r="D804" s="12"/>
      <c r="F804" s="10" t="s">
        <v>1526</v>
      </c>
      <c r="G804" s="10"/>
      <c r="H804" s="10"/>
      <c r="I804" s="10"/>
      <c r="J804" s="10"/>
      <c r="K804" s="10"/>
      <c r="P804" s="8"/>
    </row>
    <row r="805" spans="4:16" s="9" customFormat="1" ht="14.25" customHeight="1">
      <c r="D805" s="11"/>
      <c r="P805" s="8"/>
    </row>
    <row r="806" spans="4:16" ht="14.25" customHeight="1">
      <c r="D806" s="1"/>
      <c r="E806" s="19" t="str">
        <f t="shared" ref="E806" si="530">TRIM(LEFT(F807,5))</f>
        <v> 1994</v>
      </c>
      <c r="F806" s="2" t="s">
        <v>1527</v>
      </c>
      <c r="G806" s="2" t="str">
        <f t="shared" ref="G806" si="531">+geturl(F806)</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v>
      </c>
      <c r="H806" s="2"/>
      <c r="I806" s="2"/>
      <c r="J806" s="2"/>
      <c r="K806" s="2"/>
      <c r="P806" s="5"/>
    </row>
    <row r="807" spans="4:16" ht="14.25" customHeight="1">
      <c r="D807" s="1"/>
      <c r="E807" s="1"/>
      <c r="F807" s="3" t="s">
        <v>1522</v>
      </c>
      <c r="G807" s="3"/>
      <c r="H807" s="3"/>
      <c r="I807" s="3"/>
      <c r="J807" s="3"/>
      <c r="K807" s="3"/>
    </row>
    <row r="808" spans="4:16" ht="14.25" customHeight="1">
      <c r="D808" s="4"/>
    </row>
    <row r="809" spans="4:16" s="9" customFormat="1" ht="14.25" customHeight="1">
      <c r="D809" s="12"/>
      <c r="E809" s="12" t="str">
        <f t="shared" ref="E809" si="532">TRIM(LEFT(F810,5))</f>
        <v> 1992</v>
      </c>
      <c r="F809" s="6" t="s">
        <v>1528</v>
      </c>
      <c r="G809" s="6" t="str">
        <f t="shared" ref="G809" si="533">+geturl(F809)</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v>
      </c>
      <c r="H809" s="6"/>
      <c r="I809" s="6"/>
      <c r="J809" s="7"/>
      <c r="K809" s="7"/>
      <c r="L809" s="8"/>
      <c r="N809" s="8"/>
    </row>
    <row r="810" spans="4:16" s="9" customFormat="1" ht="14.25" customHeight="1">
      <c r="D810" s="12"/>
      <c r="F810" s="10" t="s">
        <v>1529</v>
      </c>
      <c r="G810" s="10"/>
      <c r="H810" s="10"/>
      <c r="I810" s="10"/>
      <c r="J810" s="10"/>
      <c r="K810" s="10"/>
      <c r="P810" s="8"/>
    </row>
    <row r="811" spans="4:16" s="9" customFormat="1" ht="14.25" customHeight="1">
      <c r="D811" s="11"/>
      <c r="P811" s="8"/>
    </row>
    <row r="812" spans="4:16" ht="14.25" customHeight="1">
      <c r="D812" s="1"/>
      <c r="E812" s="19" t="str">
        <f t="shared" ref="E812" si="534">TRIM(LEFT(F813,5))</f>
        <v> 1992</v>
      </c>
      <c r="F812" s="2" t="s">
        <v>1530</v>
      </c>
      <c r="G812" s="2" t="str">
        <f t="shared" ref="G812" si="535">+geturl(F812)</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v>
      </c>
      <c r="H812" s="2"/>
      <c r="I812" s="2"/>
      <c r="J812" s="2"/>
      <c r="K812" s="2"/>
      <c r="P812" s="5"/>
    </row>
    <row r="813" spans="4:16" ht="14.25" customHeight="1">
      <c r="D813" s="1"/>
      <c r="E813" s="1"/>
      <c r="F813" s="3" t="s">
        <v>1531</v>
      </c>
      <c r="G813" s="3"/>
      <c r="H813" s="3"/>
      <c r="I813" s="3"/>
      <c r="J813" s="3"/>
      <c r="K813" s="3"/>
    </row>
    <row r="814" spans="4:16" ht="14.25" customHeight="1">
      <c r="D814" s="4"/>
    </row>
    <row r="815" spans="4:16" s="9" customFormat="1" ht="14.25" customHeight="1">
      <c r="D815" s="12"/>
      <c r="E815" s="12" t="str">
        <f t="shared" ref="E815" si="536">TRIM(LEFT(F816,5))</f>
        <v> 1992</v>
      </c>
      <c r="F815" s="6" t="s">
        <v>1532</v>
      </c>
      <c r="G815" s="6" t="str">
        <f t="shared" ref="G815" si="537">+geturl(F815)</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v>
      </c>
      <c r="H815" s="6"/>
      <c r="I815" s="6"/>
      <c r="J815" s="7"/>
      <c r="K815" s="7"/>
      <c r="L815" s="8"/>
      <c r="N815" s="8"/>
    </row>
    <row r="816" spans="4:16" s="9" customFormat="1" ht="14.25" customHeight="1">
      <c r="D816" s="12"/>
      <c r="F816" s="10" t="s">
        <v>1533</v>
      </c>
      <c r="G816" s="10"/>
      <c r="H816" s="10"/>
      <c r="I816" s="10"/>
      <c r="J816" s="10"/>
      <c r="K816" s="10"/>
      <c r="P816" s="8"/>
    </row>
    <row r="817" spans="4:16" s="9" customFormat="1" ht="14.25" customHeight="1">
      <c r="D817" s="11"/>
      <c r="P817" s="8"/>
    </row>
    <row r="818" spans="4:16" ht="14.25" customHeight="1">
      <c r="D818" s="1"/>
      <c r="E818" s="19" t="str">
        <f t="shared" ref="E818" si="538">TRIM(LEFT(F819,5))</f>
        <v> 1992</v>
      </c>
      <c r="F818" s="2" t="s">
        <v>1534</v>
      </c>
      <c r="G818" s="2" t="str">
        <f t="shared" ref="G818" si="539">+geturl(F818)</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v>
      </c>
      <c r="H818" s="2"/>
      <c r="I818" s="2"/>
      <c r="J818" s="2"/>
      <c r="K818" s="2"/>
      <c r="P818" s="5"/>
    </row>
    <row r="819" spans="4:16" ht="14.25" customHeight="1">
      <c r="D819" s="1"/>
      <c r="E819" s="1"/>
      <c r="F819" s="3" t="s">
        <v>1535</v>
      </c>
      <c r="G819" s="3"/>
      <c r="H819" s="3"/>
      <c r="I819" s="3"/>
      <c r="J819" s="3"/>
      <c r="K819" s="3"/>
    </row>
    <row r="820" spans="4:16" ht="14.25" customHeight="1">
      <c r="D820" s="4"/>
    </row>
    <row r="821" spans="4:16" s="9" customFormat="1" ht="14.25" customHeight="1">
      <c r="D821" s="12"/>
      <c r="E821" s="12" t="str">
        <f t="shared" ref="E821" si="540">TRIM(LEFT(F822,5))</f>
        <v> 1992</v>
      </c>
      <c r="F821" s="6" t="s">
        <v>198</v>
      </c>
      <c r="G821" s="6" t="str">
        <f t="shared" ref="G821" si="541">+geturl(F821)</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v>
      </c>
      <c r="H821" s="6"/>
      <c r="I821" s="6"/>
      <c r="J821" s="7"/>
      <c r="K821" s="7"/>
      <c r="L821" s="8"/>
      <c r="N821" s="8"/>
    </row>
    <row r="822" spans="4:16" s="9" customFormat="1" ht="14.25" customHeight="1">
      <c r="D822" s="12"/>
      <c r="F822" s="10" t="s">
        <v>1535</v>
      </c>
      <c r="G822" s="10"/>
      <c r="H822" s="10"/>
      <c r="I822" s="10"/>
      <c r="J822" s="10"/>
      <c r="K822" s="10"/>
      <c r="P822" s="8"/>
    </row>
    <row r="823" spans="4:16" s="9" customFormat="1" ht="14.25" customHeight="1">
      <c r="D823" s="11"/>
      <c r="P823" s="8"/>
    </row>
    <row r="824" spans="4:16" ht="14.25" customHeight="1">
      <c r="D824" s="1"/>
      <c r="E824" s="19" t="str">
        <f t="shared" ref="E824" si="542">TRIM(LEFT(F825,5))</f>
        <v> 1991</v>
      </c>
      <c r="F824" s="2" t="s">
        <v>240</v>
      </c>
      <c r="G824" s="2" t="str">
        <f t="shared" ref="G824" si="543">+geturl(F824)</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v>
      </c>
      <c r="H824" s="2"/>
      <c r="I824" s="2"/>
      <c r="J824" s="2"/>
      <c r="K824" s="2"/>
      <c r="P824" s="5"/>
    </row>
    <row r="825" spans="4:16" ht="14.25" customHeight="1">
      <c r="D825" s="1"/>
      <c r="E825" s="1"/>
      <c r="F825" s="3" t="s">
        <v>1536</v>
      </c>
      <c r="G825" s="3"/>
      <c r="H825" s="3"/>
      <c r="I825" s="3"/>
      <c r="J825" s="3"/>
      <c r="K825" s="3"/>
    </row>
    <row r="826" spans="4:16" ht="14.25" customHeight="1">
      <c r="D826" s="4"/>
    </row>
    <row r="827" spans="4:16" s="9" customFormat="1" ht="14.25" customHeight="1">
      <c r="D827" s="12"/>
      <c r="E827" s="12" t="str">
        <f t="shared" ref="E827" si="544">TRIM(LEFT(F828,5))</f>
        <v> 1990</v>
      </c>
      <c r="F827" s="6" t="s">
        <v>215</v>
      </c>
      <c r="G827" s="6" t="str">
        <f t="shared" ref="G827" si="545">+geturl(F827)</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v>
      </c>
      <c r="H827" s="6"/>
      <c r="I827" s="6"/>
      <c r="J827" s="7"/>
      <c r="K827" s="7"/>
      <c r="L827" s="8"/>
      <c r="N827" s="8"/>
    </row>
    <row r="828" spans="4:16" s="9" customFormat="1" ht="14.25" customHeight="1">
      <c r="D828" s="12"/>
      <c r="F828" s="10" t="s">
        <v>1537</v>
      </c>
      <c r="G828" s="10"/>
      <c r="H828" s="10"/>
      <c r="I828" s="10"/>
      <c r="J828" s="10"/>
      <c r="K828" s="10"/>
      <c r="P828" s="8"/>
    </row>
    <row r="829" spans="4:16" s="9" customFormat="1" ht="14.25" customHeight="1">
      <c r="D829" s="11"/>
      <c r="P829" s="8"/>
    </row>
    <row r="830" spans="4:16" ht="14.25" customHeight="1">
      <c r="D830" s="1"/>
      <c r="E830" s="19" t="str">
        <f t="shared" ref="E830" si="546">TRIM(LEFT(F831,5))</f>
        <v> 1989</v>
      </c>
      <c r="F830" s="2" t="s">
        <v>139</v>
      </c>
      <c r="G830" s="2" t="str">
        <f t="shared" ref="G830" si="547">+geturl(F830)</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v>
      </c>
      <c r="H830" s="2"/>
      <c r="I830" s="2"/>
      <c r="J830" s="2"/>
      <c r="K830" s="2"/>
      <c r="P830" s="5"/>
    </row>
    <row r="831" spans="4:16" ht="14.25" customHeight="1">
      <c r="D831" s="1"/>
      <c r="E831" s="1"/>
      <c r="F831" s="3" t="s">
        <v>1538</v>
      </c>
      <c r="G831" s="3"/>
      <c r="H831" s="3"/>
      <c r="I831" s="3"/>
      <c r="J831" s="3"/>
      <c r="K831" s="3"/>
    </row>
    <row r="832" spans="4:16" ht="14.25" customHeight="1">
      <c r="D832" s="4"/>
    </row>
    <row r="833" spans="4:16" s="9" customFormat="1" ht="14.25" customHeight="1">
      <c r="D833" s="12"/>
      <c r="E833" s="12" t="str">
        <f t="shared" ref="E833" si="548">TRIM(LEFT(F834,5))</f>
        <v> Desi</v>
      </c>
      <c r="F833" s="6" t="s">
        <v>1539</v>
      </c>
      <c r="G833" s="6" t="str">
        <f t="shared" ref="G833" si="549">+geturl(F833)</f>
        <v>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v>
      </c>
      <c r="H833" s="6"/>
      <c r="I833" s="6"/>
      <c r="J833" s="7"/>
      <c r="K833" s="7"/>
      <c r="L833" s="8"/>
      <c r="N833" s="8"/>
    </row>
    <row r="834" spans="4:16" s="9" customFormat="1" ht="14.25" customHeight="1">
      <c r="D834" s="12"/>
      <c r="F834" s="10" t="s">
        <v>1540</v>
      </c>
      <c r="G834" s="10"/>
      <c r="H834" s="10"/>
      <c r="I834" s="10"/>
      <c r="J834" s="10"/>
      <c r="K834" s="10"/>
      <c r="P834" s="8"/>
    </row>
    <row r="835" spans="4:16" s="9" customFormat="1" ht="14.25" customHeight="1">
      <c r="D835" s="11"/>
      <c r="P835" s="8"/>
    </row>
    <row r="836" spans="4:16" ht="14.25" customHeight="1">
      <c r="D836" s="1"/>
      <c r="E836" s="19" t="str">
        <f t="shared" ref="E836" si="550">TRIM(LEFT(F837,5))</f>
        <v> 2000</v>
      </c>
      <c r="F836" s="2" t="s">
        <v>550</v>
      </c>
      <c r="G836" s="2" t="str">
        <f t="shared" ref="G836" si="551">+geturl(F836)</f>
        <v>https://dec.usaid.gov/dec/content/Detail.aspx?q=ZG9jdW1lbnRzLnBlcnNvbmFsX2F1dGhvcjooIlNhbmd1aW5ldHR5LCBKb3JnZSBBLiIp&amp;ctID=ODVhZjk4NWQtM2YyMi00YjRmLTkxNjktZTcxMjM2NDBmY2Uy&amp;rID=MjY2MTM4&amp;qcf=ODVhZjk4NWQtM2YyMi00YjRmLTkxNjktZTcxMjM2NDBmY2Uy&amp;ph=VHJ1ZQ==&amp;bckToL=VHJ1ZQ==&amp;</v>
      </c>
      <c r="H836" s="2"/>
      <c r="I836" s="2"/>
      <c r="J836" s="2"/>
      <c r="K836" s="2"/>
      <c r="P836" s="5"/>
    </row>
    <row r="837" spans="4:16" ht="14.25" customHeight="1">
      <c r="D837" s="1"/>
      <c r="E837" s="1"/>
      <c r="F837" s="3" t="s">
        <v>1449</v>
      </c>
      <c r="G837" s="3"/>
      <c r="H837" s="3"/>
      <c r="I837" s="3"/>
      <c r="J837" s="3"/>
      <c r="K837" s="3"/>
    </row>
    <row r="838" spans="4:16" ht="14.25" customHeight="1">
      <c r="D838" s="4"/>
    </row>
    <row r="839" spans="4:16" s="9" customFormat="1" ht="14.25" customHeight="1">
      <c r="D839" s="12"/>
      <c r="E839" s="12" t="str">
        <f t="shared" ref="E839" si="552">TRIM(LEFT(F840,5))</f>
        <v> 1992</v>
      </c>
      <c r="F839" s="6" t="s">
        <v>198</v>
      </c>
      <c r="G839" s="6" t="str">
        <f t="shared" ref="G839" si="553">+geturl(F839)</f>
        <v>https://dec.usaid.gov/dec/content/Detail.aspx?q=ZG9jdW1lbnRzLnBlcnNvbmFsX2F1dGhvcjooIlNhbmd1aW5ldHR5LCBKb3JnZSBBLiIp&amp;ctID=ODVhZjk4NWQtM2YyMi00YjRmLTkxNjktZTcxMjM2NDBmY2Uy&amp;rID=MjIxNzk4&amp;qcf=ODVhZjk4NWQtM2YyMi00YjRmLTkxNjktZTcxMjM2NDBmY2Uy&amp;ph=VHJ1ZQ==&amp;bckToL=VHJ1ZQ==&amp;</v>
      </c>
      <c r="H839" s="6"/>
      <c r="I839" s="6"/>
      <c r="J839" s="7"/>
      <c r="K839" s="7"/>
      <c r="L839" s="8"/>
      <c r="N839" s="8"/>
    </row>
    <row r="840" spans="4:16" s="9" customFormat="1" ht="14.25" customHeight="1">
      <c r="D840" s="12"/>
      <c r="F840" s="10" t="s">
        <v>1535</v>
      </c>
      <c r="G840" s="10"/>
      <c r="H840" s="10"/>
      <c r="I840" s="10"/>
      <c r="J840" s="10"/>
      <c r="K840" s="10"/>
      <c r="P840" s="8"/>
    </row>
    <row r="841" spans="4:16" s="9" customFormat="1" ht="14.25" customHeight="1">
      <c r="D841" s="11"/>
      <c r="P841" s="8"/>
    </row>
    <row r="842" spans="4:16" ht="14.25" customHeight="1">
      <c r="D842" s="1"/>
      <c r="E842" s="19" t="str">
        <f t="shared" ref="E842" si="554">TRIM(LEFT(F843,5))</f>
        <v> 1989</v>
      </c>
      <c r="F842" s="2" t="s">
        <v>139</v>
      </c>
      <c r="G842" s="2" t="str">
        <f t="shared" ref="G842" si="555">+geturl(F842)</f>
        <v>https://dec.usaid.gov/dec/content/Detail.aspx?q=ZG9jdW1lbnRzLnBlcnNvbmFsX2F1dGhvcjooIlNhbmd1aW5ldHR5LCBKb3JnZSBBLiIp&amp;ctID=ODVhZjk4NWQtM2YyMi00YjRmLTkxNjktZTcxMjM2NDBmY2Uy&amp;rID=MjEyNDYz&amp;qcf=ODVhZjk4NWQtM2YyMi00YjRmLTkxNjktZTcxMjM2NDBmY2Uy&amp;ph=VHJ1ZQ==&amp;bckToL=VHJ1ZQ==&amp;</v>
      </c>
      <c r="H842" s="2"/>
      <c r="I842" s="2"/>
      <c r="J842" s="2"/>
      <c r="K842" s="2"/>
      <c r="P842" s="5"/>
    </row>
    <row r="843" spans="4:16" ht="14.25" customHeight="1">
      <c r="D843" s="1"/>
      <c r="E843" s="1"/>
      <c r="F843" s="3" t="s">
        <v>1538</v>
      </c>
      <c r="G843" s="3"/>
      <c r="H843" s="3"/>
      <c r="I843" s="3"/>
      <c r="J843" s="3"/>
      <c r="K843" s="3"/>
    </row>
    <row r="844" spans="4:16" ht="14.25" customHeight="1">
      <c r="D844" s="4"/>
    </row>
    <row r="845" spans="4:16" s="9" customFormat="1" ht="14.25" customHeight="1">
      <c r="D845" s="12"/>
      <c r="E845" s="12" t="str">
        <f t="shared" ref="E845" si="556">TRIM(LEFT(F846,5))</f>
        <v> 1988</v>
      </c>
      <c r="F845" s="6" t="s">
        <v>1541</v>
      </c>
      <c r="G845" s="6" t="str">
        <f t="shared" ref="G845" si="557">+geturl(F845)</f>
        <v>https://dec.usaid.gov/dec/content/Detail.aspx?q=ZG9jdW1lbnRzLnBlcnNvbmFsX2F1dGhvcjooIlNhbmd1aW5ldHR5LCBKb3JnZSBBLiIp&amp;ctID=ODVhZjk4NWQtM2YyMi00YjRmLTkxNjktZTcxMjM2NDBmY2Uy&amp;rID=MjI3NzUw&amp;qcf=ODVhZjk4NWQtM2YyMi00YjRmLTkxNjktZTcxMjM2NDBmY2Uy&amp;ph=VHJ1ZQ==&amp;bckToL=VHJ1ZQ==&amp;</v>
      </c>
      <c r="H845" s="6"/>
      <c r="I845" s="6"/>
      <c r="J845" s="7"/>
      <c r="K845" s="7"/>
      <c r="L845" s="8"/>
      <c r="N845" s="8"/>
    </row>
    <row r="846" spans="4:16" s="9" customFormat="1" ht="14.25" customHeight="1">
      <c r="D846" s="12"/>
      <c r="F846" s="10" t="s">
        <v>1542</v>
      </c>
      <c r="G846" s="10"/>
      <c r="H846" s="10"/>
      <c r="I846" s="10"/>
      <c r="J846" s="10"/>
      <c r="K846" s="10"/>
      <c r="P846" s="8"/>
    </row>
    <row r="847" spans="4:16" s="9" customFormat="1" ht="14.25" customHeight="1">
      <c r="D847" s="11"/>
      <c r="P847" s="8"/>
    </row>
    <row r="848" spans="4:16" ht="14.25" customHeight="1">
      <c r="D848" s="1"/>
      <c r="E848" s="19" t="str">
        <f t="shared" ref="E848" si="558">TRIM(LEFT(F849,5))</f>
        <v> 1985</v>
      </c>
      <c r="F848" s="2" t="s">
        <v>1543</v>
      </c>
      <c r="G848" s="2" t="str">
        <f t="shared" ref="G848" si="559">+geturl(F848)</f>
        <v>https://dec.usaid.gov/dec/content/Detail.aspx?q=ZG9jdW1lbnRzLnBlcnNvbmFsX2F1dGhvcjooIlNhbmd1aW5ldHR5LCBKb3JnZSBBLiIp&amp;ctID=ODVhZjk4NWQtM2YyMi00YjRmLTkxNjktZTcxMjM2NDBmY2Uy&amp;rID=MjAyMzk1&amp;qcf=ODVhZjk4NWQtM2YyMi00YjRmLTkxNjktZTcxMjM2NDBmY2Uy&amp;ph=VHJ1ZQ==&amp;bckToL=VHJ1ZQ==&amp;</v>
      </c>
      <c r="H848" s="2"/>
      <c r="I848" s="2"/>
      <c r="J848" s="2"/>
      <c r="K848" s="2"/>
      <c r="P848" s="5"/>
    </row>
    <row r="849" spans="4:16" ht="14.25" customHeight="1">
      <c r="D849" s="1"/>
      <c r="E849" s="1"/>
      <c r="F849" s="3" t="s">
        <v>1544</v>
      </c>
      <c r="G849" s="3"/>
      <c r="H849" s="3"/>
      <c r="I849" s="3"/>
      <c r="J849" s="3"/>
      <c r="K849" s="3"/>
    </row>
    <row r="850" spans="4:16" ht="14.25" customHeight="1">
      <c r="D850" s="4"/>
    </row>
    <row r="851" spans="4:16" s="9" customFormat="1" ht="14.25" customHeight="1">
      <c r="D851" s="12"/>
      <c r="E851" s="12" t="str">
        <f t="shared" ref="E851" si="560">TRIM(LEFT(F852,5))</f>
        <v> 1985</v>
      </c>
      <c r="F851" s="6" t="s">
        <v>1545</v>
      </c>
      <c r="G851" s="6" t="str">
        <f>+geturl(F851)</f>
        <v>https://dec.usaid.gov/dec/content/Detail.aspx?q=ZG9jdW1lbnRzLnBlcnNvbmFsX2F1dGhvcjooIlNhbmd1aW5ldHR5LCBKb3JnZSBBLiIp&amp;ctID=ODVhZjk4NWQtM2YyMi00YjRmLTkxNjktZTcxMjM2NDBmY2Uy&amp;rID=MTg3MTU2&amp;qcf=ODVhZjk4NWQtM2YyMi00YjRmLTkxNjktZTcxMjM2NDBmY2Uy&amp;ph=VHJ1ZQ==&amp;bckToL=VHJ1ZQ==&amp;</v>
      </c>
      <c r="H851" s="6"/>
      <c r="I851" s="6"/>
      <c r="J851" s="7"/>
      <c r="K851" s="7"/>
      <c r="L851" s="8"/>
      <c r="N851" s="8"/>
    </row>
    <row r="852" spans="4:16" s="9" customFormat="1" ht="14.25" customHeight="1">
      <c r="D852" s="12"/>
      <c r="F852" s="10" t="s">
        <v>1544</v>
      </c>
      <c r="G852" s="10"/>
      <c r="H852" s="10"/>
      <c r="I852" s="10"/>
      <c r="J852" s="10"/>
      <c r="K852" s="10"/>
      <c r="P852" s="8"/>
    </row>
    <row r="853" spans="4:16" s="9" customFormat="1" ht="14.25" customHeight="1">
      <c r="D853" s="11"/>
      <c r="P853" s="8"/>
    </row>
  </sheetData>
  <hyperlinks>
    <hyperlink ref="F5" r:id="rId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Mzk5&amp;qcf=ODVhZjk4NWQtM2YyMi00YjRmLTkxNjktZTcxMjM2NDBmY2Uy&amp;ph=VHJ1ZQ==&amp;bckToL=VHJ1ZQ==&amp;"/>
    <hyperlink ref="F8" r:id="rId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wODg1&amp;qcf=ODVhZjk4NWQtM2YyMi00YjRmLTkxNjktZTcxMjM2NDBmY2Uy&amp;ph=VHJ1ZQ==&amp;bckToL=VHJ1ZQ==&amp;"/>
    <hyperlink ref="F11" r:id="rId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0NDk2&amp;qcf=ODVhZjk4NWQtM2YyMi00YjRmLTkxNjktZTcxMjM2NDBmY2Uy&amp;ph=VHJ1ZQ==&amp;bckToL=VHJ1ZQ==&amp;"/>
    <hyperlink ref="F14" r:id="rId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yNDgw&amp;qcf=ODVhZjk4NWQtM2YyMi00YjRmLTkxNjktZTcxMjM2NDBmY2Uy&amp;ph=VHJ1ZQ==&amp;bckToL=VHJ1ZQ==&amp;"/>
    <hyperlink ref="F17" r:id="rId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2ODEz&amp;qcf=ODVhZjk4NWQtM2YyMi00YjRmLTkxNjktZTcxMjM2NDBmY2Uy&amp;ph=VHJ1ZQ==&amp;bckToL=VHJ1ZQ==&amp;"/>
    <hyperlink ref="F20" r:id="rId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0&amp;qcf=ODVhZjk4NWQtM2YyMi00YjRmLTkxNjktZTcxMjM2NDBmY2Uy&amp;ph=VHJ1ZQ==&amp;bckToL=VHJ1ZQ==&amp;"/>
    <hyperlink ref="F23"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3NzM1&amp;qcf=ODVhZjk4NWQtM2YyMi00YjRmLTkxNjktZTcxMjM2NDBmY2Uy&amp;ph=VHJ1ZQ==&amp;bckToL=VHJ1ZQ==&amp;"/>
    <hyperlink ref="F26" r:id="rId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1Mjgw&amp;qcf=ODVhZjk4NWQtM2YyMi00YjRmLTkxNjktZTcxMjM2NDBmY2Uy&amp;ph=VHJ1ZQ==&amp;bckToL=VHJ1ZQ==&amp;"/>
    <hyperlink ref="F29" r:id="rId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0MTA1&amp;qcf=ODVhZjk4NWQtM2YyMi00YjRmLTkxNjktZTcxMjM2NDBmY2Uy&amp;ph=VHJ1ZQ==&amp;bckToL=VHJ1ZQ==&amp;"/>
    <hyperlink ref="F32" r:id="rId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NjAy&amp;qcf=ODVhZjk4NWQtM2YyMi00YjRmLTkxNjktZTcxMjM2NDBmY2Uy&amp;ph=VHJ1ZQ==&amp;bckToL=VHJ1ZQ==&amp;"/>
    <hyperlink ref="F35" r:id="rId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wMDU5&amp;qcf=ODVhZjk4NWQtM2YyMi00YjRmLTkxNjktZTcxMjM2NDBmY2Uy&amp;ph=VHJ1ZQ==&amp;bckToL=VHJ1ZQ==&amp;"/>
    <hyperlink ref="F38" r:id="rId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3NTk1&amp;qcf=ODVhZjk4NWQtM2YyMi00YjRmLTkxNjktZTcxMjM2NDBmY2Uy&amp;ph=VHJ1ZQ==&amp;bckToL=VHJ1ZQ==&amp;"/>
    <hyperlink ref="F41" r:id="rId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UwMTgz&amp;qcf=ODVhZjk4NWQtM2YyMi00YjRmLTkxNjktZTcxMjM2NDBmY2Uy&amp;ph=VHJ1ZQ==&amp;bckToL=VHJ1ZQ==&amp;"/>
    <hyperlink ref="F44" r:id="rId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y&amp;qcf=ODVhZjk4NWQtM2YyMi00YjRmLTkxNjktZTcxMjM2NDBmY2Uy&amp;ph=VHJ1ZQ==&amp;bckToL=VHJ1ZQ==&amp;"/>
    <hyperlink ref="F47" r:id="rId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hyperlink ref="F50" r:id="rId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wODM2&amp;qcf=ODVhZjk4NWQtM2YyMi00YjRmLTkxNjktZTcxMjM2NDBmY2Uy&amp;ph=VHJ1ZQ==&amp;bckToL=VHJ1ZQ==&amp;"/>
    <hyperlink ref="F53" r:id="rId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Y2&amp;qcf=ODVhZjk4NWQtM2YyMi00YjRmLTkxNjktZTcxMjM2NDBmY2Uy&amp;ph=VHJ1ZQ==&amp;bckToL=VHJ1ZQ==&amp;"/>
    <hyperlink ref="F56" r:id="rId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y&amp;qcf=ODVhZjk4NWQtM2YyMi00YjRmLTkxNjktZTcxMjM2NDBmY2Uy&amp;ph=VHJ1ZQ==&amp;bckToL=VHJ1ZQ==&amp;"/>
    <hyperlink ref="F59" r:id="rId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TU4&amp;qcf=ODVhZjk4NWQtM2YyMi00YjRmLTkxNjktZTcxMjM2NDBmY2Uy&amp;ph=VHJ1ZQ==&amp;bckToL=VHJ1ZQ==&amp;"/>
    <hyperlink ref="F62" r:id="rId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NjA4&amp;qcf=ODVhZjk4NWQtM2YyMi00YjRmLTkxNjktZTcxMjM2NDBmY2Uy&amp;ph=VHJ1ZQ==&amp;bckToL=VHJ1ZQ==&amp;"/>
    <hyperlink ref="F65" r:id="rId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w&amp;qcf=ODVhZjk4NWQtM2YyMi00YjRmLTkxNjktZTcxMjM2NDBmY2Uy&amp;ph=VHJ1ZQ==&amp;bckToL=VHJ1ZQ==&amp;"/>
    <hyperlink ref="F68" r:id="rId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Tcx&amp;qcf=ODVhZjk4NWQtM2YyMi00YjRmLTkxNjktZTcxMjM2NDBmY2Uy&amp;ph=VHJ1ZQ==&amp;bckToL=VHJ1ZQ==&amp;"/>
    <hyperlink ref="F71" r:id="rId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Ay&amp;qcf=ODVhZjk4NWQtM2YyMi00YjRmLTkxNjktZTcxMjM2NDBmY2Uy&amp;ph=VHJ1ZQ==&amp;bckToL=VHJ1ZQ==&amp;"/>
    <hyperlink ref="F74" r:id="rId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zMDI0&amp;qcf=ODVhZjk4NWQtM2YyMi00YjRmLTkxNjktZTcxMjM2NDBmY2Uy&amp;ph=VHJ1ZQ==&amp;bckToL=VHJ1ZQ==&amp;"/>
    <hyperlink ref="F77" r:id="rId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xODcw&amp;qcf=ODVhZjk4NWQtM2YyMi00YjRmLTkxNjktZTcxMjM2NDBmY2Uy&amp;ph=VHJ1ZQ==&amp;bckToL=VHJ1ZQ==&amp;"/>
    <hyperlink ref="F80" r:id="rId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I2&amp;qcf=ODVhZjk4NWQtM2YyMi00YjRmLTkxNjktZTcxMjM2NDBmY2Uy&amp;ph=VHJ1ZQ==&amp;bckToL=VHJ1ZQ==&amp;"/>
    <hyperlink ref="F83" r:id="rId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Njcz&amp;qcf=ODVhZjk4NWQtM2YyMi00YjRmLTkxNjktZTcxMjM2NDBmY2Uy&amp;ph=VHJ1ZQ==&amp;bckToL=VHJ1ZQ==&amp;"/>
    <hyperlink ref="F86" r:id="rId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MTgw&amp;qcf=ODVhZjk4NWQtM2YyMi00YjRmLTkxNjktZTcxMjM2NDBmY2Uy&amp;ph=VHJ1ZQ==&amp;bckToL=VHJ1ZQ==&amp;"/>
    <hyperlink ref="F8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wODY3&amp;qcf=ODVhZjk4NWQtM2YyMi00YjRmLTkxNjktZTcxMjM2NDBmY2Uy&amp;ph=VHJ1ZQ==&amp;bckToL=VHJ1ZQ==&amp;"/>
    <hyperlink ref="F92" r:id="rId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x&amp;qcf=ODVhZjk4NWQtM2YyMi00YjRmLTkxNjktZTcxMjM2NDBmY2Uy&amp;ph=VHJ1ZQ==&amp;bckToL=VHJ1ZQ==&amp;"/>
    <hyperlink ref="F95" r:id="rId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y&amp;qcf=ODVhZjk4NWQtM2YyMi00YjRmLTkxNjktZTcxMjM2NDBmY2Uy&amp;ph=VHJ1ZQ==&amp;bckToL=VHJ1ZQ==&amp;"/>
    <hyperlink ref="F98" r:id="rId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0MzQz&amp;qcf=ODVhZjk4NWQtM2YyMi00YjRmLTkxNjktZTcxMjM2NDBmY2Uy&amp;ph=VHJ1ZQ==&amp;bckToL=VHJ1ZQ==&amp;"/>
    <hyperlink ref="F101" r:id="rId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1&amp;qcf=ODVhZjk4NWQtM2YyMi00YjRmLTkxNjktZTcxMjM2NDBmY2Uy&amp;ph=VHJ1ZQ==&amp;bckToL=VHJ1ZQ==&amp;"/>
    <hyperlink ref="F104" r:id="rId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2&amp;qcf=ODVhZjk4NWQtM2YyMi00YjRmLTkxNjktZTcxMjM2NDBmY2Uy&amp;ph=VHJ1ZQ==&amp;bckToL=VHJ1ZQ==&amp;"/>
    <hyperlink ref="F107" r:id="rId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1MTIw&amp;qcf=ODVhZjk4NWQtM2YyMi00YjRmLTkxNjktZTcxMjM2NDBmY2Uy&amp;ph=VHJ1ZQ==&amp;bckToL=VHJ1ZQ==&amp;"/>
    <hyperlink ref="F110" r:id="rId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y&amp;qcf=ODVhZjk4NWQtM2YyMi00YjRmLTkxNjktZTcxMjM2NDBmY2Uy&amp;ph=VHJ1ZQ==&amp;bckToL=VHJ1ZQ==&amp;"/>
    <hyperlink ref="F113" r:id="rId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z&amp;qcf=ODVhZjk4NWQtM2YyMi00YjRmLTkxNjktZTcxMjM2NDBmY2Uy&amp;ph=VHJ1ZQ==&amp;bckToL=VHJ1ZQ==&amp;"/>
    <hyperlink ref="F116" r:id="rId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2NzY0&amp;qcf=ODVhZjk4NWQtM2YyMi00YjRmLTkxNjktZTcxMjM2NDBmY2Uy&amp;ph=VHJ1ZQ==&amp;bckToL=VHJ1ZQ==&amp;"/>
    <hyperlink ref="F119" r:id="rId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w&amp;qcf=ODVhZjk4NWQtM2YyMi00YjRmLTkxNjktZTcxMjM2NDBmY2Uy&amp;ph=VHJ1ZQ==&amp;bckToL=VHJ1ZQ==&amp;"/>
    <hyperlink ref="F122" r:id="rId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x&amp;qcf=ODVhZjk4NWQtM2YyMi00YjRmLTkxNjktZTcxMjM2NDBmY2Uy&amp;ph=VHJ1ZQ==&amp;bckToL=VHJ1ZQ==&amp;"/>
    <hyperlink ref="F125" r:id="rId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gy&amp;qcf=ODVhZjk4NWQtM2YyMi00YjRmLTkxNjktZTcxMjM2NDBmY2Uy&amp;ph=VHJ1ZQ==&amp;bckToL=VHJ1ZQ==&amp;"/>
    <hyperlink ref="F128" r:id="rId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w&amp;qcf=ODVhZjk4NWQtM2YyMi00YjRmLTkxNjktZTcxMjM2NDBmY2Uy&amp;ph=VHJ1ZQ==&amp;bckToL=VHJ1ZQ==&amp;"/>
    <hyperlink ref="F131" r:id="rId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0NTc5&amp;qcf=ODVhZjk4NWQtM2YyMi00YjRmLTkxNjktZTcxMjM2NDBmY2Uy&amp;ph=VHJ1ZQ==&amp;bckToL=VHJ1ZQ==&amp;"/>
    <hyperlink ref="F134" r:id="rId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x&amp;qcf=ODVhZjk4NWQtM2YyMi00YjRmLTkxNjktZTcxMjM2NDBmY2Uy&amp;ph=VHJ1ZQ==&amp;bckToL=VHJ1ZQ==&amp;"/>
    <hyperlink ref="F137" r:id="rId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1&amp;qcf=ODVhZjk4NWQtM2YyMi00YjRmLTkxNjktZTcxMjM2NDBmY2Uy&amp;ph=VHJ1ZQ==&amp;bckToL=VHJ1ZQ==&amp;"/>
    <hyperlink ref="F140" r:id="rId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5&amp;qcf=ODVhZjk4NWQtM2YyMi00YjRmLTkxNjktZTcxMjM2NDBmY2Uy&amp;ph=VHJ1ZQ==&amp;bckToL=VHJ1ZQ==&amp;"/>
    <hyperlink ref="F143" r:id="rId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2&amp;qcf=ODVhZjk4NWQtM2YyMi00YjRmLTkxNjktZTcxMjM2NDBmY2Uy&amp;ph=VHJ1ZQ==&amp;bckToL=VHJ1ZQ==&amp;"/>
    <hyperlink ref="F146" r:id="rId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3&amp;qcf=ODVhZjk4NWQtM2YyMi00YjRmLTkxNjktZTcxMjM2NDBmY2Uy&amp;ph=VHJ1ZQ==&amp;bckToL=VHJ1ZQ==&amp;"/>
    <hyperlink ref="F149" r:id="rId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2&amp;qcf=ODVhZjk4NWQtM2YyMi00YjRmLTkxNjktZTcxMjM2NDBmY2Uy&amp;ph=VHJ1ZQ==&amp;bckToL=VHJ1ZQ==&amp;"/>
    <hyperlink ref="F152" r:id="rId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z&amp;qcf=ODVhZjk4NWQtM2YyMi00YjRmLTkxNjktZTcxMjM2NDBmY2Uy&amp;ph=VHJ1ZQ==&amp;bckToL=VHJ1ZQ==&amp;"/>
    <hyperlink ref="F155" r:id="rId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yOTk0&amp;qcf=ODVhZjk4NWQtM2YyMi00YjRmLTkxNjktZTcxMjM2NDBmY2Uy&amp;ph=VHJ1ZQ==&amp;bckToL=VHJ1ZQ==&amp;"/>
    <hyperlink ref="F158" r:id="rId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jkw&amp;qcf=ODVhZjk4NWQtM2YyMi00YjRmLTkxNjktZTcxMjM2NDBmY2Uy&amp;ph=VHJ1ZQ==&amp;bckToL=VHJ1ZQ==&amp;"/>
    <hyperlink ref="F161" r:id="rId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5MzE4&amp;qcf=ODVhZjk4NWQtM2YyMi00YjRmLTkxNjktZTcxMjM2NDBmY2Uy&amp;ph=VHJ1ZQ==&amp;bckToL=VHJ1ZQ==&amp;"/>
    <hyperlink ref="F164" r:id="rId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MjE3&amp;qcf=ODVhZjk4NWQtM2YyMi00YjRmLTkxNjktZTcxMjM2NDBmY2Uy&amp;ph=VHJ1ZQ==&amp;bckToL=VHJ1ZQ==&amp;"/>
    <hyperlink ref="F167" r:id="rId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zMDA4&amp;qcf=ODVhZjk4NWQtM2YyMi00YjRmLTkxNjktZTcxMjM2NDBmY2Uy&amp;ph=VHJ1ZQ==&amp;bckToL=VHJ1ZQ==&amp;"/>
    <hyperlink ref="F170" r:id="rId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zg5&amp;qcf=ODVhZjk4NWQtM2YyMi00YjRmLTkxNjktZTcxMjM2NDBmY2Uy&amp;ph=VHJ1ZQ==&amp;bckToL=VHJ1ZQ==&amp;"/>
    <hyperlink ref="F173" r:id="rId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3NDIz&amp;qcf=ODVhZjk4NWQtM2YyMi00YjRmLTkxNjktZTcxMjM2NDBmY2Uy&amp;ph=VHJ1ZQ==&amp;bckToL=VHJ1ZQ==&amp;"/>
    <hyperlink ref="F176" r:id="rId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TE2&amp;qcf=ODVhZjk4NWQtM2YyMi00YjRmLTkxNjktZTcxMjM2NDBmY2Uy&amp;ph=VHJ1ZQ==&amp;bckToL=VHJ1ZQ==&amp;"/>
    <hyperlink ref="F179" r:id="rId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1MTQy&amp;qcf=ODVhZjk4NWQtM2YyMi00YjRmLTkxNjktZTcxMjM2NDBmY2Uy&amp;ph=VHJ1ZQ==&amp;bckToL=VHJ1ZQ==&amp;"/>
    <hyperlink ref="F182" r:id="rId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Uy&amp;qcf=ODVhZjk4NWQtM2YyMi00YjRmLTkxNjktZTcxMjM2NDBmY2Uy&amp;ph=VHJ1ZQ==&amp;bckToL=VHJ1ZQ==&amp;"/>
    <hyperlink ref="F185" r:id="rId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3&amp;qcf=ODVhZjk4NWQtM2YyMi00YjRmLTkxNjktZTcxMjM2NDBmY2Uy&amp;ph=VHJ1ZQ==&amp;bckToL=VHJ1ZQ==&amp;"/>
    <hyperlink ref="F188" r:id="rId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c4NDEw&amp;qcf=ODVhZjk4NWQtM2YyMi00YjRmLTkxNjktZTcxMjM2NDBmY2Uy&amp;ph=VHJ1ZQ==&amp;bckToL=VHJ1ZQ==&amp;"/>
    <hyperlink ref="F191" r:id="rId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yMTA5&amp;qcf=ODVhZjk4NWQtM2YyMi00YjRmLTkxNjktZTcxMjM2NDBmY2Uy&amp;ph=VHJ1ZQ==&amp;bckToL=VHJ1ZQ==&amp;"/>
    <hyperlink ref="F194" r:id="rId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2MTIx&amp;qcf=ODVhZjk4NWQtM2YyMi00YjRmLTkxNjktZTcxMjM2NDBmY2Uy&amp;ph=VHJ1ZQ==&amp;bckToL=VHJ1ZQ==&amp;"/>
    <hyperlink ref="F197" r:id="rId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0&amp;qcf=ODVhZjk4NWQtM2YyMi00YjRmLTkxNjktZTcxMjM2NDBmY2Uy&amp;ph=VHJ1ZQ==&amp;bckToL=VHJ1ZQ==&amp;"/>
    <hyperlink ref="F200" r:id="rId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2&amp;qcf=ODVhZjk4NWQtM2YyMi00YjRmLTkxNjktZTcxMjM2NDBmY2Uy&amp;ph=VHJ1ZQ==&amp;bckToL=VHJ1ZQ==&amp;"/>
    <hyperlink ref="F203" r:id="rId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3&amp;qcf=ODVhZjk4NWQtM2YyMi00YjRmLTkxNjktZTcxMjM2NDBmY2Uy&amp;ph=VHJ1ZQ==&amp;bckToL=VHJ1ZQ==&amp;"/>
    <hyperlink ref="F206" r:id="rId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5&amp;qcf=ODVhZjk4NWQtM2YyMi00YjRmLTkxNjktZTcxMjM2NDBmY2Uy&amp;ph=VHJ1ZQ==&amp;bckToL=VHJ1ZQ==&amp;"/>
    <hyperlink ref="F209" r:id="rId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Mzk4&amp;qcf=ODVhZjk4NWQtM2YyMi00YjRmLTkxNjktZTcxMjM2NDBmY2Uy&amp;ph=VHJ1ZQ==&amp;bckToL=VHJ1ZQ==&amp;"/>
    <hyperlink ref="F212" r:id="rId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Yw&amp;qcf=ODVhZjk4NWQtM2YyMi00YjRmLTkxNjktZTcxMjM2NDBmY2Uy&amp;ph=VHJ1ZQ==&amp;bckToL=VHJ1ZQ==&amp;"/>
    <hyperlink ref="F215" r:id="rId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jk0&amp;qcf=ODVhZjk4NWQtM2YyMi00YjRmLTkxNjktZTcxMjM2NDBmY2Uy&amp;ph=VHJ1ZQ==&amp;bckToL=VHJ1ZQ==&amp;"/>
    <hyperlink ref="F218" r:id="rId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wMDU5&amp;qcf=ODVhZjk4NWQtM2YyMi00YjRmLTkxNjktZTcxMjM2NDBmY2Uy&amp;ph=VHJ1ZQ==&amp;bckToL=VHJ1ZQ==&amp;"/>
    <hyperlink ref="F221" r:id="rId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NDY1&amp;qcf=ODVhZjk4NWQtM2YyMi00YjRmLTkxNjktZTcxMjM2NDBmY2Uy&amp;ph=VHJ1ZQ==&amp;bckToL=VHJ1ZQ==&amp;"/>
    <hyperlink ref="F224" r:id="rId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g5&amp;qcf=ODVhZjk4NWQtM2YyMi00YjRmLTkxNjktZTcxMjM2NDBmY2Uy&amp;ph=VHJ1ZQ==&amp;bckToL=VHJ1ZQ==&amp;"/>
    <hyperlink ref="F227" r:id="rId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DQ4&amp;qcf=ODVhZjk4NWQtM2YyMi00YjRmLTkxNjktZTcxMjM2NDBmY2Uy&amp;ph=VHJ1ZQ==&amp;bckToL=VHJ1ZQ==&amp;"/>
    <hyperlink ref="F230" r:id="rId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Njc5&amp;qcf=ODVhZjk4NWQtM2YyMi00YjRmLTkxNjktZTcxMjM2NDBmY2Uy&amp;ph=VHJ1ZQ==&amp;bckToL=VHJ1ZQ==&amp;"/>
    <hyperlink ref="F233" r:id="rId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0MTI1&amp;qcf=ODVhZjk4NWQtM2YyMi00YjRmLTkxNjktZTcxMjM2NDBmY2Uy&amp;ph=VHJ1ZQ==&amp;bckToL=VHJ1ZQ==&amp;"/>
    <hyperlink ref="F236" r:id="rId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Tc5&amp;qcf=ODVhZjk4NWQtM2YyMi00YjRmLTkxNjktZTcxMjM2NDBmY2Uy&amp;ph=VHJ1ZQ==&amp;bckToL=VHJ1ZQ==&amp;"/>
    <hyperlink ref="F239" r:id="rId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zNjU4&amp;qcf=ODVhZjk4NWQtM2YyMi00YjRmLTkxNjktZTcxMjM2NDBmY2Uy&amp;ph=VHJ1ZQ==&amp;bckToL=VHJ1ZQ==&amp;"/>
    <hyperlink ref="F242" r:id="rId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k1&amp;qcf=ODVhZjk4NWQtM2YyMi00YjRmLTkxNjktZTcxMjM2NDBmY2Uy&amp;ph=VHJ1ZQ==&amp;bckToL=VHJ1ZQ==&amp;"/>
    <hyperlink ref="F245" r:id="rId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c4&amp;qcf=ODVhZjk4NWQtM2YyMi00YjRmLTkxNjktZTcxMjM2NDBmY2Uy&amp;ph=VHJ1ZQ==&amp;bckToL=VHJ1ZQ==&amp;"/>
    <hyperlink ref="F248" r:id="rId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ODQz&amp;qcf=ODVhZjk4NWQtM2YyMi00YjRmLTkxNjktZTcxMjM2NDBmY2Uy&amp;ph=VHJ1ZQ==&amp;bckToL=VHJ1ZQ==&amp;"/>
    <hyperlink ref="F251" r:id="rId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1OTU5&amp;qcf=ODVhZjk4NWQtM2YyMi00YjRmLTkxNjktZTcxMjM2NDBmY2Uy&amp;ph=VHJ1ZQ==&amp;bckToL=VHJ1ZQ==&amp;"/>
    <hyperlink ref="F254" r:id="rId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ky&amp;qcf=ODVhZjk4NWQtM2YyMi00YjRmLTkxNjktZTcxMjM2NDBmY2Uy&amp;ph=VHJ1ZQ==&amp;bckToL=VHJ1ZQ==&amp;"/>
    <hyperlink ref="F257" r:id="rId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jEw&amp;qcf=ODVhZjk4NWQtM2YyMi00YjRmLTkxNjktZTcxMjM2NDBmY2Uy&amp;ph=VHJ1ZQ==&amp;bckToL=VHJ1ZQ==&amp;"/>
    <hyperlink ref="F260" r:id="rId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A4NTgy&amp;qcf=ODVhZjk4NWQtM2YyMi00YjRmLTkxNjktZTcxMjM2NDBmY2Uy&amp;ph=VHJ1ZQ==&amp;bckToL=VHJ1ZQ==&amp;"/>
    <hyperlink ref="F263" r:id="rId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NzQw&amp;qcf=ODVhZjk4NWQtM2YyMi00YjRmLTkxNjktZTcxMjM2NDBmY2Uy&amp;ph=VHJ1ZQ==&amp;bckToL=VHJ1ZQ==&amp;"/>
    <hyperlink ref="F266" r:id="rId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w&amp;qcf=ODVhZjk4NWQtM2YyMi00YjRmLTkxNjktZTcxMjM2NDBmY2Uy&amp;ph=VHJ1ZQ==&amp;bckToL=VHJ1ZQ==&amp;"/>
    <hyperlink ref="F269" r:id="rId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x&amp;qcf=ODVhZjk4NWQtM2YyMi00YjRmLTkxNjktZTcxMjM2NDBmY2Uy&amp;ph=VHJ1ZQ==&amp;bckToL=VHJ1ZQ==&amp;"/>
    <hyperlink ref="F272" r:id="rId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MTQy&amp;qcf=ODVhZjk4NWQtM2YyMi00YjRmLTkxNjktZTcxMjM2NDBmY2Uy&amp;ph=VHJ1ZQ==&amp;bckToL=VHJ1ZQ==&amp;"/>
    <hyperlink ref="F275" r:id="rId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xNTY2&amp;qcf=ODVhZjk4NWQtM2YyMi00YjRmLTkxNjktZTcxMjM2NDBmY2Uy&amp;ph=VHJ1ZQ==&amp;bckToL=VHJ1ZQ==&amp;"/>
    <hyperlink ref="F278" r:id="rId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4MjA3&amp;qcf=ODVhZjk4NWQtM2YyMi00YjRmLTkxNjktZTcxMjM2NDBmY2Uy&amp;ph=VHJ1ZQ==&amp;bckToL=VHJ1ZQ==&amp;"/>
    <hyperlink ref="F281" r:id="rId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yMjIz&amp;qcf=ODVhZjk4NWQtM2YyMi00YjRmLTkxNjktZTcxMjM2NDBmY2Uy&amp;ph=VHJ1ZQ==&amp;bckToL=VHJ1ZQ==&amp;"/>
    <hyperlink ref="F284" r:id="rId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U5&amp;qcf=ODVhZjk4NWQtM2YyMi00YjRmLTkxNjktZTcxMjM2NDBmY2Uy&amp;ph=VHJ1ZQ==&amp;bckToL=VHJ1ZQ==&amp;"/>
    <hyperlink ref="F287" r:id="rId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TYw&amp;qcf=ODVhZjk4NWQtM2YyMi00YjRmLTkxNjktZTcxMjM2NDBmY2Uy&amp;ph=VHJ1ZQ==&amp;bckToL=VHJ1ZQ==&amp;"/>
    <hyperlink ref="F290" r:id="rId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jQw&amp;qcf=ODVhZjk4NWQtM2YyMi00YjRmLTkxNjktZTcxMjM2NDBmY2Uy&amp;ph=VHJ1ZQ==&amp;bckToL=VHJ1ZQ==&amp;"/>
    <hyperlink ref="F293" r:id="rId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Nzk4&amp;qcf=ODVhZjk4NWQtM2YyMi00YjRmLTkxNjktZTcxMjM2NDBmY2Uy&amp;ph=VHJ1ZQ==&amp;bckToL=VHJ1ZQ==&amp;"/>
    <hyperlink ref="F296" r:id="rId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Tgx&amp;qcf=ODVhZjk4NWQtM2YyMi00YjRmLTkxNjktZTcxMjM2NDBmY2Uy&amp;ph=VHJ1ZQ==&amp;bckToL=VHJ1ZQ==&amp;"/>
    <hyperlink ref="F299" r:id="rId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z&amp;qcf=ODVhZjk4NWQtM2YyMi00YjRmLTkxNjktZTcxMjM2NDBmY2Uy&amp;ph=VHJ1ZQ==&amp;bckToL=VHJ1ZQ==&amp;"/>
    <hyperlink ref="F302" r:id="rId1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DA0&amp;qcf=ODVhZjk4NWQtM2YyMi00YjRmLTkxNjktZTcxMjM2NDBmY2Uy&amp;ph=VHJ1ZQ==&amp;bckToL=VHJ1ZQ==&amp;"/>
    <hyperlink ref="F305" r:id="rId1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5MTI2&amp;qcf=ODVhZjk4NWQtM2YyMi00YjRmLTkxNjktZTcxMjM2NDBmY2Uy&amp;ph=VHJ1ZQ==&amp;bckToL=VHJ1ZQ==&amp;"/>
    <hyperlink ref="F308" r:id="rId1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3&amp;qcf=ODVhZjk4NWQtM2YyMi00YjRmLTkxNjktZTcxMjM2NDBmY2Uy&amp;ph=VHJ1ZQ==&amp;bckToL=VHJ1ZQ==&amp;"/>
    <hyperlink ref="F311" r:id="rId1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4&amp;qcf=ODVhZjk4NWQtM2YyMi00YjRmLTkxNjktZTcxMjM2NDBmY2Uy&amp;ph=VHJ1ZQ==&amp;bckToL=VHJ1ZQ==&amp;"/>
    <hyperlink ref="F314" r:id="rId1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zcz&amp;qcf=ODVhZjk4NWQtM2YyMi00YjRmLTkxNjktZTcxMjM2NDBmY2Uy&amp;ph=VHJ1ZQ==&amp;bckToL=VHJ1ZQ==&amp;"/>
    <hyperlink ref="F317" r:id="rId1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z&amp;qcf=ODVhZjk4NWQtM2YyMi00YjRmLTkxNjktZTcxMjM2NDBmY2Uy&amp;ph=VHJ1ZQ==&amp;bckToL=VHJ1ZQ==&amp;"/>
    <hyperlink ref="F320" r:id="rId1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1&amp;qcf=ODVhZjk4NWQtM2YyMi00YjRmLTkxNjktZTcxMjM2NDBmY2Uy&amp;ph=VHJ1ZQ==&amp;bckToL=VHJ1ZQ==&amp;"/>
    <hyperlink ref="F323" r:id="rId1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MjY5&amp;qcf=ODVhZjk4NWQtM2YyMi00YjRmLTkxNjktZTcxMjM2NDBmY2Uy&amp;ph=VHJ1ZQ==&amp;bckToL=VHJ1ZQ==&amp;"/>
    <hyperlink ref="F326" r:id="rId1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NDI2&amp;qcf=ODVhZjk4NWQtM2YyMi00YjRmLTkxNjktZTcxMjM2NDBmY2Uy&amp;ph=VHJ1ZQ==&amp;bckToL=VHJ1ZQ==&amp;"/>
    <hyperlink ref="F329" r:id="rId1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2&amp;qcf=ODVhZjk4NWQtM2YyMi00YjRmLTkxNjktZTcxMjM2NDBmY2Uy&amp;ph=VHJ1ZQ==&amp;bckToL=VHJ1ZQ==&amp;"/>
    <hyperlink ref="F332" r:id="rId1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3&amp;qcf=ODVhZjk4NWQtM2YyMi00YjRmLTkxNjktZTcxMjM2NDBmY2Uy&amp;ph=VHJ1ZQ==&amp;bckToL=VHJ1ZQ==&amp;"/>
    <hyperlink ref="F335" r:id="rId1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4&amp;qcf=ODVhZjk4NWQtM2YyMi00YjRmLTkxNjktZTcxMjM2NDBmY2Uy&amp;ph=VHJ1ZQ==&amp;bckToL=VHJ1ZQ==&amp;"/>
    <hyperlink ref="F338" r:id="rId1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5ODE1&amp;qcf=ODVhZjk4NWQtM2YyMi00YjRmLTkxNjktZTcxMjM2NDBmY2Uy&amp;ph=VHJ1ZQ==&amp;bckToL=VHJ1ZQ==&amp;"/>
    <hyperlink ref="F341" r:id="rId1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1&amp;qcf=ODVhZjk4NWQtM2YyMi00YjRmLTkxNjktZTcxMjM2NDBmY2Uy&amp;ph=VHJ1ZQ==&amp;bckToL=VHJ1ZQ==&amp;"/>
    <hyperlink ref="F344" r:id="rId1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A4&amp;qcf=ODVhZjk4NWQtM2YyMi00YjRmLTkxNjktZTcxMjM2NDBmY2Uy&amp;ph=VHJ1ZQ==&amp;bckToL=VHJ1ZQ==&amp;"/>
    <hyperlink ref="F347" r:id="rId1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Dcw&amp;qcf=ODVhZjk4NWQtM2YyMi00YjRmLTkxNjktZTcxMjM2NDBmY2Uy&amp;ph=VHJ1ZQ==&amp;bckToL=VHJ1ZQ==&amp;"/>
    <hyperlink ref="F350" r:id="rId1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3Njg5&amp;qcf=ODVhZjk4NWQtM2YyMi00YjRmLTkxNjktZTcxMjM2NDBmY2Uy&amp;ph=VHJ1ZQ==&amp;bckToL=VHJ1ZQ==&amp;"/>
    <hyperlink ref="F353" r:id="rId1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OTUx&amp;qcf=ODVhZjk4NWQtM2YyMi00YjRmLTkxNjktZTcxMjM2NDBmY2Uy&amp;ph=VHJ1ZQ==&amp;bckToL=VHJ1ZQ==&amp;"/>
    <hyperlink ref="F356" r:id="rId1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U5&amp;qcf=ODVhZjk4NWQtM2YyMi00YjRmLTkxNjktZTcxMjM2NDBmY2Uy&amp;ph=VHJ1ZQ==&amp;bckToL=VHJ1ZQ==&amp;"/>
    <hyperlink ref="F359" r:id="rId1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ODYw&amp;qcf=ODVhZjk4NWQtM2YyMi00YjRmLTkxNjktZTcxMjM2NDBmY2Uy&amp;ph=VHJ1ZQ==&amp;bckToL=VHJ1ZQ==&amp;"/>
    <hyperlink ref="F362" r:id="rId1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2MDk5&amp;qcf=ODVhZjk4NWQtM2YyMi00YjRmLTkxNjktZTcxMjM2NDBmY2Uy&amp;ph=VHJ1ZQ==&amp;bckToL=VHJ1ZQ==&amp;"/>
    <hyperlink ref="F365" r:id="rId1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4&amp;qcf=ODVhZjk4NWQtM2YyMi00YjRmLTkxNjktZTcxMjM2NDBmY2Uy&amp;ph=VHJ1ZQ==&amp;bckToL=VHJ1ZQ==&amp;"/>
    <hyperlink ref="F368" r:id="rId1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5&amp;qcf=ODVhZjk4NWQtM2YyMi00YjRmLTkxNjktZTcxMjM2NDBmY2Uy&amp;ph=VHJ1ZQ==&amp;bckToL=VHJ1ZQ==&amp;"/>
    <hyperlink ref="F371" r:id="rId1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4ODM0&amp;qcf=ODVhZjk4NWQtM2YyMi00YjRmLTkxNjktZTcxMjM2NDBmY2Uy&amp;ph=VHJ1ZQ==&amp;bckToL=VHJ1ZQ==&amp;"/>
    <hyperlink ref="F374" r:id="rId1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zEw&amp;qcf=ODVhZjk4NWQtM2YyMi00YjRmLTkxNjktZTcxMjM2NDBmY2Uy&amp;ph=VHJ1ZQ==&amp;bckToL=VHJ1ZQ==&amp;"/>
    <hyperlink ref="F377" r:id="rId1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0NTUx&amp;qcf=ODVhZjk4NWQtM2YyMi00YjRmLTkxNjktZTcxMjM2NDBmY2Uy&amp;ph=VHJ1ZQ==&amp;bckToL=VHJ1ZQ==&amp;"/>
    <hyperlink ref="F380" r:id="rId1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1MjYx&amp;qcf=ODVhZjk4NWQtM2YyMi00YjRmLTkxNjktZTcxMjM2NDBmY2Uy&amp;ph=VHJ1ZQ==&amp;bckToL=VHJ1ZQ==&amp;"/>
    <hyperlink ref="F383" r:id="rId1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3ODU3&amp;qcf=ODVhZjk4NWQtM2YyMi00YjRmLTkxNjktZTcxMjM2NDBmY2Uy&amp;ph=VHJ1ZQ==&amp;bckToL=VHJ1ZQ==&amp;"/>
    <hyperlink ref="F386" r:id="rId1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1&amp;qcf=ODVhZjk4NWQtM2YyMi00YjRmLTkxNjktZTcxMjM2NDBmY2Uy&amp;ph=VHJ1ZQ==&amp;bckToL=VHJ1ZQ==&amp;"/>
    <hyperlink ref="F389" r:id="rId1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kwMjU2&amp;qcf=ODVhZjk4NWQtM2YyMi00YjRmLTkxNjktZTcxMjM2NDBmY2Uy&amp;ph=VHJ1ZQ==&amp;bckToL=VHJ1ZQ==&amp;"/>
    <hyperlink ref="F392" r:id="rId1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hyperlink ref="F395" r:id="rId1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yODgz&amp;qcf=ODVhZjk4NWQtM2YyMi00YjRmLTkxNjktZTcxMjM2NDBmY2Uy&amp;ph=VHJ1ZQ==&amp;bckToL=VHJ1ZQ==&amp;"/>
    <hyperlink ref="F398" r:id="rId1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zQ3&amp;qcf=ODVhZjk4NWQtM2YyMi00YjRmLTkxNjktZTcxMjM2NDBmY2Uy&amp;ph=VHJ1ZQ==&amp;bckToL=VHJ1ZQ==&amp;"/>
    <hyperlink ref="F401" r:id="rId1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OTky&amp;qcf=ODVhZjk4NWQtM2YyMi00YjRmLTkxNjktZTcxMjM2NDBmY2Uy&amp;ph=VHJ1ZQ==&amp;bckToL=VHJ1ZQ==&amp;"/>
    <hyperlink ref="F404" r:id="rId1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E3NDc0&amp;qcf=ODVhZjk4NWQtM2YyMi00YjRmLTkxNjktZTcxMjM2NDBmY2Uy&amp;ph=VHJ1ZQ==&amp;bckToL=VHJ1ZQ==&amp;"/>
    <hyperlink ref="F407" r:id="rId1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OTk0&amp;qcf=ODVhZjk4NWQtM2YyMi00YjRmLTkxNjktZTcxMjM2NDBmY2Uy&amp;ph=VHJ1ZQ==&amp;bckToL=VHJ1ZQ==&amp;"/>
    <hyperlink ref="F410" r:id="rId1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xMTQ1&amp;qcf=ODVhZjk4NWQtM2YyMi00YjRmLTkxNjktZTcxMjM2NDBmY2Uy&amp;ph=VHJ1ZQ==&amp;bckToL=VHJ1ZQ==&amp;"/>
    <hyperlink ref="F413" r:id="rId1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gwNDcz&amp;qcf=ODVhZjk4NWQtM2YyMi00YjRmLTkxNjktZTcxMjM2NDBmY2Uy&amp;ph=VHJ1ZQ==&amp;bckToL=VHJ1ZQ==&amp;"/>
    <hyperlink ref="F416" r:id="rId1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zYz&amp;qcf=ODVhZjk4NWQtM2YyMi00YjRmLTkxNjktZTcxMjM2NDBmY2Uy&amp;ph=VHJ1ZQ==&amp;bckToL=VHJ1ZQ==&amp;"/>
    <hyperlink ref="F419" r:id="rId1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4NzI2&amp;qcf=ODVhZjk4NWQtM2YyMi00YjRmLTkxNjktZTcxMjM2NDBmY2Uy&amp;ph=VHJ1ZQ==&amp;bckToL=VHJ1ZQ==&amp;"/>
    <hyperlink ref="F422" r:id="rId1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x&amp;qcf=ODVhZjk4NWQtM2YyMi00YjRmLTkxNjktZTcxMjM2NDBmY2Uy&amp;ph=VHJ1ZQ==&amp;bckToL=VHJ1ZQ==&amp;"/>
    <hyperlink ref="F425" r:id="rId1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5MTQy&amp;qcf=ODVhZjk4NWQtM2YyMi00YjRmLTkxNjktZTcxMjM2NDBmY2Uy&amp;ph=VHJ1ZQ==&amp;bckToL=VHJ1ZQ==&amp;"/>
    <hyperlink ref="F428" r:id="rId1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3NjM2&amp;qcf=ODVhZjk4NWQtM2YyMi00YjRmLTkxNjktZTcxMjM2NDBmY2Uy&amp;ph=VHJ1ZQ==&amp;bckToL=VHJ1ZQ==&amp;"/>
    <hyperlink ref="F431" r:id="rId1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1&amp;qcf=ODVhZjk4NWQtM2YyMi00YjRmLTkxNjktZTcxMjM2NDBmY2Uy&amp;ph=VHJ1ZQ==&amp;bckToL=VHJ1ZQ==&amp;"/>
    <hyperlink ref="F434" r:id="rId1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U1&amp;qcf=ODVhZjk4NWQtM2YyMi00YjRmLTkxNjktZTcxMjM2NDBmY2Uy&amp;ph=VHJ1ZQ==&amp;bckToL=VHJ1ZQ==&amp;"/>
    <hyperlink ref="F437" r:id="rId1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Njg3&amp;qcf=ODVhZjk4NWQtM2YyMi00YjRmLTkxNjktZTcxMjM2NDBmY2Uy&amp;ph=VHJ1ZQ==&amp;bckToL=VHJ1ZQ==&amp;"/>
    <hyperlink ref="F440" r:id="rId1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MTM1&amp;qcf=ODVhZjk4NWQtM2YyMi00YjRmLTkxNjktZTcxMjM2NDBmY2Uy&amp;ph=VHJ1ZQ==&amp;bckToL=VHJ1ZQ==&amp;"/>
    <hyperlink ref="F443" r:id="rId1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gx&amp;qcf=ODVhZjk4NWQtM2YyMi00YjRmLTkxNjktZTcxMjM2NDBmY2Uy&amp;ph=VHJ1ZQ==&amp;bckToL=VHJ1ZQ==&amp;"/>
    <hyperlink ref="F446" r:id="rId1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I0&amp;qcf=ODVhZjk4NWQtM2YyMi00YjRmLTkxNjktZTcxMjM2NDBmY2Uy&amp;ph=VHJ1ZQ==&amp;bckToL=VHJ1ZQ==&amp;"/>
    <hyperlink ref="F449" r:id="rId1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1Mjc2&amp;qcf=ODVhZjk4NWQtM2YyMi00YjRmLTkxNjktZTcxMjM2NDBmY2Uy&amp;ph=VHJ1ZQ==&amp;bckToL=VHJ1ZQ==&amp;"/>
    <hyperlink ref="F452" r:id="rId1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2ODM0&amp;qcf=ODVhZjk4NWQtM2YyMi00YjRmLTkxNjktZTcxMjM2NDBmY2Uy&amp;ph=VHJ1ZQ==&amp;bckToL=VHJ1ZQ==&amp;"/>
    <hyperlink ref="F455" r:id="rId1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z&amp;qcf=ODVhZjk4NWQtM2YyMi00YjRmLTkxNjktZTcxMjM2NDBmY2Uy&amp;ph=VHJ1ZQ==&amp;bckToL=VHJ1ZQ==&amp;"/>
    <hyperlink ref="F458" r:id="rId1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Mw&amp;qcf=ODVhZjk4NWQtM2YyMi00YjRmLTkxNjktZTcxMjM2NDBmY2Uy&amp;ph=VHJ1ZQ==&amp;bckToL=VHJ1ZQ==&amp;"/>
    <hyperlink ref="F461" r:id="rId1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0Mjc0&amp;qcf=ODVhZjk4NWQtM2YyMi00YjRmLTkxNjktZTcxMjM2NDBmY2Uy&amp;ph=VHJ1ZQ==&amp;bckToL=VHJ1ZQ==&amp;"/>
    <hyperlink ref="F464" r:id="rId1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1&amp;qcf=ODVhZjk4NWQtM2YyMi00YjRmLTkxNjktZTcxMjM2NDBmY2Uy&amp;ph=VHJ1ZQ==&amp;bckToL=VHJ1ZQ==&amp;"/>
    <hyperlink ref="F467" r:id="rId1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3&amp;qcf=ODVhZjk4NWQtM2YyMi00YjRmLTkxNjktZTcxMjM2NDBmY2Uy&amp;ph=VHJ1ZQ==&amp;bckToL=VHJ1ZQ==&amp;"/>
    <hyperlink ref="F470" r:id="rId1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y&amp;qcf=ODVhZjk4NWQtM2YyMi00YjRmLTkxNjktZTcxMjM2NDBmY2Uy&amp;ph=VHJ1ZQ==&amp;bckToL=VHJ1ZQ==&amp;"/>
    <hyperlink ref="F473" r:id="rId1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0&amp;qcf=ODVhZjk4NWQtM2YyMi00YjRmLTkxNjktZTcxMjM2NDBmY2Uy&amp;ph=VHJ1ZQ==&amp;bckToL=VHJ1ZQ==&amp;"/>
    <hyperlink ref="F476" r:id="rId1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OTM2&amp;qcf=ODVhZjk4NWQtM2YyMi00YjRmLTkxNjktZTcxMjM2NDBmY2Uy&amp;ph=VHJ1ZQ==&amp;bckToL=VHJ1ZQ==&amp;"/>
    <hyperlink ref="F479" r:id="rId1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M4&amp;qcf=ODVhZjk4NWQtM2YyMi00YjRmLTkxNjktZTcxMjM2NDBmY2Uy&amp;ph=VHJ1ZQ==&amp;bckToL=VHJ1ZQ==&amp;"/>
    <hyperlink ref="F482" r:id="rId1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Uw&amp;qcf=ODVhZjk4NWQtM2YyMi00YjRmLTkxNjktZTcxMjM2NDBmY2Uy&amp;ph=VHJ1ZQ==&amp;bckToL=VHJ1ZQ==&amp;"/>
    <hyperlink ref="F485" r:id="rId1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E5&amp;qcf=ODVhZjk4NWQtM2YyMi00YjRmLTkxNjktZTcxMjM2NDBmY2Uy&amp;ph=VHJ1ZQ==&amp;bckToL=VHJ1ZQ==&amp;"/>
    <hyperlink ref="F488" r:id="rId1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DMz&amp;qcf=ODVhZjk4NWQtM2YyMi00YjRmLTkxNjktZTcxMjM2NDBmY2Uy&amp;ph=VHJ1ZQ==&amp;bckToL=VHJ1ZQ==&amp;"/>
    <hyperlink ref="F491" r:id="rId1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NjE5&amp;qcf=ODVhZjk4NWQtM2YyMi00YjRmLTkxNjktZTcxMjM2NDBmY2Uy&amp;ph=VHJ1ZQ==&amp;bckToL=VHJ1ZQ==&amp;"/>
    <hyperlink ref="F494" r:id="rId1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c2&amp;qcf=ODVhZjk4NWQtM2YyMi00YjRmLTkxNjktZTcxMjM2NDBmY2Uy&amp;ph=VHJ1ZQ==&amp;bckToL=VHJ1ZQ==&amp;"/>
    <hyperlink ref="F497" r:id="rId1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zU2&amp;qcf=ODVhZjk4NWQtM2YyMi00YjRmLTkxNjktZTcxMjM2NDBmY2Uy&amp;ph=VHJ1ZQ==&amp;bckToL=VHJ1ZQ==&amp;"/>
    <hyperlink ref="F500" r:id="rId1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TQ5&amp;qcf=ODVhZjk4NWQtM2YyMi00YjRmLTkxNjktZTcxMjM2NDBmY2Uy&amp;ph=VHJ1ZQ==&amp;bckToL=VHJ1ZQ==&amp;"/>
    <hyperlink ref="F503" r:id="rId1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Yx&amp;qcf=ODVhZjk4NWQtM2YyMi00YjRmLTkxNjktZTcxMjM2NDBmY2Uy&amp;ph=VHJ1ZQ==&amp;bckToL=VHJ1ZQ==&amp;"/>
    <hyperlink ref="F506" r:id="rId1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MDgx&amp;qcf=ODVhZjk4NWQtM2YyMi00YjRmLTkxNjktZTcxMjM2NDBmY2Uy&amp;ph=VHJ1ZQ==&amp;bckToL=VHJ1ZQ==&amp;"/>
    <hyperlink ref="F509" r:id="rId1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yNjE2&amp;qcf=ODVhZjk4NWQtM2YyMi00YjRmLTkxNjktZTcxMjM2NDBmY2Uy&amp;ph=VHJ1ZQ==&amp;bckToL=VHJ1ZQ==&amp;"/>
    <hyperlink ref="F512" r:id="rId1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wMDY5&amp;qcf=ODVhZjk4NWQtM2YyMi00YjRmLTkxNjktZTcxMjM2NDBmY2Uy&amp;ph=VHJ1ZQ==&amp;bckToL=VHJ1ZQ==&amp;"/>
    <hyperlink ref="F515" r:id="rId1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4NTk4&amp;qcf=ODVhZjk4NWQtM2YyMi00YjRmLTkxNjktZTcxMjM2NDBmY2Uy&amp;ph=VHJ1ZQ==&amp;bckToL=VHJ1ZQ==&amp;"/>
    <hyperlink ref="F518" r:id="rId1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2&amp;qcf=ODVhZjk4NWQtM2YyMi00YjRmLTkxNjktZTcxMjM2NDBmY2Uy&amp;ph=VHJ1ZQ==&amp;bckToL=VHJ1ZQ==&amp;"/>
    <hyperlink ref="F521" r:id="rId1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OTcy&amp;qcf=ODVhZjk4NWQtM2YyMi00YjRmLTkxNjktZTcxMjM2NDBmY2Uy&amp;ph=VHJ1ZQ==&amp;bckToL=VHJ1ZQ==&amp;"/>
    <hyperlink ref="F524" r:id="rId1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ODMz&amp;qcf=ODVhZjk4NWQtM2YyMi00YjRmLTkxNjktZTcxMjM2NDBmY2Uy&amp;ph=VHJ1ZQ==&amp;bckToL=VHJ1ZQ==&amp;"/>
    <hyperlink ref="F527" r:id="rId1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x&amp;qcf=ODVhZjk4NWQtM2YyMi00YjRmLTkxNjktZTcxMjM2NDBmY2Uy&amp;ph=VHJ1ZQ==&amp;bckToL=VHJ1ZQ==&amp;"/>
    <hyperlink ref="F530" r:id="rId1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y&amp;qcf=ODVhZjk4NWQtM2YyMi00YjRmLTkxNjktZTcxMjM2NDBmY2Uy&amp;ph=VHJ1ZQ==&amp;bckToL=VHJ1ZQ==&amp;"/>
    <hyperlink ref="F533" r:id="rId1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NjEz&amp;qcf=ODVhZjk4NWQtM2YyMi00YjRmLTkxNjktZTcxMjM2NDBmY2Uy&amp;ph=VHJ1ZQ==&amp;bckToL=VHJ1ZQ==&amp;"/>
    <hyperlink ref="F536" r:id="rId17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2&amp;qcf=ODVhZjk4NWQtM2YyMi00YjRmLTkxNjktZTcxMjM2NDBmY2Uy&amp;ph=VHJ1ZQ==&amp;bckToL=VHJ1ZQ==&amp;"/>
    <hyperlink ref="F539" r:id="rId17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Aw&amp;qcf=ODVhZjk4NWQtM2YyMi00YjRmLTkxNjktZTcxMjM2NDBmY2Uy&amp;ph=VHJ1ZQ==&amp;bckToL=VHJ1ZQ==&amp;"/>
    <hyperlink ref="F542" r:id="rId18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4&amp;qcf=ODVhZjk4NWQtM2YyMi00YjRmLTkxNjktZTcxMjM2NDBmY2Uy&amp;ph=VHJ1ZQ==&amp;bckToL=VHJ1ZQ==&amp;"/>
    <hyperlink ref="F545" r:id="rId18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0NzA5&amp;qcf=ODVhZjk4NWQtM2YyMi00YjRmLTkxNjktZTcxMjM2NDBmY2Uy&amp;ph=VHJ1ZQ==&amp;bckToL=VHJ1ZQ==&amp;"/>
    <hyperlink ref="F548" r:id="rId18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3&amp;qcf=ODVhZjk4NWQtM2YyMi00YjRmLTkxNjktZTcxMjM2NDBmY2Uy&amp;ph=VHJ1ZQ==&amp;bckToL=VHJ1ZQ==&amp;"/>
    <hyperlink ref="F551" r:id="rId18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TYx&amp;qcf=ODVhZjk4NWQtM2YyMi00YjRmLTkxNjktZTcxMjM2NDBmY2Uy&amp;ph=VHJ1ZQ==&amp;bckToL=VHJ1ZQ==&amp;"/>
    <hyperlink ref="F554" r:id="rId18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zNDc4&amp;qcf=ODVhZjk4NWQtM2YyMi00YjRmLTkxNjktZTcxMjM2NDBmY2Uy&amp;ph=VHJ1ZQ==&amp;bckToL=VHJ1ZQ==&amp;"/>
    <hyperlink ref="F557" r:id="rId18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NDIz&amp;qcf=ODVhZjk4NWQtM2YyMi00YjRmLTkxNjktZTcxMjM2NDBmY2Uy&amp;ph=VHJ1ZQ==&amp;bckToL=VHJ1ZQ==&amp;"/>
    <hyperlink ref="F560" r:id="rId18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w&amp;qcf=ODVhZjk4NWQtM2YyMi00YjRmLTkxNjktZTcxMjM2NDBmY2Uy&amp;ph=VHJ1ZQ==&amp;bckToL=VHJ1ZQ==&amp;"/>
    <hyperlink ref="F563" r:id="rId18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U5&amp;qcf=ODVhZjk4NWQtM2YyMi00YjRmLTkxNjktZTcxMjM2NDBmY2Uy&amp;ph=VHJ1ZQ==&amp;bckToL=VHJ1ZQ==&amp;"/>
    <hyperlink ref="F566" r:id="rId18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5&amp;qcf=ODVhZjk4NWQtM2YyMi00YjRmLTkxNjktZTcxMjM2NDBmY2Uy&amp;ph=VHJ1ZQ==&amp;bckToL=VHJ1ZQ==&amp;"/>
    <hyperlink ref="F569" r:id="rId18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zMDMx&amp;qcf=ODVhZjk4NWQtM2YyMi00YjRmLTkxNjktZTcxMjM2NDBmY2Uy&amp;ph=VHJ1ZQ==&amp;bckToL=VHJ1ZQ==&amp;"/>
    <hyperlink ref="F572" r:id="rId19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NzI5&amp;qcf=ODVhZjk4NWQtM2YyMi00YjRmLTkxNjktZTcxMjM2NDBmY2Uy&amp;ph=VHJ1ZQ==&amp;bckToL=VHJ1ZQ==&amp;"/>
    <hyperlink ref="F575" r:id="rId19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5&amp;qcf=ODVhZjk4NWQtM2YyMi00YjRmLTkxNjktZTcxMjM2NDBmY2Uy&amp;ph=VHJ1ZQ==&amp;bckToL=VHJ1ZQ==&amp;"/>
    <hyperlink ref="F578" r:id="rId19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ODc1&amp;qcf=ODVhZjk4NWQtM2YyMi00YjRmLTkxNjktZTcxMjM2NDBmY2Uy&amp;ph=VHJ1ZQ==&amp;bckToL=VHJ1ZQ==&amp;"/>
    <hyperlink ref="F581" r:id="rId19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MjYw&amp;qcf=ODVhZjk4NWQtM2YyMi00YjRmLTkxNjktZTcxMjM2NDBmY2Uy&amp;ph=VHJ1ZQ==&amp;bckToL=VHJ1ZQ==&amp;"/>
    <hyperlink ref="F584" r:id="rId19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z&amp;qcf=ODVhZjk4NWQtM2YyMi00YjRmLTkxNjktZTcxMjM2NDBmY2Uy&amp;ph=VHJ1ZQ==&amp;bckToL=VHJ1ZQ==&amp;"/>
    <hyperlink ref="F587" r:id="rId19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yNTcx&amp;qcf=ODVhZjk4NWQtM2YyMi00YjRmLTkxNjktZTcxMjM2NDBmY2Uy&amp;ph=VHJ1ZQ==&amp;bckToL=VHJ1ZQ==&amp;"/>
    <hyperlink ref="F590" r:id="rId19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4&amp;qcf=ODVhZjk4NWQtM2YyMi00YjRmLTkxNjktZTcxMjM2NDBmY2Uy&amp;ph=VHJ1ZQ==&amp;bckToL=VHJ1ZQ==&amp;"/>
    <hyperlink ref="F593" r:id="rId19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2MTM4&amp;qcf=ODVhZjk4NWQtM2YyMi00YjRmLTkxNjktZTcxMjM2NDBmY2Uy&amp;ph=VHJ1ZQ==&amp;bckToL=VHJ1ZQ==&amp;"/>
    <hyperlink ref="F596" r:id="rId19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4&amp;qcf=ODVhZjk4NWQtM2YyMi00YjRmLTkxNjktZTcxMjM2NDBmY2Uy&amp;ph=VHJ1ZQ==&amp;bckToL=VHJ1ZQ==&amp;"/>
    <hyperlink ref="F599" r:id="rId19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0&amp;qcf=ODVhZjk4NWQtM2YyMi00YjRmLTkxNjktZTcxMjM2NDBmY2Uy&amp;ph=VHJ1ZQ==&amp;bckToL=VHJ1ZQ==&amp;"/>
    <hyperlink ref="F602" r:id="rId20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jM2&amp;qcf=ODVhZjk4NWQtM2YyMi00YjRmLTkxNjktZTcxMjM2NDBmY2Uy&amp;ph=VHJ1ZQ==&amp;bckToL=VHJ1ZQ==&amp;"/>
    <hyperlink ref="F605" r:id="rId20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3&amp;qcf=ODVhZjk4NWQtM2YyMi00YjRmLTkxNjktZTcxMjM2NDBmY2Uy&amp;ph=VHJ1ZQ==&amp;bckToL=VHJ1ZQ==&amp;"/>
    <hyperlink ref="F608" r:id="rId20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Q1&amp;qcf=ODVhZjk4NWQtM2YyMi00YjRmLTkxNjktZTcxMjM2NDBmY2Uy&amp;ph=VHJ1ZQ==&amp;bckToL=VHJ1ZQ==&amp;"/>
    <hyperlink ref="F611" r:id="rId20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y&amp;qcf=ODVhZjk4NWQtM2YyMi00YjRmLTkxNjktZTcxMjM2NDBmY2Uy&amp;ph=VHJ1ZQ==&amp;bckToL=VHJ1ZQ==&amp;"/>
    <hyperlink ref="F614" r:id="rId20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Ux&amp;qcf=ODVhZjk4NWQtM2YyMi00YjRmLTkxNjktZTcxMjM2NDBmY2Uy&amp;ph=VHJ1ZQ==&amp;bckToL=VHJ1ZQ==&amp;"/>
    <hyperlink ref="F617" r:id="rId20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3&amp;qcf=ODVhZjk4NWQtM2YyMi00YjRmLTkxNjktZTcxMjM2NDBmY2Uy&amp;ph=VHJ1ZQ==&amp;bckToL=VHJ1ZQ==&amp;"/>
    <hyperlink ref="F620" r:id="rId20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cxODE3&amp;qcf=ODVhZjk4NWQtM2YyMi00YjRmLTkxNjktZTcxMjM2NDBmY2Uy&amp;ph=VHJ1ZQ==&amp;bckToL=VHJ1ZQ==&amp;"/>
    <hyperlink ref="F623" r:id="rId20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0&amp;qcf=ODVhZjk4NWQtM2YyMi00YjRmLTkxNjktZTcxMjM2NDBmY2Uy&amp;ph=VHJ1ZQ==&amp;bckToL=VHJ1ZQ==&amp;"/>
    <hyperlink ref="F626" r:id="rId20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wMDYz&amp;qcf=ODVhZjk4NWQtM2YyMi00YjRmLTkxNjktZTcxMjM2NDBmY2Uy&amp;ph=VHJ1ZQ==&amp;bckToL=VHJ1ZQ==&amp;"/>
    <hyperlink ref="F629" r:id="rId20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NTIy&amp;qcf=ODVhZjk4NWQtM2YyMi00YjRmLTkxNjktZTcxMjM2NDBmY2Uy&amp;ph=VHJ1ZQ==&amp;bckToL=VHJ1ZQ==&amp;"/>
    <hyperlink ref="F632" r:id="rId21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y&amp;qcf=ODVhZjk4NWQtM2YyMi00YjRmLTkxNjktZTcxMjM2NDBmY2Uy&amp;ph=VHJ1ZQ==&amp;bckToL=VHJ1ZQ==&amp;"/>
    <hyperlink ref="F635" r:id="rId21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z&amp;qcf=ODVhZjk4NWQtM2YyMi00YjRmLTkxNjktZTcxMjM2NDBmY2Uy&amp;ph=VHJ1ZQ==&amp;bckToL=VHJ1ZQ==&amp;"/>
    <hyperlink ref="F638" r:id="rId21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1Nzkx&amp;qcf=ODVhZjk4NWQtM2YyMi00YjRmLTkxNjktZTcxMjM2NDBmY2Uy&amp;ph=VHJ1ZQ==&amp;bckToL=VHJ1ZQ==&amp;"/>
    <hyperlink ref="F641" r:id="rId21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MDQ5&amp;qcf=ODVhZjk4NWQtM2YyMi00YjRmLTkxNjktZTcxMjM2NDBmY2Uy&amp;ph=VHJ1ZQ==&amp;bckToL=VHJ1ZQ==&amp;"/>
    <hyperlink ref="F644" r:id="rId21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2MjA2&amp;qcf=ODVhZjk4NWQtM2YyMi00YjRmLTkxNjktZTcxMjM2NDBmY2Uy&amp;ph=VHJ1ZQ==&amp;bckToL=VHJ1ZQ==&amp;"/>
    <hyperlink ref="F647" r:id="rId21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Yz&amp;qcf=ODVhZjk4NWQtM2YyMi00YjRmLTkxNjktZTcxMjM2NDBmY2Uy&amp;ph=VHJ1ZQ==&amp;bckToL=VHJ1ZQ==&amp;"/>
    <hyperlink ref="F650" r:id="rId21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NTk1&amp;qcf=ODVhZjk4NWQtM2YyMi00YjRmLTkxNjktZTcxMjM2NDBmY2Uy&amp;ph=VHJ1ZQ==&amp;bckToL=VHJ1ZQ==&amp;"/>
    <hyperlink ref="F653" r:id="rId21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xNTc3&amp;qcf=ODVhZjk4NWQtM2YyMi00YjRmLTkxNjktZTcxMjM2NDBmY2Uy&amp;ph=VHJ1ZQ==&amp;bckToL=VHJ1ZQ==&amp;"/>
    <hyperlink ref="F656" r:id="rId21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x&amp;qcf=ODVhZjk4NWQtM2YyMi00YjRmLTkxNjktZTcxMjM2NDBmY2Uy&amp;ph=VHJ1ZQ==&amp;bckToL=VHJ1ZQ==&amp;"/>
    <hyperlink ref="F659" r:id="rId21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2&amp;qcf=ODVhZjk4NWQtM2YyMi00YjRmLTkxNjktZTcxMjM2NDBmY2Uy&amp;ph=VHJ1ZQ==&amp;bckToL=VHJ1ZQ==&amp;"/>
    <hyperlink ref="F662" r:id="rId22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OTIx&amp;qcf=ODVhZjk4NWQtM2YyMi00YjRmLTkxNjktZTcxMjM2NDBmY2Uy&amp;ph=VHJ1ZQ==&amp;bckToL=VHJ1ZQ==&amp;"/>
    <hyperlink ref="F665" r:id="rId22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Mw&amp;qcf=ODVhZjk4NWQtM2YyMi00YjRmLTkxNjktZTcxMjM2NDBmY2Uy&amp;ph=VHJ1ZQ==&amp;bckToL=VHJ1ZQ==&amp;"/>
    <hyperlink ref="F668" r:id="rId22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jIw&amp;qcf=ODVhZjk4NWQtM2YyMi00YjRmLTkxNjktZTcxMjM2NDBmY2Uy&amp;ph=VHJ1ZQ==&amp;bckToL=VHJ1ZQ==&amp;"/>
    <hyperlink ref="F671" r:id="rId22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Q4&amp;qcf=ODVhZjk4NWQtM2YyMi00YjRmLTkxNjktZTcxMjM2NDBmY2Uy&amp;ph=VHJ1ZQ==&amp;bckToL=VHJ1ZQ==&amp;"/>
    <hyperlink ref="F674" r:id="rId22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MTMz&amp;qcf=ODVhZjk4NWQtM2YyMi00YjRmLTkxNjktZTcxMjM2NDBmY2Uy&amp;ph=VHJ1ZQ==&amp;bckToL=VHJ1ZQ==&amp;"/>
    <hyperlink ref="F677" r:id="rId22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NzM3&amp;qcf=ODVhZjk4NWQtM2YyMi00YjRmLTkxNjktZTcxMjM2NDBmY2Uy&amp;ph=VHJ1ZQ==&amp;bckToL=VHJ1ZQ==&amp;"/>
    <hyperlink ref="F680" r:id="rId22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OTcw&amp;qcf=ODVhZjk4NWQtM2YyMi00YjRmLTkxNjktZTcxMjM2NDBmY2Uy&amp;ph=VHJ1ZQ==&amp;bckToL=VHJ1ZQ==&amp;"/>
    <hyperlink ref="F683" r:id="rId22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1MTMw&amp;qcf=ODVhZjk4NWQtM2YyMi00YjRmLTkxNjktZTcxMjM2NDBmY2Uy&amp;ph=VHJ1ZQ==&amp;bckToL=VHJ1ZQ==&amp;"/>
    <hyperlink ref="F686" r:id="rId22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2&amp;qcf=ODVhZjk4NWQtM2YyMi00YjRmLTkxNjktZTcxMjM2NDBmY2Uy&amp;ph=VHJ1ZQ==&amp;bckToL=VHJ1ZQ==&amp;"/>
    <hyperlink ref="F689" r:id="rId2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3&amp;qcf=ODVhZjk4NWQtM2YyMi00YjRmLTkxNjktZTcxMjM2NDBmY2Uy&amp;ph=VHJ1ZQ==&amp;bckToL=VHJ1ZQ==&amp;"/>
    <hyperlink ref="F692" r:id="rId23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1&amp;qcf=ODVhZjk4NWQtM2YyMi00YjRmLTkxNjktZTcxMjM2NDBmY2Uy&amp;ph=VHJ1ZQ==&amp;bckToL=VHJ1ZQ==&amp;"/>
    <hyperlink ref="F695" r:id="rId23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Iy&amp;qcf=ODVhZjk4NWQtM2YyMi00YjRmLTkxNjktZTcxMjM2NDBmY2Uy&amp;ph=VHJ1ZQ==&amp;bckToL=VHJ1ZQ==&amp;"/>
    <hyperlink ref="F698" r:id="rId23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xMTk0&amp;qcf=ODVhZjk4NWQtM2YyMi00YjRmLTkxNjktZTcxMjM2NDBmY2Uy&amp;ph=VHJ1ZQ==&amp;bckToL=VHJ1ZQ==&amp;"/>
    <hyperlink ref="F701" r:id="rId23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1&amp;qcf=ODVhZjk4NWQtM2YyMi00YjRmLTkxNjktZTcxMjM2NDBmY2Uy&amp;ph=VHJ1ZQ==&amp;bckToL=VHJ1ZQ==&amp;"/>
    <hyperlink ref="F704" r:id="rId23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Y5OTE0&amp;qcf=ODVhZjk4NWQtM2YyMi00YjRmLTkxNjktZTcxMjM2NDBmY2Uy&amp;ph=VHJ1ZQ==&amp;bckToL=VHJ1ZQ==&amp;"/>
    <hyperlink ref="F707" r:id="rId23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w&amp;qcf=ODVhZjk4NWQtM2YyMi00YjRmLTkxNjktZTcxMjM2NDBmY2Uy&amp;ph=VHJ1ZQ==&amp;bckToL=VHJ1ZQ==&amp;"/>
    <hyperlink ref="F710" r:id="rId23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x&amp;qcf=ODVhZjk4NWQtM2YyMi00YjRmLTkxNjktZTcxMjM2NDBmY2Uy&amp;ph=VHJ1ZQ==&amp;bckToL=VHJ1ZQ==&amp;"/>
    <hyperlink ref="F713" r:id="rId23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y&amp;qcf=ODVhZjk4NWQtM2YyMi00YjRmLTkxNjktZTcxMjM2NDBmY2Uy&amp;ph=VHJ1ZQ==&amp;bckToL=VHJ1ZQ==&amp;"/>
    <hyperlink ref="F716" r:id="rId23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z&amp;qcf=ODVhZjk4NWQtM2YyMi00YjRmLTkxNjktZTcxMjM2NDBmY2Uy&amp;ph=VHJ1ZQ==&amp;bckToL=VHJ1ZQ==&amp;"/>
    <hyperlink ref="F719" r:id="rId23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M0&amp;qcf=ODVhZjk4NWQtM2YyMi00YjRmLTkxNjktZTcxMjM2NDBmY2Uy&amp;ph=VHJ1ZQ==&amp;bckToL=VHJ1ZQ==&amp;"/>
    <hyperlink ref="F722" r:id="rId24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NjY1&amp;qcf=ODVhZjk4NWQtM2YyMi00YjRmLTkxNjktZTcxMjM2NDBmY2Uy&amp;ph=VHJ1ZQ==&amp;bckToL=VHJ1ZQ==&amp;"/>
    <hyperlink ref="F725" r:id="rId24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0NTI5&amp;qcf=ODVhZjk4NWQtM2YyMi00YjRmLTkxNjktZTcxMjM2NDBmY2Uy&amp;ph=VHJ1ZQ==&amp;bckToL=VHJ1ZQ==&amp;"/>
    <hyperlink ref="F728" r:id="rId24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DAw&amp;qcf=ODVhZjk4NWQtM2YyMi00YjRmLTkxNjktZTcxMjM2NDBmY2Uy&amp;ph=VHJ1ZQ==&amp;bckToL=VHJ1ZQ==&amp;"/>
    <hyperlink ref="F731" r:id="rId24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5Mjg5&amp;qcf=ODVhZjk4NWQtM2YyMi00YjRmLTkxNjktZTcxMjM2NDBmY2Uy&amp;ph=VHJ1ZQ==&amp;bckToL=VHJ1ZQ==&amp;"/>
    <hyperlink ref="F734" r:id="rId24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M5Mjc3&amp;qcf=ODVhZjk4NWQtM2YyMi00YjRmLTkxNjktZTcxMjM2NDBmY2Uy&amp;ph=VHJ1ZQ==&amp;bckToL=VHJ1ZQ==&amp;"/>
    <hyperlink ref="F737" r:id="rId24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zgz&amp;qcf=ODVhZjk4NWQtM2YyMi00YjRmLTkxNjktZTcxMjM2NDBmY2Uy&amp;ph=VHJ1ZQ==&amp;bckToL=VHJ1ZQ==&amp;"/>
    <hyperlink ref="F740" r:id="rId24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4NTYy&amp;qcf=ODVhZjk4NWQtM2YyMi00YjRmLTkxNjktZTcxMjM2NDBmY2Uy&amp;ph=VHJ1ZQ==&amp;bckToL=VHJ1ZQ==&amp;"/>
    <hyperlink ref="F743" r:id="rId24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3MzIy&amp;qcf=ODVhZjk4NWQtM2YyMi00YjRmLTkxNjktZTcxMjM2NDBmY2Uy&amp;ph=VHJ1ZQ==&amp;bckToL=VHJ1ZQ==&amp;"/>
    <hyperlink ref="F746" r:id="rId24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DE4&amp;qcf=ODVhZjk4NWQtM2YyMi00YjRmLTkxNjktZTcxMjM2NDBmY2Uy&amp;ph=VHJ1ZQ==&amp;bckToL=VHJ1ZQ==&amp;"/>
    <hyperlink ref="F749" r:id="rId24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TU2&amp;qcf=ODVhZjk4NWQtM2YyMi00YjRmLTkxNjktZTcxMjM2NDBmY2Uy&amp;ph=VHJ1ZQ==&amp;bckToL=VHJ1ZQ==&amp;"/>
    <hyperlink ref="F752" r:id="rId25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zMTA3&amp;qcf=ODVhZjk4NWQtM2YyMi00YjRmLTkxNjktZTcxMjM2NDBmY2Uy&amp;ph=VHJ1ZQ==&amp;bckToL=VHJ1ZQ==&amp;"/>
    <hyperlink ref="F755" r:id="rId25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4OTI5&amp;qcf=ODVhZjk4NWQtM2YyMi00YjRmLTkxNjktZTcxMjM2NDBmY2Uy&amp;ph=VHJ1ZQ==&amp;bckToL=VHJ1ZQ==&amp;"/>
    <hyperlink ref="F758" r:id="rId25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U5NDQz&amp;qcf=ODVhZjk4NWQtM2YyMi00YjRmLTkxNjktZTcxMjM2NDBmY2Uy&amp;ph=VHJ1ZQ==&amp;bckToL=VHJ1ZQ==&amp;"/>
    <hyperlink ref="F761" r:id="rId25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ODM5&amp;qcf=ODVhZjk4NWQtM2YyMi00YjRmLTkxNjktZTcxMjM2NDBmY2Uy&amp;ph=VHJ1ZQ==&amp;bckToL=VHJ1ZQ==&amp;"/>
    <hyperlink ref="F764" r:id="rId25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1MDY4&amp;qcf=ODVhZjk4NWQtM2YyMi00YjRmLTkxNjktZTcxMjM2NDBmY2Uy&amp;ph=VHJ1ZQ==&amp;bckToL=VHJ1ZQ==&amp;"/>
    <hyperlink ref="F767" r:id="rId25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3&amp;qcf=ODVhZjk4NWQtM2YyMi00YjRmLTkxNjktZTcxMjM2NDBmY2Uy&amp;ph=VHJ1ZQ==&amp;bckToL=VHJ1ZQ==&amp;"/>
    <hyperlink ref="F770" r:id="rId25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M4&amp;qcf=ODVhZjk4NWQtM2YyMi00YjRmLTkxNjktZTcxMjM2NDBmY2Uy&amp;ph=VHJ1ZQ==&amp;bckToL=VHJ1ZQ==&amp;"/>
    <hyperlink ref="F773" r:id="rId25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jg0&amp;qcf=ODVhZjk4NWQtM2YyMi00YjRmLTkxNjktZTcxMjM2NDBmY2Uy&amp;ph=VHJ1ZQ==&amp;bckToL=VHJ1ZQ==&amp;"/>
    <hyperlink ref="F776" r:id="rId25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MDMx&amp;qcf=ODVhZjk4NWQtM2YyMi00YjRmLTkxNjktZTcxMjM2NDBmY2Uy&amp;ph=VHJ1ZQ==&amp;bckToL=VHJ1ZQ==&amp;"/>
    <hyperlink ref="F779" r:id="rId25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zNDE2&amp;qcf=ODVhZjk4NWQtM2YyMi00YjRmLTkxNjktZTcxMjM2NDBmY2Uy&amp;ph=VHJ1ZQ==&amp;bckToL=VHJ1ZQ==&amp;"/>
    <hyperlink ref="F782" r:id="rId26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0NDE3&amp;qcf=ODVhZjk4NWQtM2YyMi00YjRmLTkxNjktZTcxMjM2NDBmY2Uy&amp;ph=VHJ1ZQ==&amp;bckToL=VHJ1ZQ==&amp;"/>
    <hyperlink ref="F785" r:id="rId26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3NzU4&amp;qcf=ODVhZjk4NWQtM2YyMi00YjRmLTkxNjktZTcxMjM2NDBmY2Uy&amp;ph=VHJ1ZQ==&amp;bckToL=VHJ1ZQ==&amp;"/>
    <hyperlink ref="F788" r:id="rId26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5NTk1&amp;qcf=ODVhZjk4NWQtM2YyMi00YjRmLTkxNjktZTcxMjM2NDBmY2Uy&amp;ph=VHJ1ZQ==&amp;bckToL=VHJ1ZQ==&amp;"/>
    <hyperlink ref="F791" r:id="rId26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DA1&amp;qcf=ODVhZjk4NWQtM2YyMi00YjRmLTkxNjktZTcxMjM2NDBmY2Uy&amp;ph=VHJ1ZQ==&amp;bckToL=VHJ1ZQ==&amp;"/>
    <hyperlink ref="F794" r:id="rId26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xOTg1&amp;qcf=ODVhZjk4NWQtM2YyMi00YjRmLTkxNjktZTcxMjM2NDBmY2Uy&amp;ph=VHJ1ZQ==&amp;bckToL=VHJ1ZQ==&amp;"/>
    <hyperlink ref="F797" r:id="rId26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2Mzcy&amp;qcf=ODVhZjk4NWQtM2YyMi00YjRmLTkxNjktZTcxMjM2NDBmY2Uy&amp;ph=VHJ1ZQ==&amp;bckToL=VHJ1ZQ==&amp;"/>
    <hyperlink ref="F800" r:id="rId26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QyMzUx&amp;qcf=ODVhZjk4NWQtM2YyMi00YjRmLTkxNjktZTcxMjM2NDBmY2Uy&amp;ph=VHJ1ZQ==&amp;bckToL=VHJ1ZQ==&amp;"/>
    <hyperlink ref="F803" r:id="rId26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zNDMz&amp;qcf=ODVhZjk4NWQtM2YyMi00YjRmLTkxNjktZTcxMjM2NDBmY2Uy&amp;ph=VHJ1ZQ==&amp;bckToL=VHJ1ZQ==&amp;"/>
    <hyperlink ref="F806" r:id="rId268"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M1Mzg1&amp;qcf=ODVhZjk4NWQtM2YyMi00YjRmLTkxNjktZTcxMjM2NDBmY2Uy&amp;ph=VHJ1ZQ==&amp;bckToL=VHJ1ZQ==&amp;"/>
    <hyperlink ref="F809" r:id="rId26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1NjQw&amp;qcf=ODVhZjk4NWQtM2YyMi00YjRmLTkxNjktZTcxMjM2NDBmY2Uy&amp;ph=VHJ1ZQ==&amp;bckToL=VHJ1ZQ==&amp;"/>
    <hyperlink ref="F812" r:id="rId270"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zMjg3&amp;qcf=ODVhZjk4NWQtM2YyMi00YjRmLTkxNjktZTcxMjM2NDBmY2Uy&amp;ph=VHJ1ZQ==&amp;bckToL=VHJ1ZQ==&amp;"/>
    <hyperlink ref="F815" r:id="rId271"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NDEy&amp;qcf=ODVhZjk4NWQtM2YyMi00YjRmLTkxNjktZTcxMjM2NDBmY2Uy&amp;ph=VHJ1ZQ==&amp;bckToL=VHJ1ZQ==&amp;"/>
    <hyperlink ref="F818" r:id="rId272"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OTE1&amp;qcf=ODVhZjk4NWQtM2YyMi00YjRmLTkxNjktZTcxMjM2NDBmY2Uy&amp;ph=VHJ1ZQ==&amp;bckToL=VHJ1ZQ==&amp;"/>
    <hyperlink ref="F821" r:id="rId273"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xNzk4&amp;qcf=ODVhZjk4NWQtM2YyMi00YjRmLTkxNjktZTcxMjM2NDBmY2Uy&amp;ph=VHJ1ZQ==&amp;bckToL=VHJ1ZQ==&amp;"/>
    <hyperlink ref="F824" r:id="rId274"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IwNDA1&amp;qcf=ODVhZjk4NWQtM2YyMi00YjRmLTkxNjktZTcxMjM2NDBmY2Uy&amp;ph=VHJ1ZQ==&amp;bckToL=VHJ1ZQ==&amp;"/>
    <hyperlink ref="F827" r:id="rId275"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4MzE3&amp;qcf=ODVhZjk4NWQtM2YyMi00YjRmLTkxNjktZTcxMjM2NDBmY2Uy&amp;ph=VHJ1ZQ==&amp;bckToL=VHJ1ZQ==&amp;"/>
    <hyperlink ref="F830" r:id="rId276"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jEyNDYz&amp;qcf=ODVhZjk4NWQtM2YyMi00YjRmLTkxNjktZTcxMjM2NDBmY2Uy&amp;ph=VHJ1ZQ==&amp;bckToL=VHJ1ZQ==&amp;"/>
    <hyperlink ref="F833" r:id="rId27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YwNTE4&amp;qcf=ODVhZjk4NWQtM2YyMi00YjRmLTkxNjktZTcxMjM2NDBmY2Uy&amp;ph=VHJ1ZQ==&amp;bckToL=VHJ1ZQ==&amp;"/>
    <hyperlink ref="F836" r:id="rId278" display="https://dec.usaid.gov/dec/content/Detail.aspx?q=ZG9jdW1lbnRzLnBlcnNvbmFsX2F1dGhvcjooIlNhbmd1aW5ldHR5LCBKb3JnZSBBLiIp&amp;ctID=ODVhZjk4NWQtM2YyMi00YjRmLTkxNjktZTcxMjM2NDBmY2Uy&amp;rID=MjY2MTM4&amp;qcf=ODVhZjk4NWQtM2YyMi00YjRmLTkxNjktZTcxMjM2NDBmY2Uy&amp;ph=VHJ1ZQ==&amp;bckToL=VHJ1ZQ==&amp;"/>
    <hyperlink ref="F839" r:id="rId279" display="https://dec.usaid.gov/dec/content/Detail.aspx?q=ZG9jdW1lbnRzLnBlcnNvbmFsX2F1dGhvcjooIlNhbmd1aW5ldHR5LCBKb3JnZSBBLiIp&amp;ctID=ODVhZjk4NWQtM2YyMi00YjRmLTkxNjktZTcxMjM2NDBmY2Uy&amp;rID=MjIxNzk4&amp;qcf=ODVhZjk4NWQtM2YyMi00YjRmLTkxNjktZTcxMjM2NDBmY2Uy&amp;ph=VHJ1ZQ==&amp;bckToL=VHJ1ZQ==&amp;"/>
    <hyperlink ref="F842" r:id="rId280" display="https://dec.usaid.gov/dec/content/Detail.aspx?q=ZG9jdW1lbnRzLnBlcnNvbmFsX2F1dGhvcjooIlNhbmd1aW5ldHR5LCBKb3JnZSBBLiIp&amp;ctID=ODVhZjk4NWQtM2YyMi00YjRmLTkxNjktZTcxMjM2NDBmY2Uy&amp;rID=MjEyNDYz&amp;qcf=ODVhZjk4NWQtM2YyMi00YjRmLTkxNjktZTcxMjM2NDBmY2Uy&amp;ph=VHJ1ZQ==&amp;bckToL=VHJ1ZQ==&amp;"/>
    <hyperlink ref="F845" r:id="rId281" display="https://dec.usaid.gov/dec/content/Detail.aspx?q=ZG9jdW1lbnRzLnBlcnNvbmFsX2F1dGhvcjooIlNhbmd1aW5ldHR5LCBKb3JnZSBBLiIp&amp;ctID=ODVhZjk4NWQtM2YyMi00YjRmLTkxNjktZTcxMjM2NDBmY2Uy&amp;rID=MjI3NzUw&amp;qcf=ODVhZjk4NWQtM2YyMi00YjRmLTkxNjktZTcxMjM2NDBmY2Uy&amp;ph=VHJ1ZQ==&amp;bckToL=VHJ1ZQ==&amp;"/>
    <hyperlink ref="F848" r:id="rId282" display="https://dec.usaid.gov/dec/content/Detail.aspx?q=ZG9jdW1lbnRzLnBlcnNvbmFsX2F1dGhvcjooIlNhbmd1aW5ldHR5LCBKb3JnZSBBLiIp&amp;ctID=ODVhZjk4NWQtM2YyMi00YjRmLTkxNjktZTcxMjM2NDBmY2Uy&amp;rID=MjAyMzk1&amp;qcf=ODVhZjk4NWQtM2YyMi00YjRmLTkxNjktZTcxMjM2NDBmY2Uy&amp;ph=VHJ1ZQ==&amp;bckToL=VHJ1ZQ==&amp;"/>
    <hyperlink ref="F851" r:id="rId283" display="https://dec.usaid.gov/dec/content/Detail.aspx?q=ZG9jdW1lbnRzLnBlcnNvbmFsX2F1dGhvcjooIlNhbmd1aW5ldHR5LCBKb3JnZSBBLiIp&amp;ctID=ODVhZjk4NWQtM2YyMi00YjRmLTkxNjktZTcxMjM2NDBmY2Uy&amp;rID=MTg3MTU2&amp;qcf=ODVhZjk4NWQtM2YyMi00YjRmLTkxNjktZTcxMjM2NDBmY2Uy&amp;ph=VHJ1ZQ==&amp;bckToL=VHJ1ZQ==&amp;"/>
  </hyperlinks>
  <pageMargins left="0.7" right="0.7" top="0.75" bottom="0.75" header="0.3" footer="0.3"/>
  <drawing r:id="rId284"/>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EP54"/>
  <sheetViews>
    <sheetView workbookViewId="0">
      <selection activeCell="A55" sqref="A55"/>
    </sheetView>
  </sheetViews>
  <sheetFormatPr baseColWidth="10" defaultColWidth="8.83203125" defaultRowHeight="14" x14ac:dyDescent="0"/>
  <cols>
    <col min="1" max="1" width="44" customWidth="1"/>
    <col min="2" max="2" width="18.6640625" customWidth="1"/>
    <col min="3" max="3" width="28.1640625" customWidth="1"/>
    <col min="7" max="7" width="18.5" customWidth="1"/>
    <col min="8" max="8" width="18.1640625" customWidth="1"/>
    <col min="9" max="9" width="19.5" customWidth="1"/>
    <col min="12" max="12" width="27.5" customWidth="1"/>
  </cols>
  <sheetData>
    <row r="1" spans="1:12" s="101" customFormat="1" ht="45" customHeight="1">
      <c r="A1" s="47" t="s">
        <v>1546</v>
      </c>
      <c r="B1" s="47"/>
      <c r="C1" s="87" t="s">
        <v>859</v>
      </c>
      <c r="D1" s="87">
        <v>2005</v>
      </c>
      <c r="E1" s="87">
        <v>2005</v>
      </c>
      <c r="F1" s="87" t="s">
        <v>936</v>
      </c>
      <c r="G1" s="99" t="s">
        <v>677</v>
      </c>
      <c r="H1" s="87" t="s">
        <v>937</v>
      </c>
      <c r="I1" s="87" t="s">
        <v>57</v>
      </c>
      <c r="J1" s="102" t="s">
        <v>1547</v>
      </c>
      <c r="K1" s="138" t="s">
        <v>862</v>
      </c>
    </row>
    <row r="2" spans="1:12" s="101" customFormat="1" ht="45" customHeight="1">
      <c r="A2" s="47" t="s">
        <v>1548</v>
      </c>
      <c r="B2" s="47"/>
      <c r="C2" s="87" t="s">
        <v>859</v>
      </c>
      <c r="D2" s="87">
        <v>2004</v>
      </c>
      <c r="E2" s="87">
        <v>2004</v>
      </c>
      <c r="F2" s="87" t="s">
        <v>823</v>
      </c>
      <c r="G2" s="99" t="s">
        <v>404</v>
      </c>
      <c r="H2" s="87" t="s">
        <v>824</v>
      </c>
      <c r="I2" s="87" t="s">
        <v>57</v>
      </c>
      <c r="J2" s="87" t="s">
        <v>31</v>
      </c>
      <c r="K2" s="87"/>
      <c r="L2" s="102" t="s">
        <v>1549</v>
      </c>
    </row>
    <row r="3" spans="1:12" s="101" customFormat="1" ht="45" customHeight="1">
      <c r="A3" s="47" t="s">
        <v>1550</v>
      </c>
      <c r="B3" s="47"/>
      <c r="C3" s="87" t="s">
        <v>859</v>
      </c>
      <c r="D3" s="87">
        <v>2004</v>
      </c>
      <c r="E3" s="87">
        <v>2004</v>
      </c>
      <c r="F3" s="87"/>
      <c r="G3" s="99" t="s">
        <v>290</v>
      </c>
      <c r="H3" s="87" t="s">
        <v>290</v>
      </c>
      <c r="I3" s="87" t="s">
        <v>57</v>
      </c>
      <c r="J3" s="87" t="s">
        <v>31</v>
      </c>
      <c r="K3" s="87"/>
      <c r="L3" s="102" t="s">
        <v>1551</v>
      </c>
    </row>
    <row r="4" spans="1:12" s="101" customFormat="1" ht="45" customHeight="1">
      <c r="A4" s="47" t="s">
        <v>1552</v>
      </c>
      <c r="B4" s="47"/>
      <c r="C4" s="87" t="s">
        <v>859</v>
      </c>
      <c r="D4" s="87">
        <v>2004</v>
      </c>
      <c r="E4" s="87">
        <v>2004</v>
      </c>
      <c r="F4" s="87" t="s">
        <v>745</v>
      </c>
      <c r="G4" s="99" t="s">
        <v>271</v>
      </c>
      <c r="H4" s="87" t="s">
        <v>746</v>
      </c>
      <c r="I4" s="87" t="s">
        <v>57</v>
      </c>
      <c r="J4" s="87" t="s">
        <v>31</v>
      </c>
      <c r="K4" s="87"/>
      <c r="L4" s="102" t="s">
        <v>1553</v>
      </c>
    </row>
    <row r="5" spans="1:12" s="101" customFormat="1" ht="45" customHeight="1">
      <c r="A5" s="47" t="s">
        <v>1554</v>
      </c>
      <c r="B5" s="47"/>
      <c r="C5" s="87" t="s">
        <v>859</v>
      </c>
      <c r="D5" s="87">
        <v>2004</v>
      </c>
      <c r="E5" s="87">
        <v>2004</v>
      </c>
      <c r="F5" s="87" t="s">
        <v>1017</v>
      </c>
      <c r="G5" s="99" t="s">
        <v>271</v>
      </c>
      <c r="H5" s="87" t="s">
        <v>1018</v>
      </c>
      <c r="I5" s="87" t="s">
        <v>57</v>
      </c>
      <c r="J5" s="87" t="s">
        <v>31</v>
      </c>
      <c r="K5" s="87"/>
      <c r="L5" s="102" t="s">
        <v>1555</v>
      </c>
    </row>
    <row r="6" spans="1:12" s="101" customFormat="1" ht="45" customHeight="1">
      <c r="A6" s="47" t="s">
        <v>1556</v>
      </c>
      <c r="B6" s="47"/>
      <c r="C6" s="87" t="s">
        <v>859</v>
      </c>
      <c r="D6" s="87">
        <v>2004</v>
      </c>
      <c r="E6" s="87">
        <v>2004</v>
      </c>
      <c r="F6" s="87"/>
      <c r="G6" s="99" t="s">
        <v>290</v>
      </c>
      <c r="H6" s="87" t="s">
        <v>290</v>
      </c>
      <c r="I6" s="87" t="s">
        <v>57</v>
      </c>
      <c r="J6" s="87" t="s">
        <v>31</v>
      </c>
      <c r="K6" s="87"/>
      <c r="L6" s="102" t="s">
        <v>1557</v>
      </c>
    </row>
    <row r="7" spans="1:12" s="101" customFormat="1" ht="45" customHeight="1">
      <c r="A7" s="47" t="s">
        <v>1558</v>
      </c>
      <c r="B7" s="47"/>
      <c r="C7" s="87" t="s">
        <v>859</v>
      </c>
      <c r="D7" s="87">
        <v>2004</v>
      </c>
      <c r="E7" s="87">
        <v>2004</v>
      </c>
      <c r="F7" s="87"/>
      <c r="G7" s="99" t="s">
        <v>290</v>
      </c>
      <c r="H7" s="87" t="s">
        <v>290</v>
      </c>
      <c r="I7" s="87" t="s">
        <v>57</v>
      </c>
      <c r="J7" s="87" t="s">
        <v>31</v>
      </c>
      <c r="K7" s="87"/>
      <c r="L7" s="102" t="s">
        <v>1559</v>
      </c>
    </row>
    <row r="8" spans="1:12" s="101" customFormat="1" ht="45" customHeight="1">
      <c r="A8" s="47" t="s">
        <v>1560</v>
      </c>
      <c r="B8" s="47"/>
      <c r="C8" s="87" t="s">
        <v>859</v>
      </c>
      <c r="D8" s="87">
        <v>2004</v>
      </c>
      <c r="E8" s="87">
        <v>2004</v>
      </c>
      <c r="F8" s="87"/>
      <c r="G8" s="99" t="s">
        <v>290</v>
      </c>
      <c r="H8" s="87" t="s">
        <v>290</v>
      </c>
      <c r="I8" s="87" t="s">
        <v>57</v>
      </c>
      <c r="J8" s="87" t="s">
        <v>31</v>
      </c>
      <c r="K8" s="87"/>
      <c r="L8" s="102" t="s">
        <v>1561</v>
      </c>
    </row>
    <row r="9" spans="1:12" s="101" customFormat="1" ht="45" customHeight="1">
      <c r="A9" s="47" t="s">
        <v>1562</v>
      </c>
      <c r="B9" s="47"/>
      <c r="C9" s="87" t="s">
        <v>859</v>
      </c>
      <c r="D9" s="87">
        <v>2004</v>
      </c>
      <c r="E9" s="87">
        <v>2004</v>
      </c>
      <c r="F9" s="87"/>
      <c r="G9" s="99" t="s">
        <v>290</v>
      </c>
      <c r="H9" s="87" t="s">
        <v>290</v>
      </c>
      <c r="I9" s="87" t="s">
        <v>57</v>
      </c>
      <c r="J9" s="87" t="s">
        <v>31</v>
      </c>
      <c r="K9" s="87"/>
      <c r="L9" s="102" t="s">
        <v>1563</v>
      </c>
    </row>
    <row r="10" spans="1:12" s="101" customFormat="1" ht="45" customHeight="1">
      <c r="A10" s="47" t="s">
        <v>1564</v>
      </c>
      <c r="B10" s="47"/>
      <c r="C10" s="87" t="s">
        <v>859</v>
      </c>
      <c r="D10" s="87">
        <v>2004</v>
      </c>
      <c r="E10" s="87">
        <v>2004</v>
      </c>
      <c r="F10" s="87" t="s">
        <v>693</v>
      </c>
      <c r="G10" s="99" t="s">
        <v>200</v>
      </c>
      <c r="H10" s="87" t="s">
        <v>694</v>
      </c>
      <c r="I10" s="87" t="s">
        <v>57</v>
      </c>
      <c r="J10" s="87" t="s">
        <v>31</v>
      </c>
      <c r="K10" s="87"/>
      <c r="L10" s="140" t="s">
        <v>1565</v>
      </c>
    </row>
    <row r="11" spans="1:12" s="101" customFormat="1" ht="45" customHeight="1">
      <c r="A11" s="47" t="s">
        <v>1566</v>
      </c>
      <c r="B11" s="47"/>
      <c r="C11" s="87" t="s">
        <v>859</v>
      </c>
      <c r="D11" s="87">
        <v>2004</v>
      </c>
      <c r="E11" s="87">
        <v>2004</v>
      </c>
      <c r="F11" s="87" t="s">
        <v>1567</v>
      </c>
      <c r="G11" s="99" t="s">
        <v>271</v>
      </c>
      <c r="H11" s="87" t="s">
        <v>1568</v>
      </c>
      <c r="I11" s="87" t="s">
        <v>57</v>
      </c>
      <c r="J11" s="87" t="s">
        <v>31</v>
      </c>
      <c r="K11" s="87"/>
      <c r="L11" s="102" t="s">
        <v>1569</v>
      </c>
    </row>
    <row r="12" spans="1:12" s="101" customFormat="1" ht="45" customHeight="1">
      <c r="A12" s="47" t="s">
        <v>1570</v>
      </c>
      <c r="B12" s="47"/>
      <c r="C12" s="87" t="s">
        <v>859</v>
      </c>
      <c r="D12" s="87">
        <v>2004</v>
      </c>
      <c r="E12" s="87">
        <v>2004</v>
      </c>
      <c r="F12" s="87" t="s">
        <v>35</v>
      </c>
      <c r="G12" s="99" t="s">
        <v>36</v>
      </c>
      <c r="H12" s="87" t="s">
        <v>37</v>
      </c>
      <c r="I12" s="87" t="s">
        <v>57</v>
      </c>
      <c r="J12" s="87" t="s">
        <v>31</v>
      </c>
      <c r="K12" s="87"/>
      <c r="L12" s="102" t="s">
        <v>1571</v>
      </c>
    </row>
    <row r="13" spans="1:12" s="101" customFormat="1" ht="45" customHeight="1">
      <c r="A13" s="47" t="s">
        <v>1572</v>
      </c>
      <c r="B13" s="47"/>
      <c r="C13" s="87" t="s">
        <v>859</v>
      </c>
      <c r="D13" s="87">
        <v>2004</v>
      </c>
      <c r="E13" s="87">
        <v>2004</v>
      </c>
      <c r="F13" s="87" t="s">
        <v>90</v>
      </c>
      <c r="G13" s="99" t="s">
        <v>47</v>
      </c>
      <c r="H13" s="87" t="s">
        <v>91</v>
      </c>
      <c r="I13" s="87" t="s">
        <v>57</v>
      </c>
      <c r="J13" s="87" t="s">
        <v>31</v>
      </c>
      <c r="K13" s="87"/>
      <c r="L13" s="102" t="s">
        <v>1573</v>
      </c>
    </row>
    <row r="14" spans="1:12" s="101" customFormat="1" ht="45" customHeight="1">
      <c r="A14" s="47" t="s">
        <v>1574</v>
      </c>
      <c r="B14" s="47"/>
      <c r="C14" s="87" t="s">
        <v>859</v>
      </c>
      <c r="D14" s="87">
        <v>2004</v>
      </c>
      <c r="E14" s="87">
        <v>2004</v>
      </c>
      <c r="F14" s="87" t="s">
        <v>663</v>
      </c>
      <c r="G14" s="99" t="s">
        <v>226</v>
      </c>
      <c r="H14" s="87" t="s">
        <v>664</v>
      </c>
      <c r="I14" s="87" t="s">
        <v>57</v>
      </c>
      <c r="J14" s="87" t="s">
        <v>31</v>
      </c>
      <c r="K14" s="87"/>
      <c r="L14" s="102" t="s">
        <v>1575</v>
      </c>
    </row>
    <row r="15" spans="1:12" s="106" customFormat="1" ht="45" customHeight="1">
      <c r="A15" s="47" t="s">
        <v>1576</v>
      </c>
      <c r="B15" s="47"/>
      <c r="C15" s="87" t="s">
        <v>859</v>
      </c>
      <c r="D15" s="87">
        <v>2004</v>
      </c>
      <c r="E15" s="87">
        <v>2004</v>
      </c>
      <c r="F15" s="87" t="s">
        <v>363</v>
      </c>
      <c r="G15" s="99" t="s">
        <v>47</v>
      </c>
      <c r="H15" s="87" t="s">
        <v>364</v>
      </c>
      <c r="I15" s="87" t="s">
        <v>57</v>
      </c>
      <c r="J15" s="87" t="s">
        <v>31</v>
      </c>
      <c r="K15" s="141" t="s">
        <v>1577</v>
      </c>
      <c r="L15" s="102" t="s">
        <v>1578</v>
      </c>
    </row>
    <row r="16" spans="1:12" s="106" customFormat="1" ht="45" customHeight="1">
      <c r="A16" s="47" t="s">
        <v>1579</v>
      </c>
      <c r="B16" s="47"/>
      <c r="C16" s="87" t="s">
        <v>859</v>
      </c>
      <c r="D16" s="87">
        <v>2004</v>
      </c>
      <c r="E16" s="87">
        <v>2004</v>
      </c>
      <c r="F16" s="87" t="s">
        <v>111</v>
      </c>
      <c r="G16" s="99" t="s">
        <v>47</v>
      </c>
      <c r="H16" s="87" t="s">
        <v>95</v>
      </c>
      <c r="I16" s="87" t="s">
        <v>57</v>
      </c>
      <c r="J16" s="87" t="s">
        <v>31</v>
      </c>
      <c r="K16" s="87"/>
      <c r="L16" s="102" t="s">
        <v>1580</v>
      </c>
    </row>
    <row r="17" spans="1:26" s="106" customFormat="1" ht="45" customHeight="1">
      <c r="A17" s="47" t="s">
        <v>1581</v>
      </c>
      <c r="B17" s="47"/>
      <c r="C17" s="87" t="s">
        <v>859</v>
      </c>
      <c r="D17" s="87">
        <v>2004</v>
      </c>
      <c r="E17" s="87">
        <v>2004</v>
      </c>
      <c r="F17" s="87" t="s">
        <v>440</v>
      </c>
      <c r="G17" s="99" t="s">
        <v>404</v>
      </c>
      <c r="H17" s="87" t="s">
        <v>441</v>
      </c>
      <c r="I17" s="87" t="s">
        <v>57</v>
      </c>
      <c r="J17" s="87" t="s">
        <v>31</v>
      </c>
      <c r="K17" s="87"/>
      <c r="L17" s="102" t="s">
        <v>1582</v>
      </c>
    </row>
    <row r="18" spans="1:26" s="106" customFormat="1" ht="45" customHeight="1">
      <c r="A18" s="47" t="s">
        <v>1583</v>
      </c>
      <c r="B18" s="47"/>
      <c r="C18" s="87" t="s">
        <v>859</v>
      </c>
      <c r="D18" s="87">
        <v>2004</v>
      </c>
      <c r="E18" s="87">
        <v>2004</v>
      </c>
      <c r="F18" s="87" t="s">
        <v>270</v>
      </c>
      <c r="G18" s="99" t="s">
        <v>271</v>
      </c>
      <c r="H18" s="87" t="s">
        <v>272</v>
      </c>
      <c r="I18" s="87" t="s">
        <v>57</v>
      </c>
      <c r="J18" s="87" t="s">
        <v>31</v>
      </c>
      <c r="K18" s="87"/>
      <c r="L18" s="100" t="s">
        <v>1584</v>
      </c>
    </row>
    <row r="19" spans="1:26" s="106" customFormat="1" ht="45" customHeight="1">
      <c r="A19" s="47" t="s">
        <v>1585</v>
      </c>
      <c r="B19" s="47"/>
      <c r="C19" s="87" t="s">
        <v>859</v>
      </c>
      <c r="D19" s="87">
        <v>2004</v>
      </c>
      <c r="E19" s="87">
        <v>2004</v>
      </c>
      <c r="F19" s="87" t="s">
        <v>847</v>
      </c>
      <c r="G19" s="99" t="s">
        <v>200</v>
      </c>
      <c r="H19" s="87" t="s">
        <v>848</v>
      </c>
      <c r="I19" s="87" t="s">
        <v>57</v>
      </c>
      <c r="J19" s="87" t="s">
        <v>31</v>
      </c>
      <c r="K19" s="87"/>
      <c r="L19" s="102" t="s">
        <v>1586</v>
      </c>
    </row>
    <row r="20" spans="1:26" s="106" customFormat="1" ht="45" customHeight="1">
      <c r="A20" s="47" t="s">
        <v>1587</v>
      </c>
      <c r="B20" s="47"/>
      <c r="C20" s="87" t="s">
        <v>859</v>
      </c>
      <c r="D20" s="87">
        <v>2004</v>
      </c>
      <c r="E20" s="87">
        <v>2004</v>
      </c>
      <c r="F20" s="87" t="s">
        <v>1588</v>
      </c>
      <c r="G20" s="99" t="s">
        <v>200</v>
      </c>
      <c r="H20" s="87" t="s">
        <v>1589</v>
      </c>
      <c r="I20" s="87" t="s">
        <v>57</v>
      </c>
      <c r="J20" s="87" t="s">
        <v>31</v>
      </c>
      <c r="K20" s="87"/>
      <c r="L20" s="102" t="s">
        <v>1590</v>
      </c>
    </row>
    <row r="21" spans="1:26" s="106" customFormat="1" ht="45" customHeight="1">
      <c r="A21" s="47" t="s">
        <v>1591</v>
      </c>
      <c r="B21" s="47"/>
      <c r="C21" s="87" t="s">
        <v>859</v>
      </c>
      <c r="D21" s="87">
        <v>2005</v>
      </c>
      <c r="E21" s="87">
        <v>2005</v>
      </c>
      <c r="F21" s="87" t="s">
        <v>270</v>
      </c>
      <c r="G21" s="99" t="s">
        <v>271</v>
      </c>
      <c r="H21" s="87" t="s">
        <v>272</v>
      </c>
      <c r="I21" s="87" t="s">
        <v>57</v>
      </c>
      <c r="J21" s="87" t="s">
        <v>31</v>
      </c>
      <c r="K21" s="139" t="s">
        <v>862</v>
      </c>
      <c r="L21" s="102" t="s">
        <v>1592</v>
      </c>
      <c r="M21" s="101"/>
    </row>
    <row r="22" spans="1:26" s="106" customFormat="1" ht="45" customHeight="1">
      <c r="A22" s="47" t="s">
        <v>1593</v>
      </c>
      <c r="B22" s="47"/>
      <c r="C22" s="87" t="s">
        <v>859</v>
      </c>
      <c r="D22" s="87">
        <v>2005</v>
      </c>
      <c r="E22" s="87">
        <v>2005</v>
      </c>
      <c r="F22" s="87" t="s">
        <v>270</v>
      </c>
      <c r="G22" s="99" t="s">
        <v>271</v>
      </c>
      <c r="H22" s="87" t="s">
        <v>272</v>
      </c>
      <c r="I22" s="87" t="s">
        <v>57</v>
      </c>
      <c r="J22" s="87" t="s">
        <v>31</v>
      </c>
      <c r="K22" s="139" t="s">
        <v>862</v>
      </c>
      <c r="L22" s="102" t="s">
        <v>1594</v>
      </c>
      <c r="M22" s="101"/>
    </row>
    <row r="23" spans="1:26" s="106" customFormat="1" ht="45" customHeight="1">
      <c r="A23" s="47" t="s">
        <v>1595</v>
      </c>
      <c r="B23" s="47"/>
      <c r="C23" s="87" t="s">
        <v>859</v>
      </c>
      <c r="D23" s="87">
        <v>2005</v>
      </c>
      <c r="E23" s="87">
        <v>2005</v>
      </c>
      <c r="F23" s="87" t="s">
        <v>1596</v>
      </c>
      <c r="G23" s="99" t="s">
        <v>271</v>
      </c>
      <c r="H23" s="87" t="s">
        <v>1597</v>
      </c>
      <c r="I23" s="87" t="s">
        <v>57</v>
      </c>
      <c r="J23" s="87" t="s">
        <v>31</v>
      </c>
      <c r="K23" s="138" t="s">
        <v>862</v>
      </c>
      <c r="L23" s="102" t="s">
        <v>1598</v>
      </c>
      <c r="M23" s="103"/>
    </row>
    <row r="24" spans="1:26" s="106" customFormat="1" ht="45" customHeight="1">
      <c r="A24" s="47" t="s">
        <v>1599</v>
      </c>
      <c r="B24" s="47"/>
      <c r="C24" s="87" t="s">
        <v>859</v>
      </c>
      <c r="D24" s="87">
        <v>2005</v>
      </c>
      <c r="E24" s="87">
        <v>2005</v>
      </c>
      <c r="F24" s="87" t="s">
        <v>745</v>
      </c>
      <c r="G24" s="99" t="s">
        <v>271</v>
      </c>
      <c r="H24" s="99" t="s">
        <v>746</v>
      </c>
      <c r="I24" s="87" t="s">
        <v>57</v>
      </c>
      <c r="J24" s="87" t="s">
        <v>31</v>
      </c>
      <c r="K24" s="141" t="s">
        <v>1374</v>
      </c>
      <c r="L24" s="102" t="s">
        <v>1600</v>
      </c>
      <c r="M24" s="101"/>
    </row>
    <row r="25" spans="1:26" s="106" customFormat="1" ht="45" customHeight="1">
      <c r="A25" s="47" t="s">
        <v>1601</v>
      </c>
      <c r="B25" s="47"/>
      <c r="C25" s="87" t="s">
        <v>859</v>
      </c>
      <c r="D25" s="87">
        <v>2005</v>
      </c>
      <c r="E25" s="87">
        <v>2005</v>
      </c>
      <c r="F25" s="87" t="s">
        <v>1588</v>
      </c>
      <c r="G25" s="99" t="s">
        <v>200</v>
      </c>
      <c r="H25" s="87" t="s">
        <v>1589</v>
      </c>
      <c r="I25" s="87" t="s">
        <v>57</v>
      </c>
      <c r="J25" s="87" t="s">
        <v>31</v>
      </c>
      <c r="K25" s="139" t="s">
        <v>862</v>
      </c>
      <c r="L25" s="102" t="s">
        <v>1602</v>
      </c>
      <c r="M25" s="101"/>
    </row>
    <row r="26" spans="1:26" s="106" customFormat="1" ht="45" customHeight="1">
      <c r="A26" s="110" t="s">
        <v>1603</v>
      </c>
      <c r="B26" s="110"/>
      <c r="C26" s="87" t="s">
        <v>859</v>
      </c>
      <c r="D26" s="87">
        <v>2005</v>
      </c>
      <c r="E26" s="87">
        <v>2006</v>
      </c>
      <c r="F26" s="87" t="s">
        <v>766</v>
      </c>
      <c r="G26" s="99" t="s">
        <v>271</v>
      </c>
      <c r="H26" s="87" t="s">
        <v>463</v>
      </c>
      <c r="I26" s="87" t="s">
        <v>57</v>
      </c>
      <c r="J26" s="87" t="s">
        <v>31</v>
      </c>
      <c r="K26" s="138" t="s">
        <v>862</v>
      </c>
      <c r="L26" s="142" t="s">
        <v>1604</v>
      </c>
      <c r="M26" s="101"/>
    </row>
    <row r="27" spans="1:26" s="118" customFormat="1" ht="45" customHeight="1">
      <c r="A27" s="111" t="s">
        <v>1605</v>
      </c>
      <c r="B27" s="111"/>
      <c r="C27" s="112" t="s">
        <v>859</v>
      </c>
      <c r="D27" s="112">
        <v>2006</v>
      </c>
      <c r="E27" s="112">
        <v>2006</v>
      </c>
      <c r="F27" s="112" t="s">
        <v>1606</v>
      </c>
      <c r="G27" s="113" t="s">
        <v>254</v>
      </c>
      <c r="H27" s="112" t="s">
        <v>1607</v>
      </c>
      <c r="I27" s="112" t="s">
        <v>57</v>
      </c>
      <c r="J27" s="112" t="s">
        <v>31</v>
      </c>
      <c r="K27" s="112"/>
      <c r="L27" s="114"/>
      <c r="M27" s="112"/>
      <c r="N27" s="112" t="s">
        <v>31</v>
      </c>
      <c r="O27" s="112"/>
      <c r="P27" s="112"/>
      <c r="Q27" s="112"/>
      <c r="R27" s="112"/>
      <c r="S27" s="115" t="s">
        <v>1608</v>
      </c>
      <c r="T27" s="116" t="s">
        <v>862</v>
      </c>
      <c r="U27" s="113"/>
      <c r="V27" s="113"/>
      <c r="W27" s="113"/>
      <c r="X27" s="122"/>
      <c r="Z27" s="120" t="s">
        <v>33</v>
      </c>
    </row>
    <row r="28" spans="1:26" s="118" customFormat="1" ht="45" customHeight="1">
      <c r="A28" s="111" t="s">
        <v>1609</v>
      </c>
      <c r="B28" s="111"/>
      <c r="C28" s="112" t="s">
        <v>859</v>
      </c>
      <c r="D28" s="112">
        <v>2006</v>
      </c>
      <c r="E28" s="112">
        <v>2006</v>
      </c>
      <c r="F28" s="112" t="s">
        <v>1610</v>
      </c>
      <c r="G28" s="113" t="s">
        <v>47</v>
      </c>
      <c r="H28" s="112" t="s">
        <v>1611</v>
      </c>
      <c r="I28" s="112" t="s">
        <v>57</v>
      </c>
      <c r="J28" s="112" t="s">
        <v>31</v>
      </c>
      <c r="K28" s="112"/>
      <c r="L28" s="114"/>
      <c r="M28" s="121"/>
      <c r="N28" s="112" t="s">
        <v>31</v>
      </c>
      <c r="O28" s="112"/>
      <c r="P28" s="112"/>
      <c r="Q28" s="112"/>
      <c r="R28" s="112"/>
      <c r="S28" s="115" t="s">
        <v>1612</v>
      </c>
      <c r="T28" s="116" t="s">
        <v>862</v>
      </c>
      <c r="U28" s="113"/>
      <c r="V28" s="112"/>
      <c r="W28" s="112"/>
      <c r="X28" s="119"/>
      <c r="Z28" s="120" t="s">
        <v>33</v>
      </c>
    </row>
    <row r="29" spans="1:26" s="118" customFormat="1" ht="54.5" customHeight="1">
      <c r="A29" s="111" t="s">
        <v>1613</v>
      </c>
      <c r="B29" s="111"/>
      <c r="C29" s="112" t="s">
        <v>859</v>
      </c>
      <c r="D29" s="112">
        <v>2006</v>
      </c>
      <c r="E29" s="112">
        <v>2006</v>
      </c>
      <c r="F29" s="112"/>
      <c r="G29" s="113" t="s">
        <v>290</v>
      </c>
      <c r="H29" s="112" t="s">
        <v>290</v>
      </c>
      <c r="I29" s="112" t="s">
        <v>57</v>
      </c>
      <c r="J29" s="112" t="s">
        <v>31</v>
      </c>
      <c r="K29" s="112"/>
      <c r="L29" s="114"/>
      <c r="M29" s="112"/>
      <c r="N29" s="112" t="s">
        <v>31</v>
      </c>
      <c r="O29" s="112"/>
      <c r="P29" s="112"/>
      <c r="Q29" s="112"/>
      <c r="R29" s="112"/>
      <c r="S29" s="115" t="s">
        <v>1614</v>
      </c>
      <c r="T29" s="116" t="s">
        <v>862</v>
      </c>
      <c r="U29" s="113"/>
      <c r="V29" s="112"/>
      <c r="W29" s="112"/>
      <c r="X29" s="119"/>
      <c r="Y29" s="120"/>
      <c r="Z29" s="120" t="s">
        <v>33</v>
      </c>
    </row>
    <row r="30" spans="1:26" s="118" customFormat="1" ht="45" customHeight="1">
      <c r="A30" s="111" t="s">
        <v>858</v>
      </c>
      <c r="B30" s="111"/>
      <c r="C30" s="112" t="s">
        <v>859</v>
      </c>
      <c r="D30" s="112">
        <v>2006</v>
      </c>
      <c r="E30" s="112">
        <v>2006</v>
      </c>
      <c r="F30" s="112" t="s">
        <v>860</v>
      </c>
      <c r="G30" s="113" t="s">
        <v>47</v>
      </c>
      <c r="H30" s="112" t="s">
        <v>505</v>
      </c>
      <c r="I30" s="112" t="s">
        <v>57</v>
      </c>
      <c r="J30" s="112" t="s">
        <v>31</v>
      </c>
      <c r="K30" s="112"/>
      <c r="L30" s="114"/>
      <c r="M30" s="112"/>
      <c r="N30" s="112" t="s">
        <v>31</v>
      </c>
      <c r="O30" s="112"/>
      <c r="P30" s="112"/>
      <c r="Q30" s="112"/>
      <c r="R30" s="112"/>
      <c r="S30" s="115" t="s">
        <v>861</v>
      </c>
      <c r="T30" s="123" t="s">
        <v>862</v>
      </c>
      <c r="U30" s="113"/>
      <c r="V30" s="112"/>
      <c r="W30" s="112"/>
      <c r="X30" s="122"/>
      <c r="Z30" s="120" t="s">
        <v>33</v>
      </c>
    </row>
    <row r="31" spans="1:26" s="118" customFormat="1" ht="45" customHeight="1">
      <c r="A31" s="111" t="s">
        <v>863</v>
      </c>
      <c r="B31" s="111"/>
      <c r="C31" s="112" t="s">
        <v>859</v>
      </c>
      <c r="D31" s="112">
        <v>2006</v>
      </c>
      <c r="E31" s="112">
        <v>2006</v>
      </c>
      <c r="F31" s="112" t="s">
        <v>864</v>
      </c>
      <c r="G31" s="113" t="s">
        <v>200</v>
      </c>
      <c r="H31" s="112" t="s">
        <v>865</v>
      </c>
      <c r="I31" s="112" t="s">
        <v>57</v>
      </c>
      <c r="J31" s="112" t="s">
        <v>31</v>
      </c>
      <c r="K31" s="112"/>
      <c r="L31" s="114"/>
      <c r="M31" s="112"/>
      <c r="N31" s="112" t="s">
        <v>31</v>
      </c>
      <c r="O31" s="112"/>
      <c r="P31" s="112"/>
      <c r="Q31" s="112"/>
      <c r="R31" s="112"/>
      <c r="S31" s="115" t="s">
        <v>866</v>
      </c>
      <c r="T31" s="123" t="s">
        <v>862</v>
      </c>
      <c r="U31" s="113"/>
      <c r="V31" s="112"/>
      <c r="W31" s="112"/>
      <c r="X31" s="122"/>
      <c r="Z31" s="120" t="s">
        <v>33</v>
      </c>
    </row>
    <row r="32" spans="1:26" s="118" customFormat="1" ht="45" customHeight="1">
      <c r="A32" s="111" t="s">
        <v>867</v>
      </c>
      <c r="B32" s="111"/>
      <c r="C32" s="112" t="s">
        <v>859</v>
      </c>
      <c r="D32" s="112">
        <v>2006</v>
      </c>
      <c r="E32" s="112">
        <v>2006</v>
      </c>
      <c r="F32" s="112" t="s">
        <v>868</v>
      </c>
      <c r="G32" s="113" t="s">
        <v>271</v>
      </c>
      <c r="H32" s="112" t="s">
        <v>373</v>
      </c>
      <c r="I32" s="112" t="s">
        <v>57</v>
      </c>
      <c r="J32" s="112" t="s">
        <v>31</v>
      </c>
      <c r="K32" s="112"/>
      <c r="L32" s="114"/>
      <c r="M32" s="112"/>
      <c r="N32" s="112" t="s">
        <v>31</v>
      </c>
      <c r="O32" s="112"/>
      <c r="P32" s="112"/>
      <c r="Q32" s="112"/>
      <c r="R32" s="112"/>
      <c r="S32" s="115" t="s">
        <v>869</v>
      </c>
      <c r="T32" s="123" t="s">
        <v>862</v>
      </c>
      <c r="U32" s="113"/>
      <c r="V32" s="112"/>
      <c r="W32" s="112"/>
      <c r="X32" s="122"/>
      <c r="Z32" s="120" t="s">
        <v>33</v>
      </c>
    </row>
    <row r="33" spans="1:146" s="118" customFormat="1" ht="45" customHeight="1">
      <c r="A33" s="111" t="s">
        <v>870</v>
      </c>
      <c r="B33" s="111"/>
      <c r="C33" s="112" t="s">
        <v>859</v>
      </c>
      <c r="D33" s="112">
        <v>2006</v>
      </c>
      <c r="E33" s="112">
        <v>2006</v>
      </c>
      <c r="F33" s="112" t="s">
        <v>363</v>
      </c>
      <c r="G33" s="113" t="s">
        <v>47</v>
      </c>
      <c r="H33" s="112" t="s">
        <v>364</v>
      </c>
      <c r="I33" s="112" t="s">
        <v>57</v>
      </c>
      <c r="J33" s="112" t="s">
        <v>31</v>
      </c>
      <c r="K33" s="112"/>
      <c r="L33" s="114"/>
      <c r="M33" s="112"/>
      <c r="N33" s="112" t="s">
        <v>31</v>
      </c>
      <c r="O33" s="112"/>
      <c r="P33" s="112"/>
      <c r="Q33" s="112"/>
      <c r="R33" s="112"/>
      <c r="S33" s="115" t="s">
        <v>871</v>
      </c>
      <c r="T33" s="123" t="s">
        <v>862</v>
      </c>
      <c r="U33" s="113"/>
      <c r="V33" s="112"/>
      <c r="W33" s="112"/>
      <c r="X33" s="119"/>
      <c r="Z33" s="120" t="s">
        <v>33</v>
      </c>
    </row>
    <row r="34" spans="1:146" s="118" customFormat="1" ht="45" customHeight="1">
      <c r="A34" s="111" t="s">
        <v>899</v>
      </c>
      <c r="B34" s="111"/>
      <c r="C34" s="112" t="s">
        <v>859</v>
      </c>
      <c r="D34" s="112">
        <v>2007</v>
      </c>
      <c r="E34" s="112">
        <v>2007</v>
      </c>
      <c r="F34" s="112" t="s">
        <v>276</v>
      </c>
      <c r="G34" s="113" t="s">
        <v>36</v>
      </c>
      <c r="H34" s="112" t="s">
        <v>277</v>
      </c>
      <c r="I34" s="112" t="s">
        <v>57</v>
      </c>
      <c r="J34" s="112" t="s">
        <v>31</v>
      </c>
      <c r="K34" s="112"/>
      <c r="L34" s="114"/>
      <c r="M34" s="112"/>
      <c r="N34" s="112" t="s">
        <v>31</v>
      </c>
      <c r="O34" s="112"/>
      <c r="P34" s="112"/>
      <c r="Q34" s="112"/>
      <c r="R34" s="112"/>
      <c r="S34" s="115" t="s">
        <v>900</v>
      </c>
      <c r="T34" s="123" t="s">
        <v>862</v>
      </c>
      <c r="U34" s="113"/>
      <c r="V34" s="112"/>
      <c r="W34" s="112"/>
      <c r="X34" s="119"/>
      <c r="Z34" s="120" t="s">
        <v>33</v>
      </c>
      <c r="AA34" s="120"/>
      <c r="AB34" s="120"/>
      <c r="AC34" s="120"/>
      <c r="AD34" s="120"/>
      <c r="AE34" s="120"/>
      <c r="AF34" s="120"/>
      <c r="AG34" s="120"/>
      <c r="AH34" s="120"/>
      <c r="AI34" s="120"/>
      <c r="AJ34" s="120"/>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c r="BZ34" s="120"/>
      <c r="CA34" s="120"/>
      <c r="CB34" s="120"/>
      <c r="CC34" s="120"/>
      <c r="CD34" s="120"/>
      <c r="CE34" s="120"/>
      <c r="CF34" s="120"/>
      <c r="CG34" s="120"/>
      <c r="CH34" s="120"/>
      <c r="CI34" s="120"/>
      <c r="CJ34" s="120"/>
      <c r="CK34" s="120"/>
      <c r="CL34" s="120"/>
      <c r="CM34" s="120"/>
      <c r="CN34" s="120"/>
      <c r="CO34" s="120"/>
      <c r="CP34" s="120"/>
      <c r="CQ34" s="120"/>
      <c r="CR34" s="120"/>
      <c r="CS34" s="120"/>
      <c r="CT34" s="120"/>
      <c r="CU34" s="120"/>
      <c r="CV34" s="120"/>
      <c r="CW34" s="120"/>
      <c r="CX34" s="120"/>
      <c r="CY34" s="120"/>
      <c r="CZ34" s="120"/>
      <c r="DA34" s="120"/>
      <c r="DB34" s="120"/>
      <c r="DC34" s="120"/>
      <c r="DD34" s="120"/>
      <c r="DE34" s="120"/>
      <c r="DF34" s="120"/>
      <c r="DG34" s="120"/>
      <c r="DH34" s="120"/>
      <c r="DI34" s="120"/>
      <c r="DJ34" s="120"/>
      <c r="DK34" s="120"/>
      <c r="DL34" s="120"/>
      <c r="DM34" s="120"/>
      <c r="DN34" s="120"/>
      <c r="DO34" s="120"/>
      <c r="DP34" s="120"/>
      <c r="DQ34" s="120"/>
      <c r="DR34" s="120"/>
      <c r="DS34" s="120"/>
      <c r="DT34" s="120"/>
      <c r="DU34" s="120"/>
      <c r="DV34" s="120"/>
      <c r="DW34" s="120"/>
      <c r="DX34" s="120"/>
      <c r="DY34" s="120"/>
      <c r="DZ34" s="120"/>
      <c r="EA34" s="120"/>
      <c r="EB34" s="120"/>
      <c r="EC34" s="120"/>
      <c r="ED34" s="120"/>
      <c r="EE34" s="120"/>
      <c r="EF34" s="120"/>
      <c r="EG34" s="120"/>
      <c r="EH34" s="120"/>
      <c r="EI34" s="120"/>
      <c r="EJ34" s="120"/>
      <c r="EK34" s="120"/>
      <c r="EL34" s="120"/>
      <c r="EM34" s="120"/>
      <c r="EN34" s="120"/>
      <c r="EO34" s="120"/>
      <c r="EP34" s="120"/>
    </row>
    <row r="35" spans="1:146" s="118" customFormat="1" ht="45" customHeight="1">
      <c r="A35" s="111" t="s">
        <v>935</v>
      </c>
      <c r="B35" s="111"/>
      <c r="C35" s="112" t="s">
        <v>859</v>
      </c>
      <c r="D35" s="112">
        <v>2008</v>
      </c>
      <c r="E35" s="112">
        <v>2008</v>
      </c>
      <c r="F35" s="112" t="s">
        <v>936</v>
      </c>
      <c r="G35" s="113" t="s">
        <v>677</v>
      </c>
      <c r="H35" s="112" t="s">
        <v>937</v>
      </c>
      <c r="I35" s="112" t="s">
        <v>57</v>
      </c>
      <c r="J35" s="112" t="s">
        <v>31</v>
      </c>
      <c r="K35" s="112"/>
      <c r="L35" s="114"/>
      <c r="M35" s="112"/>
      <c r="N35" s="112" t="s">
        <v>31</v>
      </c>
      <c r="O35" s="112"/>
      <c r="P35" s="112"/>
      <c r="Q35" s="112"/>
      <c r="R35" s="112"/>
      <c r="S35" s="115" t="s">
        <v>938</v>
      </c>
      <c r="T35" s="123" t="s">
        <v>862</v>
      </c>
      <c r="U35" s="113"/>
      <c r="V35" s="112"/>
      <c r="W35" s="112"/>
      <c r="X35" s="117"/>
      <c r="Z35" s="120" t="s">
        <v>33</v>
      </c>
      <c r="AA35" s="120"/>
      <c r="AB35" s="120"/>
      <c r="AC35" s="120"/>
      <c r="AD35" s="120"/>
      <c r="AE35" s="120"/>
      <c r="AF35" s="120"/>
      <c r="AG35" s="120"/>
      <c r="AH35" s="120"/>
      <c r="AI35" s="120"/>
      <c r="AJ35" s="120"/>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c r="BZ35" s="120"/>
      <c r="CA35" s="120"/>
      <c r="CB35" s="120"/>
      <c r="CC35" s="120"/>
      <c r="CD35" s="120"/>
      <c r="CE35" s="120"/>
      <c r="CF35" s="120"/>
      <c r="CG35" s="120"/>
      <c r="CH35" s="120"/>
      <c r="CI35" s="120"/>
      <c r="CJ35" s="120"/>
      <c r="CK35" s="120"/>
      <c r="CL35" s="120"/>
      <c r="CM35" s="120"/>
      <c r="CN35" s="120"/>
      <c r="CO35" s="120"/>
      <c r="CP35" s="120"/>
      <c r="CQ35" s="120"/>
      <c r="CR35" s="120"/>
      <c r="CS35" s="120"/>
      <c r="CT35" s="120"/>
      <c r="CU35" s="120"/>
      <c r="CV35" s="120"/>
      <c r="CW35" s="120"/>
      <c r="CX35" s="120"/>
      <c r="CY35" s="120"/>
      <c r="CZ35" s="120"/>
      <c r="DA35" s="120"/>
      <c r="DB35" s="120"/>
      <c r="DC35" s="120"/>
      <c r="DD35" s="120"/>
      <c r="DE35" s="120"/>
      <c r="DF35" s="120"/>
      <c r="DG35" s="120"/>
      <c r="DH35" s="120"/>
      <c r="DI35" s="120"/>
      <c r="DJ35" s="120"/>
      <c r="DK35" s="120"/>
      <c r="DL35" s="120"/>
      <c r="DM35" s="120"/>
      <c r="DN35" s="120"/>
      <c r="DO35" s="120"/>
      <c r="DP35" s="120"/>
      <c r="DQ35" s="120"/>
      <c r="DR35" s="120"/>
      <c r="DS35" s="120"/>
      <c r="DT35" s="120"/>
      <c r="DU35" s="120"/>
      <c r="DV35" s="120"/>
      <c r="DW35" s="120"/>
      <c r="DX35" s="120"/>
      <c r="DY35" s="120"/>
      <c r="DZ35" s="120"/>
      <c r="EA35" s="120"/>
      <c r="EB35" s="120"/>
      <c r="EC35" s="120"/>
      <c r="ED35" s="120"/>
      <c r="EE35" s="120"/>
      <c r="EF35" s="120"/>
      <c r="EG35" s="120"/>
      <c r="EH35" s="120"/>
      <c r="EI35" s="120"/>
      <c r="EJ35" s="120"/>
      <c r="EK35" s="120"/>
      <c r="EL35" s="120"/>
      <c r="EM35" s="120"/>
      <c r="EN35" s="120"/>
      <c r="EO35" s="120"/>
      <c r="EP35" s="120"/>
    </row>
    <row r="36" spans="1:146" s="118" customFormat="1" ht="45" customHeight="1">
      <c r="A36" s="111" t="s">
        <v>939</v>
      </c>
      <c r="B36" s="111"/>
      <c r="C36" s="112" t="s">
        <v>859</v>
      </c>
      <c r="D36" s="112">
        <v>2008</v>
      </c>
      <c r="E36" s="112">
        <v>2008</v>
      </c>
      <c r="F36" s="112" t="s">
        <v>512</v>
      </c>
      <c r="G36" s="113" t="s">
        <v>47</v>
      </c>
      <c r="H36" s="112" t="s">
        <v>56</v>
      </c>
      <c r="I36" s="112" t="s">
        <v>57</v>
      </c>
      <c r="J36" s="112" t="s">
        <v>31</v>
      </c>
      <c r="K36" s="112"/>
      <c r="L36" s="114"/>
      <c r="M36" s="112"/>
      <c r="N36" s="112" t="s">
        <v>31</v>
      </c>
      <c r="O36" s="112"/>
      <c r="P36" s="112"/>
      <c r="Q36" s="112"/>
      <c r="R36" s="112"/>
      <c r="S36" s="115" t="s">
        <v>940</v>
      </c>
      <c r="T36" s="123" t="s">
        <v>23</v>
      </c>
      <c r="U36" s="113"/>
      <c r="V36" s="112"/>
      <c r="W36" s="112"/>
      <c r="X36" s="119"/>
      <c r="Z36" s="120" t="s">
        <v>33</v>
      </c>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120"/>
      <c r="CF36" s="120"/>
      <c r="CG36" s="120"/>
      <c r="CH36" s="120"/>
      <c r="CI36" s="120"/>
      <c r="CJ36" s="120"/>
      <c r="CK36" s="120"/>
      <c r="CL36" s="120"/>
      <c r="CM36" s="120"/>
      <c r="CN36" s="120"/>
      <c r="CO36" s="120"/>
      <c r="CP36" s="120"/>
      <c r="CQ36" s="120"/>
      <c r="CR36" s="120"/>
      <c r="CS36" s="120"/>
      <c r="CT36" s="120"/>
      <c r="CU36" s="120"/>
      <c r="CV36" s="120"/>
      <c r="CW36" s="120"/>
      <c r="CX36" s="120"/>
      <c r="CY36" s="120"/>
      <c r="CZ36" s="120"/>
      <c r="DA36" s="120"/>
      <c r="DB36" s="120"/>
      <c r="DC36" s="120"/>
      <c r="DD36" s="120"/>
      <c r="DE36" s="120"/>
      <c r="DF36" s="120"/>
      <c r="DG36" s="120"/>
      <c r="DH36" s="120"/>
      <c r="DI36" s="120"/>
      <c r="DJ36" s="120"/>
      <c r="DK36" s="120"/>
      <c r="DL36" s="120"/>
      <c r="DM36" s="120"/>
      <c r="DN36" s="120"/>
      <c r="DO36" s="120"/>
      <c r="DP36" s="120"/>
      <c r="DQ36" s="120"/>
      <c r="DR36" s="120"/>
      <c r="DS36" s="120"/>
      <c r="DT36" s="120"/>
      <c r="DU36" s="120"/>
      <c r="DV36" s="120"/>
      <c r="DW36" s="120"/>
      <c r="DX36" s="120"/>
      <c r="DY36" s="120"/>
      <c r="DZ36" s="120"/>
      <c r="EA36" s="120"/>
      <c r="EB36" s="120"/>
      <c r="EC36" s="120"/>
      <c r="ED36" s="120"/>
      <c r="EE36" s="120"/>
      <c r="EF36" s="120"/>
      <c r="EG36" s="120"/>
      <c r="EH36" s="120"/>
      <c r="EI36" s="120"/>
      <c r="EJ36" s="120"/>
      <c r="EK36" s="120"/>
      <c r="EL36" s="120"/>
      <c r="EM36" s="120"/>
      <c r="EN36" s="120"/>
      <c r="EO36" s="120"/>
      <c r="EP36" s="120"/>
    </row>
    <row r="37" spans="1:146" s="118" customFormat="1" ht="45" customHeight="1">
      <c r="A37" s="111" t="s">
        <v>941</v>
      </c>
      <c r="B37" s="111"/>
      <c r="C37" s="112" t="s">
        <v>859</v>
      </c>
      <c r="D37" s="112">
        <v>2008</v>
      </c>
      <c r="E37" s="112">
        <v>2008</v>
      </c>
      <c r="F37" s="112" t="s">
        <v>745</v>
      </c>
      <c r="G37" s="113" t="s">
        <v>271</v>
      </c>
      <c r="H37" s="112" t="s">
        <v>767</v>
      </c>
      <c r="I37" s="112" t="s">
        <v>57</v>
      </c>
      <c r="J37" s="112" t="s">
        <v>31</v>
      </c>
      <c r="K37" s="112"/>
      <c r="L37" s="114"/>
      <c r="M37" s="112"/>
      <c r="N37" s="112" t="s">
        <v>31</v>
      </c>
      <c r="O37" s="112"/>
      <c r="P37" s="112"/>
      <c r="Q37" s="112"/>
      <c r="R37" s="112"/>
      <c r="S37" s="115" t="s">
        <v>942</v>
      </c>
      <c r="T37" s="123" t="s">
        <v>862</v>
      </c>
      <c r="U37" s="113"/>
      <c r="V37" s="112"/>
      <c r="W37" s="112"/>
      <c r="X37" s="119"/>
      <c r="Z37" s="120" t="s">
        <v>33</v>
      </c>
      <c r="AA37" s="120"/>
      <c r="AB37" s="120"/>
      <c r="AC37" s="120"/>
      <c r="AD37" s="120"/>
      <c r="AE37" s="120"/>
      <c r="AF37" s="120"/>
      <c r="AG37" s="120"/>
      <c r="AH37" s="120"/>
      <c r="AI37" s="120"/>
      <c r="AJ37" s="120"/>
      <c r="AK37" s="120"/>
      <c r="AL37" s="120"/>
      <c r="AM37" s="120"/>
      <c r="AN37" s="120"/>
      <c r="AO37" s="120"/>
      <c r="AP37" s="120"/>
      <c r="AQ37" s="120"/>
      <c r="AR37" s="120"/>
      <c r="AS37" s="120"/>
      <c r="AT37" s="120"/>
      <c r="AU37" s="120"/>
      <c r="AV37" s="120"/>
      <c r="AW37" s="120"/>
      <c r="AX37" s="120"/>
      <c r="AY37" s="120"/>
      <c r="AZ37" s="120"/>
      <c r="BA37" s="120"/>
      <c r="BB37" s="120"/>
      <c r="BC37" s="120"/>
      <c r="BD37" s="120"/>
      <c r="BE37" s="120"/>
      <c r="BF37" s="120"/>
      <c r="BG37" s="120"/>
      <c r="BH37" s="120"/>
      <c r="BI37" s="120"/>
      <c r="BJ37" s="120"/>
      <c r="BK37" s="120"/>
      <c r="BL37" s="120"/>
      <c r="BM37" s="120"/>
      <c r="BN37" s="120"/>
      <c r="BO37" s="120"/>
      <c r="BP37" s="120"/>
      <c r="BQ37" s="120"/>
      <c r="BR37" s="120"/>
      <c r="BS37" s="120"/>
      <c r="BT37" s="120"/>
      <c r="BU37" s="120"/>
      <c r="BV37" s="120"/>
      <c r="BW37" s="120"/>
      <c r="BX37" s="120"/>
      <c r="BY37" s="120"/>
      <c r="BZ37" s="120"/>
      <c r="CA37" s="120"/>
      <c r="CB37" s="120"/>
      <c r="CC37" s="120"/>
      <c r="CD37" s="120"/>
      <c r="CE37" s="120"/>
      <c r="CF37" s="120"/>
      <c r="CG37" s="120"/>
      <c r="CH37" s="120"/>
      <c r="CI37" s="120"/>
      <c r="CJ37" s="120"/>
      <c r="CK37" s="120"/>
      <c r="CL37" s="120"/>
      <c r="CM37" s="120"/>
      <c r="CN37" s="120"/>
      <c r="CO37" s="120"/>
      <c r="CP37" s="120"/>
      <c r="CQ37" s="120"/>
      <c r="CR37" s="120"/>
      <c r="CS37" s="120"/>
      <c r="CT37" s="120"/>
      <c r="CU37" s="120"/>
      <c r="CV37" s="120"/>
      <c r="CW37" s="120"/>
      <c r="CX37" s="120"/>
      <c r="CY37" s="120"/>
      <c r="CZ37" s="120"/>
      <c r="DA37" s="120"/>
      <c r="DB37" s="120"/>
      <c r="DC37" s="120"/>
      <c r="DD37" s="120"/>
      <c r="DE37" s="120"/>
      <c r="DF37" s="120"/>
      <c r="DG37" s="120"/>
      <c r="DH37" s="120"/>
      <c r="DI37" s="120"/>
      <c r="DJ37" s="120"/>
      <c r="DK37" s="120"/>
      <c r="DL37" s="120"/>
      <c r="DM37" s="120"/>
      <c r="DN37" s="120"/>
      <c r="DO37" s="120"/>
      <c r="DP37" s="120"/>
      <c r="DQ37" s="120"/>
      <c r="DR37" s="120"/>
      <c r="DS37" s="120"/>
      <c r="DT37" s="120"/>
      <c r="DU37" s="120"/>
      <c r="DV37" s="120"/>
      <c r="DW37" s="120"/>
      <c r="DX37" s="120"/>
      <c r="DY37" s="120"/>
      <c r="DZ37" s="120"/>
      <c r="EA37" s="120"/>
      <c r="EB37" s="120"/>
      <c r="EC37" s="120"/>
      <c r="ED37" s="120"/>
      <c r="EE37" s="120"/>
      <c r="EF37" s="120"/>
      <c r="EG37" s="120"/>
      <c r="EH37" s="120"/>
      <c r="EI37" s="120"/>
      <c r="EJ37" s="120"/>
      <c r="EK37" s="120"/>
      <c r="EL37" s="120"/>
      <c r="EM37" s="120"/>
      <c r="EN37" s="120"/>
      <c r="EO37" s="120"/>
      <c r="EP37" s="120"/>
    </row>
    <row r="38" spans="1:146" s="118" customFormat="1" ht="45" customHeight="1">
      <c r="A38" s="111" t="s">
        <v>943</v>
      </c>
      <c r="B38" s="111"/>
      <c r="C38" s="112" t="s">
        <v>859</v>
      </c>
      <c r="D38" s="112">
        <v>2008</v>
      </c>
      <c r="E38" s="112">
        <v>2008</v>
      </c>
      <c r="F38" s="112" t="s">
        <v>253</v>
      </c>
      <c r="G38" s="113" t="s">
        <v>271</v>
      </c>
      <c r="H38" s="112" t="s">
        <v>255</v>
      </c>
      <c r="I38" s="112" t="s">
        <v>57</v>
      </c>
      <c r="J38" s="112" t="s">
        <v>31</v>
      </c>
      <c r="K38" s="112"/>
      <c r="L38" s="114"/>
      <c r="M38" s="112"/>
      <c r="N38" s="112" t="s">
        <v>31</v>
      </c>
      <c r="O38" s="112"/>
      <c r="P38" s="112"/>
      <c r="Q38" s="112"/>
      <c r="R38" s="112"/>
      <c r="S38" s="115" t="s">
        <v>944</v>
      </c>
      <c r="T38" s="112" t="s">
        <v>945</v>
      </c>
      <c r="U38" s="113"/>
      <c r="V38" s="112"/>
      <c r="W38" s="112"/>
      <c r="X38" s="117"/>
      <c r="Z38" s="120" t="s">
        <v>33</v>
      </c>
      <c r="AA38" s="120"/>
      <c r="AB38" s="120"/>
      <c r="AC38" s="120"/>
      <c r="AD38" s="120"/>
      <c r="AE38" s="120"/>
      <c r="AF38" s="120"/>
      <c r="AG38" s="120"/>
      <c r="AH38" s="120"/>
      <c r="AI38" s="120"/>
      <c r="AJ38" s="120"/>
      <c r="AK38" s="120"/>
      <c r="AL38" s="120"/>
      <c r="AM38" s="120"/>
      <c r="AN38" s="120"/>
      <c r="AO38" s="120"/>
      <c r="AP38" s="120"/>
      <c r="AQ38" s="120"/>
      <c r="AR38" s="120"/>
      <c r="AS38" s="120"/>
      <c r="AT38" s="120"/>
      <c r="AU38" s="120"/>
      <c r="AV38" s="120"/>
      <c r="AW38" s="120"/>
      <c r="AX38" s="120"/>
      <c r="AY38" s="120"/>
      <c r="AZ38" s="120"/>
      <c r="BA38" s="120"/>
      <c r="BB38" s="120"/>
      <c r="BC38" s="120"/>
      <c r="BD38" s="120"/>
      <c r="BE38" s="120"/>
      <c r="BF38" s="120"/>
      <c r="BG38" s="120"/>
      <c r="BH38" s="120"/>
      <c r="BI38" s="120"/>
      <c r="BJ38" s="120"/>
      <c r="BK38" s="120"/>
      <c r="BL38" s="120"/>
      <c r="BM38" s="120"/>
      <c r="BN38" s="120"/>
      <c r="BO38" s="120"/>
      <c r="BP38" s="120"/>
      <c r="BQ38" s="120"/>
      <c r="BR38" s="120"/>
      <c r="BS38" s="120"/>
      <c r="BT38" s="120"/>
      <c r="BU38" s="120"/>
      <c r="BV38" s="120"/>
      <c r="BW38" s="120"/>
      <c r="BX38" s="120"/>
      <c r="BY38" s="120"/>
      <c r="BZ38" s="120"/>
      <c r="CA38" s="120"/>
      <c r="CB38" s="120"/>
      <c r="CC38" s="120"/>
      <c r="CD38" s="120"/>
      <c r="CE38" s="120"/>
      <c r="CF38" s="120"/>
      <c r="CG38" s="120"/>
      <c r="CH38" s="120"/>
      <c r="CI38" s="120"/>
      <c r="CJ38" s="120"/>
      <c r="CK38" s="120"/>
      <c r="CL38" s="120"/>
      <c r="CM38" s="120"/>
      <c r="CN38" s="120"/>
      <c r="CO38" s="120"/>
      <c r="CP38" s="120"/>
      <c r="CQ38" s="120"/>
      <c r="CR38" s="120"/>
      <c r="CS38" s="120"/>
      <c r="CT38" s="120"/>
      <c r="CU38" s="120"/>
      <c r="CV38" s="120"/>
      <c r="CW38" s="120"/>
      <c r="CX38" s="120"/>
      <c r="CY38" s="120"/>
      <c r="CZ38" s="120"/>
      <c r="DA38" s="120"/>
      <c r="DB38" s="120"/>
      <c r="DC38" s="120"/>
      <c r="DD38" s="120"/>
      <c r="DE38" s="120"/>
      <c r="DF38" s="120"/>
      <c r="DG38" s="120"/>
      <c r="DH38" s="120"/>
      <c r="DI38" s="120"/>
      <c r="DJ38" s="120"/>
      <c r="DK38" s="120"/>
      <c r="DL38" s="120"/>
      <c r="DM38" s="120"/>
      <c r="DN38" s="120"/>
      <c r="DO38" s="120"/>
      <c r="DP38" s="120"/>
      <c r="DQ38" s="120"/>
      <c r="DR38" s="120"/>
      <c r="DS38" s="120"/>
      <c r="DT38" s="120"/>
      <c r="DU38" s="120"/>
      <c r="DV38" s="120"/>
      <c r="DW38" s="120"/>
      <c r="DX38" s="120"/>
      <c r="DY38" s="120"/>
      <c r="DZ38" s="120"/>
      <c r="EA38" s="120"/>
      <c r="EB38" s="120"/>
      <c r="EC38" s="120"/>
      <c r="ED38" s="120"/>
      <c r="EE38" s="120"/>
      <c r="EF38" s="120"/>
      <c r="EG38" s="120"/>
      <c r="EH38" s="120"/>
      <c r="EI38" s="120"/>
      <c r="EJ38" s="120"/>
      <c r="EK38" s="120"/>
      <c r="EL38" s="120"/>
      <c r="EM38" s="120"/>
      <c r="EN38" s="120"/>
      <c r="EO38" s="120"/>
      <c r="EP38" s="120"/>
    </row>
    <row r="39" spans="1:146" s="118" customFormat="1" ht="45" customHeight="1">
      <c r="A39" s="111" t="s">
        <v>946</v>
      </c>
      <c r="B39" s="111"/>
      <c r="C39" s="112" t="s">
        <v>859</v>
      </c>
      <c r="D39" s="112">
        <v>2008</v>
      </c>
      <c r="E39" s="112">
        <v>2008</v>
      </c>
      <c r="F39" s="112" t="s">
        <v>702</v>
      </c>
      <c r="G39" s="113" t="s">
        <v>271</v>
      </c>
      <c r="H39" s="112" t="s">
        <v>703</v>
      </c>
      <c r="I39" s="112" t="s">
        <v>57</v>
      </c>
      <c r="J39" s="112" t="s">
        <v>31</v>
      </c>
      <c r="K39" s="112"/>
      <c r="L39" s="114"/>
      <c r="M39" s="112"/>
      <c r="N39" s="112" t="s">
        <v>31</v>
      </c>
      <c r="O39" s="112"/>
      <c r="P39" s="112"/>
      <c r="Q39" s="112"/>
      <c r="R39" s="112"/>
      <c r="S39" s="115" t="s">
        <v>947</v>
      </c>
      <c r="T39" s="121" t="s">
        <v>945</v>
      </c>
      <c r="U39" s="113"/>
      <c r="V39" s="112"/>
      <c r="W39" s="112"/>
      <c r="X39" s="119"/>
      <c r="Z39" s="120" t="s">
        <v>33</v>
      </c>
      <c r="AA39" s="120"/>
      <c r="AB39" s="120"/>
      <c r="AC39" s="120"/>
      <c r="AD39" s="120"/>
      <c r="AE39" s="120"/>
      <c r="AF39" s="120"/>
      <c r="AG39" s="120"/>
      <c r="AH39" s="120"/>
      <c r="AI39" s="120"/>
      <c r="AJ39" s="120"/>
      <c r="AK39" s="120"/>
      <c r="AL39" s="120"/>
      <c r="AM39" s="120"/>
      <c r="AN39" s="120"/>
      <c r="AO39" s="120"/>
      <c r="AP39" s="120"/>
      <c r="AQ39" s="120"/>
      <c r="AR39" s="120"/>
      <c r="AS39" s="120"/>
      <c r="AT39" s="120"/>
      <c r="AU39" s="120"/>
      <c r="AV39" s="120"/>
      <c r="AW39" s="120"/>
      <c r="AX39" s="120"/>
      <c r="AY39" s="120"/>
      <c r="AZ39" s="120"/>
      <c r="BA39" s="120"/>
      <c r="BB39" s="120"/>
      <c r="BC39" s="120"/>
      <c r="BD39" s="120"/>
      <c r="BE39" s="120"/>
      <c r="BF39" s="120"/>
      <c r="BG39" s="120"/>
      <c r="BH39" s="120"/>
      <c r="BI39" s="120"/>
      <c r="BJ39" s="120"/>
      <c r="BK39" s="120"/>
      <c r="BL39" s="120"/>
      <c r="BM39" s="120"/>
      <c r="BN39" s="120"/>
      <c r="BO39" s="120"/>
      <c r="BP39" s="120"/>
      <c r="BQ39" s="120"/>
      <c r="BR39" s="120"/>
      <c r="BS39" s="120"/>
      <c r="BT39" s="120"/>
      <c r="BU39" s="120"/>
      <c r="BV39" s="120"/>
      <c r="BW39" s="120"/>
      <c r="BX39" s="120"/>
      <c r="BY39" s="120"/>
      <c r="BZ39" s="120"/>
      <c r="CA39" s="120"/>
      <c r="CB39" s="120"/>
      <c r="CC39" s="120"/>
      <c r="CD39" s="120"/>
      <c r="CE39" s="120"/>
      <c r="CF39" s="120"/>
      <c r="CG39" s="120"/>
      <c r="CH39" s="120"/>
      <c r="CI39" s="120"/>
      <c r="CJ39" s="120"/>
      <c r="CK39" s="120"/>
      <c r="CL39" s="120"/>
      <c r="CM39" s="120"/>
      <c r="CN39" s="120"/>
      <c r="CO39" s="120"/>
      <c r="CP39" s="120"/>
      <c r="CQ39" s="120"/>
      <c r="CR39" s="120"/>
      <c r="CS39" s="120"/>
      <c r="CT39" s="120"/>
      <c r="CU39" s="120"/>
      <c r="CV39" s="120"/>
      <c r="CW39" s="120"/>
      <c r="CX39" s="120"/>
      <c r="CY39" s="120"/>
      <c r="CZ39" s="120"/>
      <c r="DA39" s="120"/>
      <c r="DB39" s="120"/>
      <c r="DC39" s="120"/>
      <c r="DD39" s="120"/>
      <c r="DE39" s="120"/>
      <c r="DF39" s="120"/>
      <c r="DG39" s="120"/>
      <c r="DH39" s="120"/>
      <c r="DI39" s="120"/>
      <c r="DJ39" s="120"/>
      <c r="DK39" s="120"/>
      <c r="DL39" s="120"/>
      <c r="DM39" s="120"/>
      <c r="DN39" s="120"/>
      <c r="DO39" s="120"/>
      <c r="DP39" s="120"/>
      <c r="DQ39" s="120"/>
      <c r="DR39" s="120"/>
      <c r="DS39" s="120"/>
      <c r="DT39" s="120"/>
      <c r="DU39" s="120"/>
      <c r="DV39" s="120"/>
      <c r="DW39" s="120"/>
      <c r="DX39" s="120"/>
      <c r="DY39" s="120"/>
      <c r="DZ39" s="120"/>
      <c r="EA39" s="120"/>
      <c r="EB39" s="120"/>
      <c r="EC39" s="120"/>
      <c r="ED39" s="120"/>
      <c r="EE39" s="120"/>
      <c r="EF39" s="120"/>
      <c r="EG39" s="120"/>
      <c r="EH39" s="120"/>
      <c r="EI39" s="120"/>
      <c r="EJ39" s="120"/>
      <c r="EK39" s="120"/>
      <c r="EL39" s="120"/>
      <c r="EM39" s="120"/>
      <c r="EN39" s="120"/>
      <c r="EO39" s="120"/>
      <c r="EP39" s="120"/>
    </row>
    <row r="40" spans="1:146" s="118" customFormat="1" ht="45" customHeight="1">
      <c r="A40" s="111" t="s">
        <v>989</v>
      </c>
      <c r="B40" s="111"/>
      <c r="C40" s="112" t="s">
        <v>859</v>
      </c>
      <c r="D40" s="112">
        <v>2010</v>
      </c>
      <c r="E40" s="112">
        <v>2010</v>
      </c>
      <c r="F40" s="112" t="s">
        <v>253</v>
      </c>
      <c r="G40" s="113" t="s">
        <v>271</v>
      </c>
      <c r="H40" s="112" t="s">
        <v>255</v>
      </c>
      <c r="I40" s="112" t="s">
        <v>57</v>
      </c>
      <c r="J40" s="112" t="s">
        <v>31</v>
      </c>
      <c r="K40" s="112"/>
      <c r="L40" s="114"/>
      <c r="M40" s="112"/>
      <c r="N40" s="112" t="s">
        <v>31</v>
      </c>
      <c r="O40" s="112"/>
      <c r="P40" s="112"/>
      <c r="Q40" s="112"/>
      <c r="R40" s="112"/>
      <c r="S40" s="115" t="s">
        <v>990</v>
      </c>
      <c r="T40" s="116" t="s">
        <v>862</v>
      </c>
      <c r="U40" s="113"/>
      <c r="V40" s="112"/>
      <c r="W40" s="112"/>
      <c r="X40" s="117"/>
      <c r="Z40" s="120" t="s">
        <v>33</v>
      </c>
      <c r="AA40" s="120"/>
      <c r="AB40" s="120"/>
      <c r="AC40" s="120"/>
      <c r="AD40" s="120"/>
      <c r="AE40" s="120"/>
      <c r="AF40" s="120"/>
      <c r="AG40" s="120"/>
      <c r="AH40" s="120"/>
      <c r="AI40" s="120"/>
      <c r="AJ40" s="120"/>
      <c r="AK40" s="120"/>
      <c r="AL40" s="120"/>
      <c r="AM40" s="120"/>
      <c r="AN40" s="120"/>
      <c r="AO40" s="120"/>
      <c r="AP40" s="120"/>
      <c r="AQ40" s="120"/>
      <c r="AR40" s="120"/>
      <c r="AS40" s="120"/>
      <c r="AT40" s="120"/>
      <c r="AU40" s="120"/>
      <c r="AV40" s="120"/>
      <c r="AW40" s="120"/>
      <c r="AX40" s="120"/>
      <c r="AY40" s="120"/>
      <c r="AZ40" s="120"/>
      <c r="BA40" s="120"/>
      <c r="BB40" s="120"/>
      <c r="BC40" s="120"/>
      <c r="BD40" s="120"/>
      <c r="BE40" s="120"/>
      <c r="BF40" s="120"/>
      <c r="BG40" s="120"/>
      <c r="BH40" s="120"/>
      <c r="BI40" s="120"/>
      <c r="BJ40" s="120"/>
      <c r="BK40" s="120"/>
      <c r="BL40" s="120"/>
      <c r="BM40" s="120"/>
      <c r="BN40" s="120"/>
      <c r="BO40" s="120"/>
      <c r="BP40" s="120"/>
      <c r="BQ40" s="120"/>
      <c r="BR40" s="120"/>
      <c r="BS40" s="120"/>
      <c r="BT40" s="120"/>
      <c r="BU40" s="120"/>
      <c r="BV40" s="120"/>
      <c r="BW40" s="120"/>
      <c r="BX40" s="120"/>
      <c r="BY40" s="120"/>
      <c r="BZ40" s="120"/>
      <c r="CA40" s="120"/>
      <c r="CB40" s="120"/>
      <c r="CC40" s="120"/>
      <c r="CD40" s="120"/>
      <c r="CE40" s="120"/>
      <c r="CF40" s="120"/>
      <c r="CG40" s="120"/>
      <c r="CH40" s="120"/>
      <c r="CI40" s="120"/>
      <c r="CJ40" s="120"/>
      <c r="CK40" s="120"/>
      <c r="CL40" s="120"/>
      <c r="CM40" s="120"/>
      <c r="CN40" s="120"/>
      <c r="CO40" s="120"/>
      <c r="CP40" s="120"/>
      <c r="CQ40" s="120"/>
      <c r="CR40" s="120"/>
      <c r="CS40" s="120"/>
      <c r="CT40" s="120"/>
      <c r="CU40" s="120"/>
      <c r="CV40" s="120"/>
      <c r="CW40" s="120"/>
      <c r="CX40" s="120"/>
      <c r="CY40" s="120"/>
      <c r="CZ40" s="120"/>
      <c r="DA40" s="120"/>
      <c r="DB40" s="120"/>
      <c r="DC40" s="120"/>
      <c r="DD40" s="120"/>
      <c r="DE40" s="120"/>
      <c r="DF40" s="120"/>
      <c r="DG40" s="120"/>
      <c r="DH40" s="120"/>
      <c r="DI40" s="120"/>
      <c r="DJ40" s="120"/>
      <c r="DK40" s="120"/>
      <c r="DL40" s="120"/>
      <c r="DM40" s="120"/>
      <c r="DN40" s="120"/>
      <c r="DO40" s="120"/>
      <c r="DP40" s="120"/>
      <c r="DQ40" s="120"/>
      <c r="DR40" s="120"/>
      <c r="DS40" s="120"/>
      <c r="DT40" s="120"/>
      <c r="DU40" s="120"/>
      <c r="DV40" s="120"/>
      <c r="DW40" s="120"/>
      <c r="DX40" s="120"/>
      <c r="DY40" s="120"/>
      <c r="DZ40" s="120"/>
      <c r="EA40" s="120"/>
      <c r="EB40" s="120"/>
      <c r="EC40" s="120"/>
      <c r="ED40" s="120"/>
      <c r="EE40" s="120"/>
      <c r="EF40" s="120"/>
      <c r="EG40" s="120"/>
      <c r="EH40" s="120"/>
      <c r="EI40" s="120"/>
      <c r="EJ40" s="120"/>
      <c r="EK40" s="120"/>
      <c r="EL40" s="120"/>
      <c r="EM40" s="120"/>
      <c r="EN40" s="120"/>
      <c r="EO40" s="120"/>
      <c r="EP40" s="120"/>
    </row>
    <row r="41" spans="1:146" s="118" customFormat="1" ht="45" customHeight="1">
      <c r="A41" s="111" t="s">
        <v>1000</v>
      </c>
      <c r="B41" s="111"/>
      <c r="C41" s="112" t="s">
        <v>859</v>
      </c>
      <c r="D41" s="112">
        <v>2011</v>
      </c>
      <c r="E41" s="112">
        <v>2011</v>
      </c>
      <c r="F41" s="112" t="s">
        <v>936</v>
      </c>
      <c r="G41" s="113" t="s">
        <v>677</v>
      </c>
      <c r="H41" s="112" t="s">
        <v>937</v>
      </c>
      <c r="I41" s="112" t="s">
        <v>57</v>
      </c>
      <c r="J41" s="112" t="s">
        <v>31</v>
      </c>
      <c r="K41" s="112"/>
      <c r="L41" s="114"/>
      <c r="M41" s="112"/>
      <c r="N41" s="112" t="s">
        <v>31</v>
      </c>
      <c r="O41" s="112"/>
      <c r="P41" s="112"/>
      <c r="Q41" s="112"/>
      <c r="R41" s="112"/>
      <c r="S41" s="115" t="s">
        <v>1001</v>
      </c>
      <c r="T41" s="116" t="s">
        <v>862</v>
      </c>
      <c r="U41" s="113"/>
      <c r="V41" s="125"/>
      <c r="W41" s="113"/>
      <c r="X41" s="117"/>
      <c r="Z41" s="120" t="s">
        <v>33</v>
      </c>
      <c r="AA41" s="120"/>
      <c r="AB41" s="120"/>
      <c r="AC41" s="120"/>
      <c r="AD41" s="120"/>
      <c r="AE41" s="120"/>
      <c r="AF41" s="120"/>
      <c r="AG41" s="120"/>
      <c r="AH41" s="120"/>
      <c r="AI41" s="120"/>
      <c r="AJ41" s="120"/>
      <c r="AK41" s="120"/>
      <c r="AL41" s="120"/>
      <c r="AM41" s="120"/>
      <c r="AN41" s="120"/>
      <c r="AO41" s="120"/>
      <c r="AP41" s="120"/>
      <c r="AQ41" s="120"/>
      <c r="AR41" s="120"/>
      <c r="AS41" s="120"/>
      <c r="AT41" s="120"/>
      <c r="AU41" s="120"/>
      <c r="AV41" s="120"/>
      <c r="AW41" s="120"/>
      <c r="AX41" s="120"/>
      <c r="AY41" s="120"/>
      <c r="AZ41" s="120"/>
      <c r="BA41" s="120"/>
      <c r="BB41" s="120"/>
      <c r="BC41" s="120"/>
      <c r="BD41" s="120"/>
      <c r="BE41" s="120"/>
      <c r="BF41" s="120"/>
      <c r="BG41" s="120"/>
      <c r="BH41" s="120"/>
      <c r="BI41" s="120"/>
      <c r="BJ41" s="120"/>
      <c r="BK41" s="120"/>
      <c r="BL41" s="120"/>
      <c r="BM41" s="120"/>
      <c r="BN41" s="120"/>
      <c r="BO41" s="120"/>
      <c r="BP41" s="120"/>
      <c r="BQ41" s="120"/>
      <c r="BR41" s="120"/>
      <c r="BS41" s="120"/>
      <c r="BT41" s="120"/>
      <c r="BU41" s="120"/>
      <c r="BV41" s="120"/>
      <c r="BW41" s="120"/>
      <c r="BX41" s="120"/>
      <c r="BY41" s="120"/>
      <c r="BZ41" s="120"/>
      <c r="CA41" s="120"/>
      <c r="CB41" s="120"/>
      <c r="CC41" s="120"/>
      <c r="CD41" s="120"/>
      <c r="CE41" s="120"/>
      <c r="CF41" s="120"/>
      <c r="CG41" s="120"/>
      <c r="CH41" s="120"/>
      <c r="CI41" s="120"/>
      <c r="CJ41" s="120"/>
      <c r="CK41" s="120"/>
      <c r="CL41" s="120"/>
      <c r="CM41" s="120"/>
      <c r="CN41" s="120"/>
      <c r="CO41" s="120"/>
      <c r="CP41" s="120"/>
      <c r="CQ41" s="120"/>
      <c r="CR41" s="120"/>
      <c r="CS41" s="120"/>
      <c r="CT41" s="120"/>
      <c r="CU41" s="120"/>
      <c r="CV41" s="120"/>
      <c r="CW41" s="120"/>
      <c r="CX41" s="120"/>
      <c r="CY41" s="120"/>
      <c r="CZ41" s="120"/>
      <c r="DA41" s="120"/>
      <c r="DB41" s="120"/>
      <c r="DC41" s="120"/>
      <c r="DD41" s="120"/>
      <c r="DE41" s="120"/>
      <c r="DF41" s="120"/>
      <c r="DG41" s="120"/>
      <c r="DH41" s="120"/>
      <c r="DI41" s="120"/>
      <c r="DJ41" s="120"/>
      <c r="DK41" s="120"/>
      <c r="DL41" s="120"/>
      <c r="DM41" s="120"/>
      <c r="DN41" s="120"/>
      <c r="DO41" s="120"/>
      <c r="DP41" s="120"/>
      <c r="DQ41" s="120"/>
      <c r="DR41" s="120"/>
      <c r="DS41" s="120"/>
      <c r="DT41" s="120"/>
      <c r="DU41" s="120"/>
      <c r="DV41" s="120"/>
      <c r="DW41" s="120"/>
      <c r="DX41" s="120"/>
      <c r="DY41" s="120"/>
      <c r="DZ41" s="120"/>
      <c r="EA41" s="120"/>
      <c r="EB41" s="120"/>
      <c r="EC41" s="120"/>
      <c r="ED41" s="120"/>
      <c r="EE41" s="120"/>
      <c r="EF41" s="120"/>
      <c r="EG41" s="120"/>
      <c r="EH41" s="120"/>
      <c r="EI41" s="120"/>
      <c r="EJ41" s="120"/>
      <c r="EK41" s="120"/>
      <c r="EL41" s="120"/>
      <c r="EM41" s="120"/>
      <c r="EN41" s="120"/>
      <c r="EO41" s="120"/>
      <c r="EP41" s="120"/>
    </row>
    <row r="42" spans="1:146" s="118" customFormat="1" ht="45" customHeight="1">
      <c r="A42" s="111" t="s">
        <v>1002</v>
      </c>
      <c r="B42" s="111"/>
      <c r="C42" s="112" t="s">
        <v>859</v>
      </c>
      <c r="D42" s="112">
        <v>2011</v>
      </c>
      <c r="E42" s="112">
        <v>2011</v>
      </c>
      <c r="F42" s="112" t="s">
        <v>1003</v>
      </c>
      <c r="G42" s="113" t="s">
        <v>271</v>
      </c>
      <c r="H42" s="112" t="s">
        <v>1004</v>
      </c>
      <c r="I42" s="112" t="s">
        <v>57</v>
      </c>
      <c r="J42" s="112" t="s">
        <v>31</v>
      </c>
      <c r="K42" s="112"/>
      <c r="L42" s="114"/>
      <c r="M42" s="112"/>
      <c r="N42" s="112" t="s">
        <v>31</v>
      </c>
      <c r="O42" s="112"/>
      <c r="P42" s="112"/>
      <c r="Q42" s="112"/>
      <c r="R42" s="112"/>
      <c r="S42" s="115" t="s">
        <v>1005</v>
      </c>
      <c r="T42" s="116" t="s">
        <v>862</v>
      </c>
      <c r="U42" s="113"/>
      <c r="V42" s="112"/>
      <c r="W42" s="112"/>
      <c r="X42" s="119"/>
      <c r="Z42" s="120" t="s">
        <v>33</v>
      </c>
      <c r="AA42" s="120"/>
      <c r="AB42" s="120"/>
      <c r="AC42" s="120"/>
      <c r="AD42" s="120"/>
      <c r="AE42" s="120"/>
      <c r="AF42" s="120"/>
      <c r="AG42" s="120"/>
      <c r="AH42" s="120"/>
      <c r="AI42" s="120"/>
      <c r="AJ42" s="120"/>
      <c r="AK42" s="120"/>
      <c r="AL42" s="120"/>
      <c r="AM42" s="120"/>
      <c r="AN42" s="120"/>
      <c r="AO42" s="120"/>
      <c r="AP42" s="120"/>
      <c r="AQ42" s="120"/>
      <c r="AR42" s="120"/>
      <c r="AS42" s="120"/>
      <c r="AT42" s="120"/>
      <c r="AU42" s="120"/>
      <c r="AV42" s="120"/>
      <c r="AW42" s="120"/>
      <c r="AX42" s="120"/>
      <c r="AY42" s="120"/>
      <c r="AZ42" s="120"/>
      <c r="BA42" s="120"/>
      <c r="BB42" s="120"/>
      <c r="BC42" s="120"/>
      <c r="BD42" s="120"/>
      <c r="BE42" s="120"/>
      <c r="BF42" s="120"/>
      <c r="BG42" s="120"/>
      <c r="BH42" s="120"/>
      <c r="BI42" s="120"/>
      <c r="BJ42" s="120"/>
      <c r="BK42" s="120"/>
      <c r="BL42" s="120"/>
      <c r="BM42" s="120"/>
      <c r="BN42" s="120"/>
      <c r="BO42" s="120"/>
      <c r="BP42" s="120"/>
      <c r="BQ42" s="120"/>
      <c r="BR42" s="120"/>
      <c r="BS42" s="120"/>
      <c r="BT42" s="120"/>
      <c r="BU42" s="120"/>
      <c r="BV42" s="120"/>
      <c r="BW42" s="120"/>
      <c r="BX42" s="120"/>
      <c r="BY42" s="120"/>
      <c r="BZ42" s="120"/>
      <c r="CA42" s="120"/>
      <c r="CB42" s="120"/>
      <c r="CC42" s="120"/>
      <c r="CD42" s="120"/>
      <c r="CE42" s="120"/>
      <c r="CF42" s="120"/>
      <c r="CG42" s="120"/>
      <c r="CH42" s="120"/>
      <c r="CI42" s="120"/>
      <c r="CJ42" s="120"/>
      <c r="CK42" s="120"/>
      <c r="CL42" s="120"/>
      <c r="CM42" s="120"/>
      <c r="CN42" s="120"/>
      <c r="CO42" s="120"/>
      <c r="CP42" s="120"/>
      <c r="CQ42" s="120"/>
      <c r="CR42" s="120"/>
      <c r="CS42" s="120"/>
      <c r="CT42" s="120"/>
      <c r="CU42" s="120"/>
      <c r="CV42" s="120"/>
      <c r="CW42" s="120"/>
      <c r="CX42" s="120"/>
      <c r="CY42" s="120"/>
      <c r="CZ42" s="120"/>
      <c r="DA42" s="120"/>
      <c r="DB42" s="120"/>
      <c r="DC42" s="120"/>
      <c r="DD42" s="120"/>
      <c r="DE42" s="120"/>
      <c r="DF42" s="120"/>
      <c r="DG42" s="120"/>
      <c r="DH42" s="120"/>
      <c r="DI42" s="120"/>
      <c r="DJ42" s="120"/>
      <c r="DK42" s="120"/>
      <c r="DL42" s="120"/>
      <c r="DM42" s="120"/>
      <c r="DN42" s="120"/>
      <c r="DO42" s="120"/>
      <c r="DP42" s="120"/>
      <c r="DQ42" s="120"/>
      <c r="DR42" s="120"/>
      <c r="DS42" s="120"/>
      <c r="DT42" s="120"/>
      <c r="DU42" s="120"/>
      <c r="DV42" s="120"/>
      <c r="DW42" s="120"/>
      <c r="DX42" s="120"/>
      <c r="DY42" s="120"/>
      <c r="DZ42" s="120"/>
      <c r="EA42" s="120"/>
      <c r="EB42" s="120"/>
      <c r="EC42" s="120"/>
      <c r="ED42" s="120"/>
      <c r="EE42" s="120"/>
      <c r="EF42" s="120"/>
      <c r="EG42" s="120"/>
      <c r="EH42" s="120"/>
      <c r="EI42" s="120"/>
      <c r="EJ42" s="120"/>
      <c r="EK42" s="120"/>
      <c r="EL42" s="120"/>
      <c r="EM42" s="120"/>
      <c r="EN42" s="120"/>
      <c r="EO42" s="120"/>
      <c r="EP42" s="120"/>
    </row>
    <row r="43" spans="1:146" s="118" customFormat="1" ht="45" customHeight="1">
      <c r="A43" s="111" t="s">
        <v>1006</v>
      </c>
      <c r="B43" s="111"/>
      <c r="C43" s="112" t="s">
        <v>859</v>
      </c>
      <c r="D43" s="112">
        <v>2011</v>
      </c>
      <c r="E43" s="112">
        <v>2011</v>
      </c>
      <c r="F43" s="112" t="s">
        <v>847</v>
      </c>
      <c r="G43" s="113" t="s">
        <v>200</v>
      </c>
      <c r="H43" s="113" t="s">
        <v>848</v>
      </c>
      <c r="I43" s="112" t="s">
        <v>57</v>
      </c>
      <c r="J43" s="112" t="s">
        <v>31</v>
      </c>
      <c r="K43" s="112"/>
      <c r="L43" s="114"/>
      <c r="M43" s="112"/>
      <c r="N43" s="112"/>
      <c r="O43" s="112"/>
      <c r="P43" s="112"/>
      <c r="Q43" s="112"/>
      <c r="R43" s="112"/>
      <c r="S43" s="115"/>
      <c r="T43" s="121"/>
      <c r="U43" s="113"/>
      <c r="V43" s="112"/>
      <c r="W43" s="112"/>
      <c r="X43" s="122"/>
      <c r="Z43" s="120" t="s">
        <v>33</v>
      </c>
      <c r="AA43" s="120"/>
      <c r="AB43" s="120"/>
      <c r="AC43" s="120"/>
      <c r="AD43" s="120"/>
      <c r="AE43" s="120"/>
      <c r="AF43" s="120"/>
      <c r="AG43" s="120"/>
      <c r="AH43" s="120"/>
      <c r="AI43" s="120"/>
      <c r="AJ43" s="120"/>
      <c r="AK43" s="120"/>
      <c r="AL43" s="120"/>
      <c r="AM43" s="120"/>
      <c r="AN43" s="120"/>
      <c r="AO43" s="120"/>
      <c r="AP43" s="120"/>
      <c r="AQ43" s="120"/>
      <c r="AR43" s="120"/>
      <c r="AS43" s="120"/>
      <c r="AT43" s="120"/>
      <c r="AU43" s="120"/>
      <c r="AV43" s="120"/>
      <c r="AW43" s="120"/>
      <c r="AX43" s="120"/>
      <c r="AY43" s="120"/>
      <c r="AZ43" s="120"/>
      <c r="BA43" s="120"/>
      <c r="BB43" s="120"/>
      <c r="BC43" s="120"/>
      <c r="BD43" s="120"/>
      <c r="BE43" s="120"/>
      <c r="BF43" s="120"/>
      <c r="BG43" s="120"/>
      <c r="BH43" s="120"/>
      <c r="BI43" s="120"/>
      <c r="BJ43" s="120"/>
      <c r="BK43" s="120"/>
      <c r="BL43" s="120"/>
      <c r="BM43" s="120"/>
      <c r="BN43" s="120"/>
      <c r="BO43" s="120"/>
      <c r="BP43" s="120"/>
      <c r="BQ43" s="120"/>
      <c r="BR43" s="120"/>
      <c r="BS43" s="120"/>
      <c r="BT43" s="120"/>
      <c r="BU43" s="120"/>
      <c r="BV43" s="120"/>
      <c r="BW43" s="120"/>
      <c r="BX43" s="120"/>
      <c r="BY43" s="120"/>
      <c r="BZ43" s="120"/>
      <c r="CA43" s="120"/>
      <c r="CB43" s="120"/>
      <c r="CC43" s="120"/>
      <c r="CD43" s="120"/>
      <c r="CE43" s="120"/>
      <c r="CF43" s="120"/>
      <c r="CG43" s="120"/>
      <c r="CH43" s="120"/>
      <c r="CI43" s="120"/>
      <c r="CJ43" s="120"/>
      <c r="CK43" s="120"/>
      <c r="CL43" s="120"/>
      <c r="CM43" s="120"/>
      <c r="CN43" s="120"/>
      <c r="CO43" s="120"/>
      <c r="CP43" s="120"/>
      <c r="CQ43" s="120"/>
      <c r="CR43" s="120"/>
      <c r="CS43" s="120"/>
      <c r="CT43" s="120"/>
      <c r="CU43" s="120"/>
      <c r="CV43" s="120"/>
      <c r="CW43" s="120"/>
      <c r="CX43" s="120"/>
      <c r="CY43" s="120"/>
      <c r="CZ43" s="120"/>
      <c r="DA43" s="120"/>
      <c r="DB43" s="120"/>
      <c r="DC43" s="120"/>
      <c r="DD43" s="120"/>
      <c r="DE43" s="120"/>
      <c r="DF43" s="120"/>
      <c r="DG43" s="120"/>
      <c r="DH43" s="120"/>
      <c r="DI43" s="120"/>
      <c r="DJ43" s="120"/>
      <c r="DK43" s="120"/>
      <c r="DL43" s="120"/>
      <c r="DM43" s="120"/>
      <c r="DN43" s="120"/>
      <c r="DO43" s="120"/>
      <c r="DP43" s="120"/>
      <c r="DQ43" s="120"/>
      <c r="DR43" s="120"/>
      <c r="DS43" s="120"/>
      <c r="DT43" s="120"/>
      <c r="DU43" s="120"/>
      <c r="DV43" s="120"/>
      <c r="DW43" s="120"/>
      <c r="DX43" s="120"/>
      <c r="DY43" s="120"/>
      <c r="DZ43" s="120"/>
      <c r="EA43" s="120"/>
      <c r="EB43" s="120"/>
      <c r="EC43" s="120"/>
      <c r="ED43" s="120"/>
      <c r="EE43" s="120"/>
      <c r="EF43" s="120"/>
      <c r="EG43" s="120"/>
      <c r="EH43" s="120"/>
      <c r="EI43" s="120"/>
      <c r="EJ43" s="120"/>
      <c r="EK43" s="120"/>
      <c r="EL43" s="120"/>
      <c r="EM43" s="120"/>
      <c r="EN43" s="120"/>
      <c r="EO43" s="120"/>
      <c r="EP43" s="120"/>
    </row>
    <row r="44" spans="1:146" s="118" customFormat="1" ht="45" customHeight="1">
      <c r="A44" s="111" t="s">
        <v>1007</v>
      </c>
      <c r="B44" s="111"/>
      <c r="C44" s="112" t="s">
        <v>859</v>
      </c>
      <c r="D44" s="112">
        <v>2011</v>
      </c>
      <c r="E44" s="112">
        <v>2011</v>
      </c>
      <c r="F44" s="112" t="s">
        <v>1008</v>
      </c>
      <c r="G44" s="113" t="s">
        <v>677</v>
      </c>
      <c r="H44" s="113" t="s">
        <v>1009</v>
      </c>
      <c r="I44" s="112" t="s">
        <v>57</v>
      </c>
      <c r="J44" s="112" t="s">
        <v>31</v>
      </c>
      <c r="K44" s="112"/>
      <c r="L44" s="114"/>
      <c r="M44" s="112"/>
      <c r="N44" s="112" t="s">
        <v>31</v>
      </c>
      <c r="O44" s="112"/>
      <c r="P44" s="112"/>
      <c r="Q44" s="112"/>
      <c r="R44" s="112"/>
      <c r="S44" s="115" t="s">
        <v>1010</v>
      </c>
      <c r="T44" s="112" t="s">
        <v>945</v>
      </c>
      <c r="U44" s="113"/>
      <c r="V44" s="112"/>
      <c r="W44" s="112"/>
      <c r="X44" s="117"/>
      <c r="Z44" s="120" t="s">
        <v>33</v>
      </c>
      <c r="AA44" s="120"/>
      <c r="AB44" s="120"/>
      <c r="AC44" s="120"/>
      <c r="AD44" s="120"/>
      <c r="AE44" s="120"/>
      <c r="AF44" s="120"/>
      <c r="AG44" s="120"/>
      <c r="AH44" s="120"/>
      <c r="AI44" s="120"/>
      <c r="AJ44" s="120"/>
      <c r="AK44" s="120"/>
      <c r="AL44" s="120"/>
      <c r="AM44" s="120"/>
      <c r="AN44" s="120"/>
      <c r="AO44" s="120"/>
      <c r="AP44" s="120"/>
      <c r="AQ44" s="120"/>
      <c r="AR44" s="120"/>
      <c r="AS44" s="120"/>
      <c r="AT44" s="120"/>
      <c r="AU44" s="120"/>
      <c r="AV44" s="120"/>
      <c r="AW44" s="120"/>
      <c r="AX44" s="120"/>
      <c r="AY44" s="120"/>
      <c r="AZ44" s="120"/>
      <c r="BA44" s="120"/>
      <c r="BB44" s="120"/>
      <c r="BC44" s="120"/>
      <c r="BD44" s="120"/>
      <c r="BE44" s="120"/>
      <c r="BF44" s="120"/>
      <c r="BG44" s="120"/>
      <c r="BH44" s="120"/>
      <c r="BI44" s="120"/>
      <c r="BJ44" s="120"/>
      <c r="BK44" s="120"/>
      <c r="BL44" s="120"/>
      <c r="BM44" s="120"/>
      <c r="BN44" s="120"/>
      <c r="BO44" s="120"/>
      <c r="BP44" s="120"/>
      <c r="BQ44" s="120"/>
      <c r="BR44" s="120"/>
      <c r="BS44" s="120"/>
      <c r="BT44" s="120"/>
      <c r="BU44" s="120"/>
      <c r="BV44" s="120"/>
      <c r="BW44" s="120"/>
      <c r="BX44" s="120"/>
      <c r="BY44" s="120"/>
      <c r="BZ44" s="120"/>
      <c r="CA44" s="120"/>
      <c r="CB44" s="120"/>
      <c r="CC44" s="120"/>
      <c r="CD44" s="120"/>
      <c r="CE44" s="120"/>
      <c r="CF44" s="120"/>
      <c r="CG44" s="120"/>
      <c r="CH44" s="120"/>
      <c r="CI44" s="120"/>
      <c r="CJ44" s="120"/>
      <c r="CK44" s="120"/>
      <c r="CL44" s="120"/>
      <c r="CM44" s="120"/>
      <c r="CN44" s="120"/>
      <c r="CO44" s="120"/>
      <c r="CP44" s="120"/>
      <c r="CQ44" s="120"/>
      <c r="CR44" s="120"/>
      <c r="CS44" s="120"/>
      <c r="CT44" s="120"/>
      <c r="CU44" s="120"/>
      <c r="CV44" s="120"/>
      <c r="CW44" s="120"/>
      <c r="CX44" s="120"/>
      <c r="CY44" s="120"/>
      <c r="CZ44" s="120"/>
      <c r="DA44" s="120"/>
      <c r="DB44" s="120"/>
      <c r="DC44" s="120"/>
      <c r="DD44" s="120"/>
      <c r="DE44" s="120"/>
      <c r="DF44" s="120"/>
      <c r="DG44" s="120"/>
      <c r="DH44" s="120"/>
      <c r="DI44" s="120"/>
      <c r="DJ44" s="120"/>
      <c r="DK44" s="120"/>
      <c r="DL44" s="120"/>
      <c r="DM44" s="120"/>
      <c r="DN44" s="120"/>
      <c r="DO44" s="120"/>
      <c r="DP44" s="120"/>
      <c r="DQ44" s="120"/>
      <c r="DR44" s="120"/>
      <c r="DS44" s="120"/>
      <c r="DT44" s="120"/>
      <c r="DU44" s="120"/>
      <c r="DV44" s="120"/>
      <c r="DW44" s="120"/>
      <c r="DX44" s="120"/>
      <c r="DY44" s="120"/>
      <c r="DZ44" s="120"/>
      <c r="EA44" s="120"/>
      <c r="EB44" s="120"/>
      <c r="EC44" s="120"/>
      <c r="ED44" s="120"/>
      <c r="EE44" s="120"/>
      <c r="EF44" s="120"/>
      <c r="EG44" s="120"/>
      <c r="EH44" s="120"/>
      <c r="EI44" s="120"/>
      <c r="EJ44" s="120"/>
      <c r="EK44" s="120"/>
      <c r="EL44" s="120"/>
      <c r="EM44" s="120"/>
      <c r="EN44" s="120"/>
      <c r="EO44" s="120"/>
      <c r="EP44" s="120"/>
    </row>
    <row r="45" spans="1:146" s="118" customFormat="1" ht="45" customHeight="1">
      <c r="A45" s="111" t="s">
        <v>1011</v>
      </c>
      <c r="B45" s="111"/>
      <c r="C45" s="112" t="s">
        <v>859</v>
      </c>
      <c r="D45" s="112">
        <v>2011</v>
      </c>
      <c r="E45" s="112">
        <v>2012</v>
      </c>
      <c r="F45" s="112" t="s">
        <v>458</v>
      </c>
      <c r="G45" s="113" t="s">
        <v>36</v>
      </c>
      <c r="H45" s="112" t="s">
        <v>459</v>
      </c>
      <c r="I45" s="112" t="s">
        <v>57</v>
      </c>
      <c r="J45" s="112" t="s">
        <v>31</v>
      </c>
      <c r="K45" s="112"/>
      <c r="L45" s="114"/>
      <c r="M45" s="112"/>
      <c r="N45" s="112" t="s">
        <v>31</v>
      </c>
      <c r="O45" s="112"/>
      <c r="P45" s="112"/>
      <c r="Q45" s="112"/>
      <c r="R45" s="112"/>
      <c r="S45" s="115" t="s">
        <v>1012</v>
      </c>
      <c r="T45" s="116" t="s">
        <v>862</v>
      </c>
      <c r="U45" s="113"/>
      <c r="V45" s="112"/>
      <c r="W45" s="112"/>
      <c r="X45" s="117"/>
      <c r="Z45" s="120" t="s">
        <v>33</v>
      </c>
      <c r="AA45" s="120"/>
      <c r="AB45" s="120"/>
      <c r="AC45" s="120"/>
      <c r="AD45" s="120"/>
      <c r="AE45" s="120"/>
      <c r="AF45" s="120"/>
      <c r="AG45" s="120"/>
      <c r="AH45" s="120"/>
      <c r="AI45" s="120"/>
      <c r="AJ45" s="120"/>
      <c r="AK45" s="120"/>
      <c r="AL45" s="120"/>
      <c r="AM45" s="120"/>
      <c r="AN45" s="120"/>
      <c r="AO45" s="120"/>
      <c r="AP45" s="120"/>
      <c r="AQ45" s="120"/>
      <c r="AR45" s="120"/>
      <c r="AS45" s="120"/>
      <c r="AT45" s="120"/>
      <c r="AU45" s="120"/>
      <c r="AV45" s="120"/>
      <c r="AW45" s="120"/>
      <c r="AX45" s="120"/>
      <c r="AY45" s="120"/>
      <c r="AZ45" s="120"/>
      <c r="BA45" s="120"/>
      <c r="BB45" s="120"/>
      <c r="BC45" s="120"/>
      <c r="BD45" s="120"/>
      <c r="BE45" s="120"/>
      <c r="BF45" s="120"/>
      <c r="BG45" s="120"/>
      <c r="BH45" s="120"/>
      <c r="BI45" s="120"/>
      <c r="BJ45" s="120"/>
      <c r="BK45" s="120"/>
      <c r="BL45" s="120"/>
      <c r="BM45" s="120"/>
      <c r="BN45" s="120"/>
      <c r="BO45" s="120"/>
      <c r="BP45" s="120"/>
      <c r="BQ45" s="120"/>
      <c r="BR45" s="120"/>
      <c r="BS45" s="120"/>
      <c r="BT45" s="120"/>
      <c r="BU45" s="120"/>
      <c r="BV45" s="120"/>
      <c r="BW45" s="120"/>
      <c r="BX45" s="120"/>
      <c r="BY45" s="120"/>
      <c r="BZ45" s="120"/>
      <c r="CA45" s="120"/>
      <c r="CB45" s="120"/>
      <c r="CC45" s="120"/>
      <c r="CD45" s="120"/>
      <c r="CE45" s="120"/>
      <c r="CF45" s="120"/>
      <c r="CG45" s="120"/>
      <c r="CH45" s="120"/>
      <c r="CI45" s="120"/>
      <c r="CJ45" s="120"/>
      <c r="CK45" s="120"/>
      <c r="CL45" s="120"/>
      <c r="CM45" s="120"/>
      <c r="CN45" s="120"/>
      <c r="CO45" s="120"/>
      <c r="CP45" s="120"/>
      <c r="CQ45" s="120"/>
      <c r="CR45" s="120"/>
      <c r="CS45" s="120"/>
      <c r="CT45" s="120"/>
      <c r="CU45" s="120"/>
      <c r="CV45" s="120"/>
      <c r="CW45" s="120"/>
      <c r="CX45" s="120"/>
      <c r="CY45" s="120"/>
      <c r="CZ45" s="120"/>
      <c r="DA45" s="120"/>
      <c r="DB45" s="120"/>
      <c r="DC45" s="120"/>
      <c r="DD45" s="120"/>
      <c r="DE45" s="120"/>
      <c r="DF45" s="120"/>
      <c r="DG45" s="120"/>
      <c r="DH45" s="120"/>
      <c r="DI45" s="120"/>
      <c r="DJ45" s="120"/>
      <c r="DK45" s="120"/>
      <c r="DL45" s="120"/>
      <c r="DM45" s="120"/>
      <c r="DN45" s="120"/>
      <c r="DO45" s="120"/>
      <c r="DP45" s="120"/>
      <c r="DQ45" s="120"/>
      <c r="DR45" s="120"/>
      <c r="DS45" s="120"/>
      <c r="DT45" s="120"/>
      <c r="DU45" s="120"/>
      <c r="DV45" s="120"/>
      <c r="DW45" s="120"/>
      <c r="DX45" s="120"/>
      <c r="DY45" s="120"/>
      <c r="DZ45" s="120"/>
      <c r="EA45" s="120"/>
      <c r="EB45" s="120"/>
      <c r="EC45" s="120"/>
      <c r="ED45" s="120"/>
      <c r="EE45" s="120"/>
      <c r="EF45" s="120"/>
      <c r="EG45" s="120"/>
      <c r="EH45" s="120"/>
      <c r="EI45" s="120"/>
      <c r="EJ45" s="120"/>
      <c r="EK45" s="120"/>
      <c r="EL45" s="120"/>
      <c r="EM45" s="120"/>
      <c r="EN45" s="120"/>
      <c r="EO45" s="120"/>
      <c r="EP45" s="120"/>
    </row>
    <row r="46" spans="1:146" s="118" customFormat="1" ht="45" customHeight="1">
      <c r="A46" s="111" t="s">
        <v>1013</v>
      </c>
      <c r="B46" s="111"/>
      <c r="C46" s="112" t="s">
        <v>859</v>
      </c>
      <c r="D46" s="112">
        <v>2011</v>
      </c>
      <c r="E46" s="112">
        <v>2011</v>
      </c>
      <c r="F46" s="112"/>
      <c r="G46" s="113" t="s">
        <v>271</v>
      </c>
      <c r="H46" s="112" t="s">
        <v>1014</v>
      </c>
      <c r="I46" s="112" t="s">
        <v>57</v>
      </c>
      <c r="J46" s="112" t="s">
        <v>31</v>
      </c>
      <c r="K46" s="112"/>
      <c r="L46" s="114"/>
      <c r="M46" s="112"/>
      <c r="N46" s="112" t="s">
        <v>31</v>
      </c>
      <c r="O46" s="112"/>
      <c r="P46" s="112"/>
      <c r="Q46" s="112"/>
      <c r="R46" s="112"/>
      <c r="S46" s="115" t="s">
        <v>1015</v>
      </c>
      <c r="T46" s="116" t="s">
        <v>862</v>
      </c>
      <c r="U46" s="113"/>
      <c r="V46" s="112"/>
      <c r="W46" s="112"/>
      <c r="X46" s="119"/>
      <c r="Z46" s="120" t="s">
        <v>33</v>
      </c>
      <c r="AA46" s="120"/>
      <c r="AB46" s="120"/>
      <c r="AC46" s="120"/>
      <c r="AD46" s="120"/>
      <c r="AE46" s="120"/>
      <c r="AF46" s="120"/>
      <c r="AG46" s="120"/>
      <c r="AH46" s="120"/>
      <c r="AI46" s="120"/>
      <c r="AJ46" s="120"/>
      <c r="AK46" s="120"/>
      <c r="AL46" s="120"/>
      <c r="AM46" s="120"/>
      <c r="AN46" s="120"/>
      <c r="AO46" s="120"/>
      <c r="AP46" s="120"/>
      <c r="AQ46" s="120"/>
      <c r="AR46" s="120"/>
      <c r="AS46" s="120"/>
      <c r="AT46" s="120"/>
      <c r="AU46" s="120"/>
      <c r="AV46" s="120"/>
      <c r="AW46" s="120"/>
      <c r="AX46" s="120"/>
      <c r="AY46" s="120"/>
      <c r="AZ46" s="120"/>
      <c r="BA46" s="120"/>
      <c r="BB46" s="120"/>
      <c r="BC46" s="120"/>
      <c r="BD46" s="120"/>
      <c r="BE46" s="120"/>
      <c r="BF46" s="120"/>
      <c r="BG46" s="120"/>
      <c r="BH46" s="120"/>
      <c r="BI46" s="120"/>
      <c r="BJ46" s="120"/>
      <c r="BK46" s="120"/>
      <c r="BL46" s="120"/>
      <c r="BM46" s="120"/>
      <c r="BN46" s="120"/>
      <c r="BO46" s="120"/>
      <c r="BP46" s="120"/>
      <c r="BQ46" s="120"/>
      <c r="BR46" s="120"/>
      <c r="BS46" s="120"/>
      <c r="BT46" s="120"/>
      <c r="BU46" s="120"/>
      <c r="BV46" s="120"/>
      <c r="BW46" s="120"/>
      <c r="BX46" s="120"/>
      <c r="BY46" s="120"/>
      <c r="BZ46" s="120"/>
      <c r="CA46" s="120"/>
      <c r="CB46" s="120"/>
      <c r="CC46" s="120"/>
      <c r="CD46" s="120"/>
      <c r="CE46" s="120"/>
      <c r="CF46" s="120"/>
      <c r="CG46" s="120"/>
      <c r="CH46" s="120"/>
      <c r="CI46" s="120"/>
      <c r="CJ46" s="120"/>
      <c r="CK46" s="120"/>
      <c r="CL46" s="120"/>
      <c r="CM46" s="120"/>
      <c r="CN46" s="120"/>
      <c r="CO46" s="120"/>
      <c r="CP46" s="120"/>
      <c r="CQ46" s="120"/>
      <c r="CR46" s="120"/>
      <c r="CS46" s="120"/>
      <c r="CT46" s="120"/>
      <c r="CU46" s="120"/>
      <c r="CV46" s="120"/>
      <c r="CW46" s="120"/>
      <c r="CX46" s="120"/>
      <c r="CY46" s="120"/>
      <c r="CZ46" s="120"/>
      <c r="DA46" s="120"/>
      <c r="DB46" s="120"/>
      <c r="DC46" s="120"/>
      <c r="DD46" s="120"/>
      <c r="DE46" s="120"/>
      <c r="DF46" s="120"/>
      <c r="DG46" s="120"/>
      <c r="DH46" s="120"/>
      <c r="DI46" s="120"/>
      <c r="DJ46" s="120"/>
      <c r="DK46" s="120"/>
      <c r="DL46" s="120"/>
      <c r="DM46" s="120"/>
      <c r="DN46" s="120"/>
      <c r="DO46" s="120"/>
      <c r="DP46" s="120"/>
      <c r="DQ46" s="120"/>
      <c r="DR46" s="120"/>
      <c r="DS46" s="120"/>
      <c r="DT46" s="120"/>
      <c r="DU46" s="120"/>
      <c r="DV46" s="120"/>
      <c r="DW46" s="120"/>
      <c r="DX46" s="120"/>
      <c r="DY46" s="120"/>
      <c r="DZ46" s="120"/>
      <c r="EA46" s="120"/>
      <c r="EB46" s="120"/>
      <c r="EC46" s="120"/>
      <c r="ED46" s="120"/>
      <c r="EE46" s="120"/>
      <c r="EF46" s="120"/>
      <c r="EG46" s="120"/>
      <c r="EH46" s="120"/>
      <c r="EI46" s="120"/>
      <c r="EJ46" s="120"/>
      <c r="EK46" s="120"/>
      <c r="EL46" s="120"/>
      <c r="EM46" s="120"/>
      <c r="EN46" s="120"/>
      <c r="EO46" s="120"/>
      <c r="EP46" s="120"/>
    </row>
    <row r="47" spans="1:146" s="118" customFormat="1" ht="45" customHeight="1">
      <c r="A47" s="111" t="s">
        <v>1016</v>
      </c>
      <c r="B47" s="111"/>
      <c r="C47" s="112" t="s">
        <v>859</v>
      </c>
      <c r="D47" s="112">
        <v>2011</v>
      </c>
      <c r="E47" s="112">
        <v>2012</v>
      </c>
      <c r="F47" s="112" t="s">
        <v>1017</v>
      </c>
      <c r="G47" s="113" t="s">
        <v>271</v>
      </c>
      <c r="H47" s="112" t="s">
        <v>1018</v>
      </c>
      <c r="I47" s="112" t="s">
        <v>57</v>
      </c>
      <c r="J47" s="112" t="s">
        <v>31</v>
      </c>
      <c r="K47" s="112"/>
      <c r="L47" s="114"/>
      <c r="M47" s="112"/>
      <c r="N47" s="112" t="s">
        <v>31</v>
      </c>
      <c r="O47" s="112"/>
      <c r="P47" s="112"/>
      <c r="Q47" s="112"/>
      <c r="R47" s="112"/>
      <c r="S47" s="115" t="s">
        <v>1019</v>
      </c>
      <c r="T47" s="116" t="s">
        <v>862</v>
      </c>
      <c r="U47" s="113"/>
      <c r="V47" s="112"/>
      <c r="W47" s="112"/>
      <c r="X47" s="119"/>
      <c r="Y47" s="120"/>
      <c r="Z47" s="120" t="s">
        <v>33</v>
      </c>
      <c r="AA47" s="120"/>
      <c r="AB47" s="120"/>
      <c r="AC47" s="120"/>
      <c r="AD47" s="120"/>
      <c r="AE47" s="120"/>
      <c r="AF47" s="120"/>
      <c r="AG47" s="120"/>
      <c r="AH47" s="120"/>
      <c r="AI47" s="120"/>
      <c r="AJ47" s="120"/>
      <c r="AK47" s="120"/>
      <c r="AL47" s="120"/>
      <c r="AM47" s="120"/>
      <c r="AN47" s="120"/>
      <c r="AO47" s="120"/>
      <c r="AP47" s="120"/>
      <c r="AQ47" s="120"/>
      <c r="AR47" s="120"/>
      <c r="AS47" s="120"/>
      <c r="AT47" s="120"/>
      <c r="AU47" s="120"/>
      <c r="AV47" s="120"/>
      <c r="AW47" s="120"/>
      <c r="AX47" s="120"/>
      <c r="AY47" s="120"/>
      <c r="AZ47" s="120"/>
      <c r="BA47" s="120"/>
      <c r="BB47" s="120"/>
      <c r="BC47" s="120"/>
      <c r="BD47" s="120"/>
      <c r="BE47" s="120"/>
      <c r="BF47" s="120"/>
      <c r="BG47" s="120"/>
      <c r="BH47" s="120"/>
      <c r="BI47" s="120"/>
      <c r="BJ47" s="120"/>
      <c r="BK47" s="120"/>
      <c r="BL47" s="120"/>
      <c r="BM47" s="120"/>
      <c r="BN47" s="120"/>
      <c r="BO47" s="120"/>
      <c r="BP47" s="120"/>
      <c r="BQ47" s="120"/>
      <c r="BR47" s="120"/>
      <c r="BS47" s="120"/>
      <c r="BT47" s="120"/>
      <c r="BU47" s="120"/>
      <c r="BV47" s="120"/>
      <c r="BW47" s="120"/>
      <c r="BX47" s="120"/>
      <c r="BY47" s="120"/>
      <c r="BZ47" s="120"/>
      <c r="CA47" s="120"/>
      <c r="CB47" s="120"/>
      <c r="CC47" s="120"/>
      <c r="CD47" s="120"/>
      <c r="CE47" s="120"/>
      <c r="CF47" s="120"/>
      <c r="CG47" s="120"/>
      <c r="CH47" s="120"/>
      <c r="CI47" s="120"/>
      <c r="CJ47" s="120"/>
      <c r="CK47" s="120"/>
      <c r="CL47" s="120"/>
      <c r="CM47" s="120"/>
      <c r="CN47" s="120"/>
      <c r="CO47" s="120"/>
      <c r="CP47" s="120"/>
      <c r="CQ47" s="120"/>
      <c r="CR47" s="120"/>
      <c r="CS47" s="120"/>
      <c r="CT47" s="120"/>
      <c r="CU47" s="120"/>
      <c r="CV47" s="120"/>
      <c r="CW47" s="120"/>
      <c r="CX47" s="120"/>
      <c r="CY47" s="120"/>
      <c r="CZ47" s="120"/>
      <c r="DA47" s="120"/>
      <c r="DB47" s="120"/>
      <c r="DC47" s="120"/>
      <c r="DD47" s="120"/>
      <c r="DE47" s="120"/>
      <c r="DF47" s="120"/>
      <c r="DG47" s="120"/>
      <c r="DH47" s="120"/>
      <c r="DI47" s="120"/>
      <c r="DJ47" s="120"/>
      <c r="DK47" s="120"/>
      <c r="DL47" s="120"/>
      <c r="DM47" s="120"/>
      <c r="DN47" s="120"/>
      <c r="DO47" s="120"/>
      <c r="DP47" s="120"/>
      <c r="DQ47" s="120"/>
      <c r="DR47" s="120"/>
      <c r="DS47" s="120"/>
      <c r="DT47" s="120"/>
      <c r="DU47" s="120"/>
      <c r="DV47" s="120"/>
      <c r="DW47" s="120"/>
      <c r="DX47" s="120"/>
      <c r="DY47" s="120"/>
      <c r="DZ47" s="120"/>
      <c r="EA47" s="120"/>
      <c r="EB47" s="120"/>
      <c r="EC47" s="120"/>
      <c r="ED47" s="120"/>
      <c r="EE47" s="120"/>
      <c r="EF47" s="120"/>
      <c r="EG47" s="120"/>
      <c r="EH47" s="120"/>
      <c r="EI47" s="120"/>
      <c r="EJ47" s="120"/>
      <c r="EK47" s="120"/>
      <c r="EL47" s="120"/>
      <c r="EM47" s="120"/>
      <c r="EN47" s="120"/>
      <c r="EO47" s="120"/>
      <c r="EP47" s="120"/>
    </row>
    <row r="48" spans="1:146" s="118" customFormat="1" ht="45" customHeight="1">
      <c r="A48" s="111" t="s">
        <v>1020</v>
      </c>
      <c r="B48" s="111"/>
      <c r="C48" s="112" t="s">
        <v>859</v>
      </c>
      <c r="D48" s="112">
        <v>2011</v>
      </c>
      <c r="E48" s="112">
        <v>2011</v>
      </c>
      <c r="F48" s="112" t="s">
        <v>1021</v>
      </c>
      <c r="G48" s="113" t="s">
        <v>36</v>
      </c>
      <c r="H48" s="112" t="s">
        <v>1022</v>
      </c>
      <c r="I48" s="112" t="s">
        <v>57</v>
      </c>
      <c r="J48" s="112" t="s">
        <v>31</v>
      </c>
      <c r="K48" s="112"/>
      <c r="L48" s="114"/>
      <c r="M48" s="112"/>
      <c r="N48" s="112" t="s">
        <v>31</v>
      </c>
      <c r="O48" s="112"/>
      <c r="P48" s="112"/>
      <c r="Q48" s="112"/>
      <c r="R48" s="112"/>
      <c r="S48" s="115" t="s">
        <v>1023</v>
      </c>
      <c r="T48" s="116" t="s">
        <v>862</v>
      </c>
      <c r="U48" s="113"/>
      <c r="V48" s="112"/>
      <c r="W48" s="112"/>
      <c r="X48" s="119"/>
      <c r="Z48" s="120" t="s">
        <v>33</v>
      </c>
      <c r="AA48" s="120"/>
      <c r="AB48" s="120"/>
      <c r="AC48" s="120"/>
      <c r="AD48" s="120"/>
      <c r="AE48" s="120"/>
      <c r="AF48" s="120"/>
      <c r="AG48" s="120"/>
      <c r="AH48" s="120"/>
      <c r="AI48" s="120"/>
      <c r="AJ48" s="120"/>
      <c r="AK48" s="120"/>
      <c r="AL48" s="120"/>
      <c r="AM48" s="120"/>
      <c r="AN48" s="120"/>
      <c r="AO48" s="120"/>
      <c r="AP48" s="120"/>
      <c r="AQ48" s="120"/>
      <c r="AR48" s="120"/>
      <c r="AS48" s="120"/>
      <c r="AT48" s="120"/>
      <c r="AU48" s="120"/>
      <c r="AV48" s="120"/>
      <c r="AW48" s="120"/>
      <c r="AX48" s="120"/>
      <c r="AY48" s="120"/>
      <c r="AZ48" s="120"/>
      <c r="BA48" s="120"/>
      <c r="BB48" s="120"/>
      <c r="BC48" s="120"/>
      <c r="BD48" s="120"/>
      <c r="BE48" s="120"/>
      <c r="BF48" s="120"/>
      <c r="BG48" s="120"/>
      <c r="BH48" s="120"/>
      <c r="BI48" s="120"/>
      <c r="BJ48" s="120"/>
      <c r="BK48" s="120"/>
      <c r="BL48" s="120"/>
      <c r="BM48" s="120"/>
      <c r="BN48" s="120"/>
      <c r="BO48" s="120"/>
      <c r="BP48" s="120"/>
      <c r="BQ48" s="120"/>
      <c r="BR48" s="120"/>
      <c r="BS48" s="120"/>
      <c r="BT48" s="120"/>
      <c r="BU48" s="120"/>
      <c r="BV48" s="120"/>
      <c r="BW48" s="120"/>
      <c r="BX48" s="120"/>
      <c r="BY48" s="120"/>
      <c r="BZ48" s="120"/>
      <c r="CA48" s="120"/>
      <c r="CB48" s="120"/>
      <c r="CC48" s="120"/>
      <c r="CD48" s="120"/>
      <c r="CE48" s="120"/>
      <c r="CF48" s="120"/>
      <c r="CG48" s="120"/>
      <c r="CH48" s="120"/>
      <c r="CI48" s="120"/>
      <c r="CJ48" s="120"/>
      <c r="CK48" s="120"/>
      <c r="CL48" s="120"/>
      <c r="CM48" s="120"/>
      <c r="CN48" s="120"/>
      <c r="CO48" s="120"/>
      <c r="CP48" s="120"/>
      <c r="CQ48" s="120"/>
      <c r="CR48" s="120"/>
      <c r="CS48" s="120"/>
      <c r="CT48" s="120"/>
      <c r="CU48" s="120"/>
      <c r="CV48" s="120"/>
      <c r="CW48" s="120"/>
      <c r="CX48" s="120"/>
      <c r="CY48" s="120"/>
      <c r="CZ48" s="120"/>
      <c r="DA48" s="120"/>
      <c r="DB48" s="120"/>
      <c r="DC48" s="120"/>
      <c r="DD48" s="120"/>
      <c r="DE48" s="120"/>
      <c r="DF48" s="120"/>
      <c r="DG48" s="120"/>
      <c r="DH48" s="120"/>
      <c r="DI48" s="120"/>
      <c r="DJ48" s="120"/>
      <c r="DK48" s="120"/>
      <c r="DL48" s="120"/>
      <c r="DM48" s="120"/>
      <c r="DN48" s="120"/>
      <c r="DO48" s="120"/>
      <c r="DP48" s="120"/>
      <c r="DQ48" s="120"/>
      <c r="DR48" s="120"/>
      <c r="DS48" s="120"/>
      <c r="DT48" s="120"/>
      <c r="DU48" s="120"/>
      <c r="DV48" s="120"/>
      <c r="DW48" s="120"/>
      <c r="DX48" s="120"/>
      <c r="DY48" s="120"/>
      <c r="DZ48" s="120"/>
      <c r="EA48" s="120"/>
      <c r="EB48" s="120"/>
      <c r="EC48" s="120"/>
      <c r="ED48" s="120"/>
      <c r="EE48" s="120"/>
      <c r="EF48" s="120"/>
      <c r="EG48" s="120"/>
      <c r="EH48" s="120"/>
      <c r="EI48" s="120"/>
      <c r="EJ48" s="120"/>
      <c r="EK48" s="120"/>
      <c r="EL48" s="120"/>
      <c r="EM48" s="120"/>
      <c r="EN48" s="120"/>
      <c r="EO48" s="120"/>
      <c r="EP48" s="120"/>
    </row>
    <row r="49" spans="1:146" s="118" customFormat="1" ht="45" customHeight="1">
      <c r="A49" s="126" t="s">
        <v>1041</v>
      </c>
      <c r="B49" s="126"/>
      <c r="C49" s="121" t="s">
        <v>859</v>
      </c>
      <c r="D49" s="121">
        <v>2012</v>
      </c>
      <c r="E49" s="121">
        <v>2012</v>
      </c>
      <c r="F49" s="121"/>
      <c r="G49" s="127" t="s">
        <v>271</v>
      </c>
      <c r="H49" s="121" t="s">
        <v>1014</v>
      </c>
      <c r="I49" s="121" t="s">
        <v>57</v>
      </c>
      <c r="J49" s="121" t="s">
        <v>31</v>
      </c>
      <c r="K49" s="121"/>
      <c r="L49" s="128"/>
      <c r="M49" s="121"/>
      <c r="N49" s="121" t="s">
        <v>31</v>
      </c>
      <c r="O49" s="121"/>
      <c r="P49" s="121"/>
      <c r="Q49" s="121"/>
      <c r="R49" s="121"/>
      <c r="S49" s="124" t="s">
        <v>1042</v>
      </c>
      <c r="T49" s="129"/>
      <c r="U49" s="127"/>
      <c r="V49" s="121"/>
      <c r="W49" s="121"/>
      <c r="X49" s="130" t="s">
        <v>1043</v>
      </c>
      <c r="Y49" s="118" t="s">
        <v>1044</v>
      </c>
      <c r="Z49" s="120" t="s">
        <v>33</v>
      </c>
      <c r="AA49" s="120"/>
      <c r="AB49" s="120"/>
      <c r="AC49" s="120"/>
      <c r="AD49" s="120"/>
      <c r="AE49" s="120"/>
      <c r="AF49" s="120"/>
      <c r="AG49" s="120"/>
      <c r="AH49" s="120"/>
      <c r="AI49" s="120"/>
      <c r="AJ49" s="120"/>
      <c r="AK49" s="120"/>
      <c r="AL49" s="120"/>
      <c r="AM49" s="120"/>
      <c r="AN49" s="120"/>
      <c r="AO49" s="120"/>
      <c r="AP49" s="120"/>
      <c r="AQ49" s="120"/>
      <c r="AR49" s="120"/>
      <c r="AS49" s="120"/>
      <c r="AT49" s="120"/>
      <c r="AU49" s="120"/>
      <c r="AV49" s="120"/>
      <c r="AW49" s="120"/>
      <c r="AX49" s="120"/>
      <c r="AY49" s="120"/>
      <c r="AZ49" s="120"/>
      <c r="BA49" s="120"/>
      <c r="BB49" s="120"/>
      <c r="BC49" s="120"/>
      <c r="BD49" s="120"/>
      <c r="BE49" s="120"/>
      <c r="BF49" s="120"/>
      <c r="BG49" s="120"/>
      <c r="BH49" s="120"/>
      <c r="BI49" s="120"/>
      <c r="BJ49" s="120"/>
      <c r="BK49" s="120"/>
      <c r="BL49" s="120"/>
      <c r="BM49" s="120"/>
      <c r="BN49" s="120"/>
      <c r="BO49" s="120"/>
      <c r="BP49" s="120"/>
      <c r="BQ49" s="120"/>
      <c r="BR49" s="120"/>
      <c r="BS49" s="120"/>
      <c r="BT49" s="120"/>
      <c r="BU49" s="120"/>
      <c r="BV49" s="120"/>
      <c r="BW49" s="120"/>
      <c r="BX49" s="120"/>
      <c r="BY49" s="120"/>
      <c r="BZ49" s="120"/>
      <c r="CA49" s="120"/>
      <c r="CB49" s="120"/>
      <c r="CC49" s="120"/>
      <c r="CD49" s="120"/>
      <c r="CE49" s="120"/>
      <c r="CF49" s="120"/>
      <c r="CG49" s="120"/>
      <c r="CH49" s="120"/>
      <c r="CI49" s="120"/>
      <c r="CJ49" s="120"/>
      <c r="CK49" s="120"/>
      <c r="CL49" s="120"/>
      <c r="CM49" s="120"/>
      <c r="CN49" s="120"/>
      <c r="CO49" s="120"/>
      <c r="CP49" s="120"/>
      <c r="CQ49" s="120"/>
      <c r="CR49" s="120"/>
      <c r="CS49" s="120"/>
      <c r="CT49" s="120"/>
      <c r="CU49" s="120"/>
      <c r="CV49" s="120"/>
      <c r="CW49" s="120"/>
      <c r="CX49" s="120"/>
      <c r="CY49" s="120"/>
      <c r="CZ49" s="120"/>
      <c r="DA49" s="120"/>
      <c r="DB49" s="120"/>
      <c r="DC49" s="120"/>
      <c r="DD49" s="120"/>
      <c r="DE49" s="120"/>
      <c r="DF49" s="120"/>
      <c r="DG49" s="120"/>
      <c r="DH49" s="120"/>
      <c r="DI49" s="120"/>
      <c r="DJ49" s="120"/>
      <c r="DK49" s="120"/>
      <c r="DL49" s="120"/>
      <c r="DM49" s="120"/>
      <c r="DN49" s="120"/>
      <c r="DO49" s="120"/>
      <c r="DP49" s="120"/>
      <c r="DQ49" s="120"/>
      <c r="DR49" s="120"/>
      <c r="DS49" s="120"/>
      <c r="DT49" s="120"/>
      <c r="DU49" s="120"/>
      <c r="DV49" s="120"/>
      <c r="DW49" s="120"/>
      <c r="DX49" s="120"/>
      <c r="DY49" s="120"/>
      <c r="DZ49" s="120"/>
      <c r="EA49" s="120"/>
      <c r="EB49" s="120"/>
      <c r="EC49" s="120"/>
      <c r="ED49" s="120"/>
      <c r="EE49" s="120"/>
      <c r="EF49" s="120"/>
      <c r="EG49" s="120"/>
      <c r="EH49" s="120"/>
      <c r="EI49" s="120"/>
      <c r="EJ49" s="120"/>
      <c r="EK49" s="120"/>
      <c r="EL49" s="120"/>
      <c r="EM49" s="120"/>
      <c r="EN49" s="120"/>
      <c r="EO49" s="120"/>
      <c r="EP49" s="120"/>
    </row>
    <row r="50" spans="1:146" s="118" customFormat="1" ht="45" customHeight="1">
      <c r="A50" s="126" t="s">
        <v>1045</v>
      </c>
      <c r="B50" s="126"/>
      <c r="C50" s="121" t="s">
        <v>859</v>
      </c>
      <c r="D50" s="121">
        <v>2012</v>
      </c>
      <c r="E50" s="121">
        <v>2012</v>
      </c>
      <c r="F50" s="121" t="s">
        <v>702</v>
      </c>
      <c r="G50" s="127" t="s">
        <v>271</v>
      </c>
      <c r="H50" s="121" t="s">
        <v>703</v>
      </c>
      <c r="I50" s="121" t="s">
        <v>57</v>
      </c>
      <c r="J50" s="121" t="s">
        <v>31</v>
      </c>
      <c r="K50" s="121"/>
      <c r="L50" s="128"/>
      <c r="M50" s="121"/>
      <c r="N50" s="121" t="s">
        <v>31</v>
      </c>
      <c r="O50" s="121"/>
      <c r="P50" s="121"/>
      <c r="Q50" s="121"/>
      <c r="R50" s="121"/>
      <c r="S50" s="124" t="s">
        <v>1046</v>
      </c>
      <c r="T50" s="123" t="s">
        <v>862</v>
      </c>
      <c r="U50" s="127"/>
      <c r="V50" s="121"/>
      <c r="W50" s="121"/>
      <c r="X50" s="117"/>
      <c r="Z50" s="120" t="s">
        <v>33</v>
      </c>
      <c r="AA50" s="120"/>
      <c r="AB50" s="120"/>
      <c r="AC50" s="120"/>
      <c r="AD50" s="120"/>
      <c r="AE50" s="120"/>
      <c r="AF50" s="120"/>
      <c r="AG50" s="120"/>
      <c r="AH50" s="120"/>
      <c r="AI50" s="120"/>
      <c r="AJ50" s="120"/>
      <c r="AK50" s="120"/>
      <c r="AL50" s="120"/>
      <c r="AM50" s="120"/>
      <c r="AN50" s="120"/>
      <c r="AO50" s="120"/>
      <c r="AP50" s="120"/>
      <c r="AQ50" s="120"/>
      <c r="AR50" s="120"/>
      <c r="AS50" s="120"/>
      <c r="AT50" s="120"/>
      <c r="AU50" s="120"/>
      <c r="AV50" s="120"/>
      <c r="AW50" s="120"/>
      <c r="AX50" s="120"/>
      <c r="AY50" s="120"/>
      <c r="AZ50" s="120"/>
      <c r="BA50" s="120"/>
      <c r="BB50" s="120"/>
      <c r="BC50" s="120"/>
      <c r="BD50" s="120"/>
      <c r="BE50" s="120"/>
      <c r="BF50" s="120"/>
      <c r="BG50" s="120"/>
      <c r="BH50" s="120"/>
      <c r="BI50" s="120"/>
      <c r="BJ50" s="120"/>
      <c r="BK50" s="120"/>
      <c r="BL50" s="120"/>
      <c r="BM50" s="120"/>
      <c r="BN50" s="120"/>
      <c r="BO50" s="120"/>
      <c r="BP50" s="120"/>
      <c r="BQ50" s="120"/>
      <c r="BR50" s="120"/>
      <c r="BS50" s="120"/>
      <c r="BT50" s="120"/>
      <c r="BU50" s="120"/>
      <c r="BV50" s="120"/>
      <c r="BW50" s="120"/>
      <c r="BX50" s="120"/>
      <c r="BY50" s="120"/>
      <c r="BZ50" s="120"/>
      <c r="CA50" s="120"/>
      <c r="CB50" s="120"/>
      <c r="CC50" s="120"/>
      <c r="CD50" s="120"/>
      <c r="CE50" s="120"/>
      <c r="CF50" s="120"/>
      <c r="CG50" s="120"/>
      <c r="CH50" s="120"/>
      <c r="CI50" s="120"/>
      <c r="CJ50" s="120"/>
      <c r="CK50" s="120"/>
      <c r="CL50" s="120"/>
      <c r="CM50" s="120"/>
      <c r="CN50" s="120"/>
      <c r="CO50" s="120"/>
      <c r="CP50" s="120"/>
      <c r="CQ50" s="120"/>
      <c r="CR50" s="120"/>
      <c r="CS50" s="120"/>
      <c r="CT50" s="120"/>
      <c r="CU50" s="120"/>
      <c r="CV50" s="120"/>
      <c r="CW50" s="120"/>
      <c r="CX50" s="120"/>
      <c r="CY50" s="120"/>
      <c r="CZ50" s="120"/>
      <c r="DA50" s="120"/>
      <c r="DB50" s="120"/>
      <c r="DC50" s="120"/>
      <c r="DD50" s="120"/>
      <c r="DE50" s="120"/>
      <c r="DF50" s="120"/>
      <c r="DG50" s="120"/>
      <c r="DH50" s="120"/>
      <c r="DI50" s="120"/>
      <c r="DJ50" s="120"/>
      <c r="DK50" s="120"/>
      <c r="DL50" s="120"/>
      <c r="DM50" s="120"/>
      <c r="DN50" s="120"/>
      <c r="DO50" s="120"/>
      <c r="DP50" s="120"/>
      <c r="DQ50" s="120"/>
      <c r="DR50" s="120"/>
      <c r="DS50" s="120"/>
      <c r="DT50" s="120"/>
      <c r="DU50" s="120"/>
      <c r="DV50" s="120"/>
      <c r="DW50" s="120"/>
      <c r="DX50" s="120"/>
      <c r="DY50" s="120"/>
      <c r="DZ50" s="120"/>
      <c r="EA50" s="120"/>
      <c r="EB50" s="120"/>
      <c r="EC50" s="120"/>
      <c r="ED50" s="120"/>
      <c r="EE50" s="120"/>
      <c r="EF50" s="120"/>
      <c r="EG50" s="120"/>
      <c r="EH50" s="120"/>
      <c r="EI50" s="120"/>
      <c r="EJ50" s="120"/>
      <c r="EK50" s="120"/>
      <c r="EL50" s="120"/>
      <c r="EM50" s="120"/>
      <c r="EN50" s="120"/>
      <c r="EO50" s="120"/>
      <c r="EP50" s="120"/>
    </row>
    <row r="51" spans="1:146" s="118" customFormat="1" ht="45" customHeight="1">
      <c r="A51" s="126" t="s">
        <v>1047</v>
      </c>
      <c r="B51" s="126"/>
      <c r="C51" s="121" t="s">
        <v>859</v>
      </c>
      <c r="D51" s="121">
        <v>2012</v>
      </c>
      <c r="E51" s="121">
        <v>2012</v>
      </c>
      <c r="F51" s="121" t="s">
        <v>184</v>
      </c>
      <c r="G51" s="127" t="s">
        <v>47</v>
      </c>
      <c r="H51" s="121" t="s">
        <v>185</v>
      </c>
      <c r="I51" s="121" t="s">
        <v>57</v>
      </c>
      <c r="J51" s="121" t="s">
        <v>31</v>
      </c>
      <c r="K51" s="121"/>
      <c r="L51" s="128"/>
      <c r="M51" s="121"/>
      <c r="N51" s="121" t="s">
        <v>31</v>
      </c>
      <c r="O51" s="121"/>
      <c r="P51" s="121"/>
      <c r="Q51" s="121"/>
      <c r="R51" s="121"/>
      <c r="S51" s="124" t="s">
        <v>1048</v>
      </c>
      <c r="T51" s="121" t="s">
        <v>945</v>
      </c>
      <c r="U51" s="127"/>
      <c r="V51" s="121"/>
      <c r="W51" s="121"/>
      <c r="X51" s="119"/>
      <c r="Z51" s="120" t="s">
        <v>33</v>
      </c>
      <c r="AA51" s="120"/>
      <c r="AB51" s="120"/>
      <c r="AC51" s="120"/>
      <c r="AD51" s="120"/>
      <c r="AE51" s="120"/>
      <c r="AF51" s="120"/>
      <c r="AG51" s="120"/>
      <c r="AH51" s="120"/>
      <c r="AI51" s="120"/>
      <c r="AJ51" s="120"/>
      <c r="AK51" s="120"/>
      <c r="AL51" s="120"/>
      <c r="AM51" s="120"/>
      <c r="AN51" s="120"/>
      <c r="AO51" s="120"/>
      <c r="AP51" s="120"/>
      <c r="AQ51" s="120"/>
      <c r="AR51" s="120"/>
      <c r="AS51" s="120"/>
      <c r="AT51" s="120"/>
      <c r="AU51" s="120"/>
      <c r="AV51" s="120"/>
      <c r="AW51" s="120"/>
      <c r="AX51" s="120"/>
      <c r="AY51" s="120"/>
      <c r="AZ51" s="120"/>
      <c r="BA51" s="120"/>
      <c r="BB51" s="120"/>
      <c r="BC51" s="120"/>
      <c r="BD51" s="120"/>
      <c r="BE51" s="120"/>
      <c r="BF51" s="120"/>
      <c r="BG51" s="120"/>
      <c r="BH51" s="120"/>
      <c r="BI51" s="120"/>
      <c r="BJ51" s="120"/>
      <c r="BK51" s="120"/>
      <c r="BL51" s="120"/>
      <c r="BM51" s="120"/>
      <c r="BN51" s="120"/>
      <c r="BO51" s="120"/>
      <c r="BP51" s="120"/>
      <c r="BQ51" s="120"/>
      <c r="BR51" s="120"/>
      <c r="BS51" s="120"/>
      <c r="BT51" s="120"/>
      <c r="BU51" s="120"/>
      <c r="BV51" s="120"/>
      <c r="BW51" s="120"/>
      <c r="BX51" s="120"/>
      <c r="BY51" s="120"/>
      <c r="BZ51" s="120"/>
      <c r="CA51" s="120"/>
      <c r="CB51" s="120"/>
      <c r="CC51" s="120"/>
      <c r="CD51" s="120"/>
      <c r="CE51" s="120"/>
      <c r="CF51" s="120"/>
      <c r="CG51" s="120"/>
      <c r="CH51" s="120"/>
      <c r="CI51" s="120"/>
      <c r="CJ51" s="120"/>
      <c r="CK51" s="120"/>
      <c r="CL51" s="120"/>
      <c r="CM51" s="120"/>
      <c r="CN51" s="120"/>
      <c r="CO51" s="120"/>
      <c r="CP51" s="120"/>
      <c r="CQ51" s="120"/>
      <c r="CR51" s="120"/>
      <c r="CS51" s="120"/>
      <c r="CT51" s="120"/>
      <c r="CU51" s="120"/>
      <c r="CV51" s="120"/>
      <c r="CW51" s="120"/>
      <c r="CX51" s="120"/>
      <c r="CY51" s="120"/>
      <c r="CZ51" s="120"/>
      <c r="DA51" s="120"/>
      <c r="DB51" s="120"/>
      <c r="DC51" s="120"/>
      <c r="DD51" s="120"/>
      <c r="DE51" s="120"/>
      <c r="DF51" s="120"/>
      <c r="DG51" s="120"/>
      <c r="DH51" s="120"/>
      <c r="DI51" s="120"/>
      <c r="DJ51" s="120"/>
      <c r="DK51" s="120"/>
      <c r="DL51" s="120"/>
      <c r="DM51" s="120"/>
      <c r="DN51" s="120"/>
      <c r="DO51" s="120"/>
      <c r="DP51" s="120"/>
      <c r="DQ51" s="120"/>
      <c r="DR51" s="120"/>
      <c r="DS51" s="120"/>
      <c r="DT51" s="120"/>
      <c r="DU51" s="120"/>
      <c r="DV51" s="120"/>
      <c r="DW51" s="120"/>
      <c r="DX51" s="120"/>
      <c r="DY51" s="120"/>
      <c r="DZ51" s="120"/>
      <c r="EA51" s="120"/>
      <c r="EB51" s="120"/>
      <c r="EC51" s="120"/>
      <c r="ED51" s="120"/>
      <c r="EE51" s="120"/>
      <c r="EF51" s="120"/>
      <c r="EG51" s="120"/>
      <c r="EH51" s="120"/>
      <c r="EI51" s="120"/>
      <c r="EJ51" s="120"/>
      <c r="EK51" s="120"/>
      <c r="EL51" s="120"/>
      <c r="EM51" s="120"/>
      <c r="EN51" s="120"/>
      <c r="EO51" s="120"/>
      <c r="EP51" s="120"/>
    </row>
    <row r="52" spans="1:146" s="118" customFormat="1" ht="45" customHeight="1">
      <c r="A52" s="126" t="s">
        <v>1049</v>
      </c>
      <c r="B52" s="126"/>
      <c r="C52" s="121" t="s">
        <v>859</v>
      </c>
      <c r="D52" s="121">
        <v>2012</v>
      </c>
      <c r="E52" s="121">
        <v>2012</v>
      </c>
      <c r="F52" s="121"/>
      <c r="G52" s="127" t="s">
        <v>36</v>
      </c>
      <c r="H52" s="121" t="s">
        <v>36</v>
      </c>
      <c r="I52" s="121" t="s">
        <v>57</v>
      </c>
      <c r="J52" s="121" t="s">
        <v>31</v>
      </c>
      <c r="K52" s="121"/>
      <c r="L52" s="128"/>
      <c r="M52" s="121"/>
      <c r="N52" s="121" t="s">
        <v>31</v>
      </c>
      <c r="O52" s="121"/>
      <c r="P52" s="121"/>
      <c r="Q52" s="121"/>
      <c r="R52" s="121"/>
      <c r="S52" s="124" t="s">
        <v>1050</v>
      </c>
      <c r="T52" s="123" t="s">
        <v>862</v>
      </c>
      <c r="U52" s="127"/>
      <c r="V52" s="121"/>
      <c r="W52" s="121"/>
      <c r="X52" s="119"/>
      <c r="Z52" s="120" t="s">
        <v>33</v>
      </c>
      <c r="AA52" s="120"/>
      <c r="AB52" s="120"/>
      <c r="AC52" s="120"/>
      <c r="AD52" s="120"/>
      <c r="AE52" s="120"/>
      <c r="AF52" s="120"/>
      <c r="AG52" s="120"/>
      <c r="AH52" s="120"/>
      <c r="AI52" s="120"/>
      <c r="AJ52" s="120"/>
      <c r="AK52" s="120"/>
      <c r="AL52" s="120"/>
      <c r="AM52" s="120"/>
      <c r="AN52" s="120"/>
      <c r="AO52" s="120"/>
      <c r="AP52" s="120"/>
      <c r="AQ52" s="120"/>
      <c r="AR52" s="120"/>
      <c r="AS52" s="120"/>
      <c r="AT52" s="120"/>
      <c r="AU52" s="120"/>
      <c r="AV52" s="120"/>
      <c r="AW52" s="120"/>
      <c r="AX52" s="120"/>
      <c r="AY52" s="120"/>
      <c r="AZ52" s="120"/>
      <c r="BA52" s="120"/>
      <c r="BB52" s="120"/>
      <c r="BC52" s="120"/>
      <c r="BD52" s="120"/>
      <c r="BE52" s="120"/>
      <c r="BF52" s="120"/>
      <c r="BG52" s="120"/>
      <c r="BH52" s="120"/>
      <c r="BI52" s="120"/>
      <c r="BJ52" s="120"/>
      <c r="BK52" s="120"/>
      <c r="BL52" s="120"/>
      <c r="BM52" s="120"/>
      <c r="BN52" s="120"/>
      <c r="BO52" s="120"/>
      <c r="BP52" s="120"/>
      <c r="BQ52" s="120"/>
      <c r="BR52" s="120"/>
      <c r="BS52" s="120"/>
      <c r="BT52" s="120"/>
      <c r="BU52" s="120"/>
      <c r="BV52" s="120"/>
      <c r="BW52" s="120"/>
      <c r="BX52" s="120"/>
      <c r="BY52" s="120"/>
      <c r="BZ52" s="120"/>
      <c r="CA52" s="120"/>
      <c r="CB52" s="120"/>
      <c r="CC52" s="120"/>
      <c r="CD52" s="120"/>
      <c r="CE52" s="120"/>
      <c r="CF52" s="120"/>
      <c r="CG52" s="120"/>
      <c r="CH52" s="120"/>
      <c r="CI52" s="120"/>
      <c r="CJ52" s="120"/>
      <c r="CK52" s="120"/>
      <c r="CL52" s="120"/>
      <c r="CM52" s="120"/>
      <c r="CN52" s="120"/>
      <c r="CO52" s="120"/>
      <c r="CP52" s="120"/>
      <c r="CQ52" s="120"/>
      <c r="CR52" s="120"/>
      <c r="CS52" s="120"/>
      <c r="CT52" s="120"/>
      <c r="CU52" s="120"/>
      <c r="CV52" s="120"/>
      <c r="CW52" s="120"/>
      <c r="CX52" s="120"/>
      <c r="CY52" s="120"/>
      <c r="CZ52" s="120"/>
      <c r="DA52" s="120"/>
      <c r="DB52" s="120"/>
      <c r="DC52" s="120"/>
      <c r="DD52" s="120"/>
      <c r="DE52" s="120"/>
      <c r="DF52" s="120"/>
      <c r="DG52" s="120"/>
      <c r="DH52" s="120"/>
      <c r="DI52" s="120"/>
      <c r="DJ52" s="120"/>
      <c r="DK52" s="120"/>
      <c r="DL52" s="120"/>
      <c r="DM52" s="120"/>
      <c r="DN52" s="120"/>
      <c r="DO52" s="120"/>
      <c r="DP52" s="120"/>
      <c r="DQ52" s="120"/>
      <c r="DR52" s="120"/>
      <c r="DS52" s="120"/>
      <c r="DT52" s="120"/>
      <c r="DU52" s="120"/>
      <c r="DV52" s="120"/>
      <c r="DW52" s="120"/>
      <c r="DX52" s="120"/>
      <c r="DY52" s="120"/>
      <c r="DZ52" s="120"/>
      <c r="EA52" s="120"/>
      <c r="EB52" s="120"/>
      <c r="EC52" s="120"/>
      <c r="ED52" s="120"/>
      <c r="EE52" s="120"/>
      <c r="EF52" s="120"/>
      <c r="EG52" s="120"/>
      <c r="EH52" s="120"/>
      <c r="EI52" s="120"/>
      <c r="EJ52" s="120"/>
      <c r="EK52" s="120"/>
      <c r="EL52" s="120"/>
      <c r="EM52" s="120"/>
      <c r="EN52" s="120"/>
      <c r="EO52" s="120"/>
      <c r="EP52" s="120"/>
    </row>
    <row r="53" spans="1:146" s="118" customFormat="1" ht="45" customHeight="1">
      <c r="A53" s="126" t="s">
        <v>1051</v>
      </c>
      <c r="B53" s="126"/>
      <c r="C53" s="121" t="s">
        <v>859</v>
      </c>
      <c r="D53" s="121">
        <v>2012</v>
      </c>
      <c r="E53" s="121">
        <v>2012</v>
      </c>
      <c r="F53" s="121" t="s">
        <v>35</v>
      </c>
      <c r="G53" s="127" t="s">
        <v>36</v>
      </c>
      <c r="H53" s="121" t="s">
        <v>37</v>
      </c>
      <c r="I53" s="121" t="s">
        <v>57</v>
      </c>
      <c r="J53" s="121" t="s">
        <v>31</v>
      </c>
      <c r="K53" s="121"/>
      <c r="L53" s="128"/>
      <c r="M53" s="121"/>
      <c r="N53" s="121" t="s">
        <v>31</v>
      </c>
      <c r="O53" s="121"/>
      <c r="P53" s="121"/>
      <c r="Q53" s="121"/>
      <c r="R53" s="121"/>
      <c r="S53" s="124" t="s">
        <v>1052</v>
      </c>
      <c r="T53" s="123" t="s">
        <v>862</v>
      </c>
      <c r="U53" s="127"/>
      <c r="V53" s="121"/>
      <c r="W53" s="121"/>
      <c r="X53" s="119"/>
      <c r="Z53" s="120" t="s">
        <v>33</v>
      </c>
      <c r="AA53" s="120"/>
      <c r="AB53" s="120"/>
      <c r="AC53" s="120"/>
      <c r="AD53" s="120"/>
      <c r="AE53" s="120"/>
      <c r="AF53" s="120"/>
      <c r="AG53" s="120"/>
      <c r="AH53" s="120"/>
      <c r="AI53" s="120"/>
      <c r="AJ53" s="120"/>
      <c r="AK53" s="120"/>
      <c r="AL53" s="120"/>
      <c r="AM53" s="120"/>
      <c r="AN53" s="120"/>
      <c r="AO53" s="120"/>
      <c r="AP53" s="120"/>
      <c r="AQ53" s="120"/>
      <c r="AR53" s="120"/>
      <c r="AS53" s="120"/>
      <c r="AT53" s="120"/>
      <c r="AU53" s="120"/>
      <c r="AV53" s="120"/>
      <c r="AW53" s="120"/>
      <c r="AX53" s="120"/>
      <c r="AY53" s="120"/>
      <c r="AZ53" s="120"/>
      <c r="BA53" s="120"/>
      <c r="BB53" s="120"/>
      <c r="BC53" s="120"/>
      <c r="BD53" s="120"/>
      <c r="BE53" s="120"/>
      <c r="BF53" s="120"/>
      <c r="BG53" s="120"/>
      <c r="BH53" s="120"/>
      <c r="BI53" s="120"/>
      <c r="BJ53" s="120"/>
      <c r="BK53" s="120"/>
      <c r="BL53" s="120"/>
      <c r="BM53" s="120"/>
      <c r="BN53" s="120"/>
      <c r="BO53" s="120"/>
      <c r="BP53" s="120"/>
      <c r="BQ53" s="120"/>
      <c r="BR53" s="120"/>
      <c r="BS53" s="120"/>
      <c r="BT53" s="120"/>
      <c r="BU53" s="120"/>
      <c r="BV53" s="120"/>
      <c r="BW53" s="120"/>
      <c r="BX53" s="120"/>
      <c r="BY53" s="120"/>
      <c r="BZ53" s="120"/>
      <c r="CA53" s="120"/>
      <c r="CB53" s="120"/>
      <c r="CC53" s="120"/>
      <c r="CD53" s="120"/>
      <c r="CE53" s="120"/>
      <c r="CF53" s="120"/>
      <c r="CG53" s="120"/>
      <c r="CH53" s="120"/>
      <c r="CI53" s="120"/>
      <c r="CJ53" s="120"/>
      <c r="CK53" s="120"/>
      <c r="CL53" s="120"/>
      <c r="CM53" s="120"/>
      <c r="CN53" s="120"/>
      <c r="CO53" s="120"/>
      <c r="CP53" s="120"/>
      <c r="CQ53" s="120"/>
      <c r="CR53" s="120"/>
      <c r="CS53" s="120"/>
      <c r="CT53" s="120"/>
      <c r="CU53" s="120"/>
      <c r="CV53" s="120"/>
      <c r="CW53" s="120"/>
      <c r="CX53" s="120"/>
      <c r="CY53" s="120"/>
      <c r="CZ53" s="120"/>
      <c r="DA53" s="120"/>
      <c r="DB53" s="120"/>
      <c r="DC53" s="120"/>
      <c r="DD53" s="120"/>
      <c r="DE53" s="120"/>
      <c r="DF53" s="120"/>
      <c r="DG53" s="120"/>
      <c r="DH53" s="120"/>
      <c r="DI53" s="120"/>
      <c r="DJ53" s="120"/>
      <c r="DK53" s="120"/>
      <c r="DL53" s="120"/>
      <c r="DM53" s="120"/>
      <c r="DN53" s="120"/>
      <c r="DO53" s="120"/>
      <c r="DP53" s="120"/>
      <c r="DQ53" s="120"/>
      <c r="DR53" s="120"/>
      <c r="DS53" s="120"/>
      <c r="DT53" s="120"/>
      <c r="DU53" s="120"/>
      <c r="DV53" s="120"/>
      <c r="DW53" s="120"/>
      <c r="DX53" s="120"/>
      <c r="DY53" s="120"/>
      <c r="DZ53" s="120"/>
      <c r="EA53" s="120"/>
      <c r="EB53" s="120"/>
      <c r="EC53" s="120"/>
      <c r="ED53" s="120"/>
      <c r="EE53" s="120"/>
      <c r="EF53" s="120"/>
      <c r="EG53" s="120"/>
      <c r="EH53" s="120"/>
      <c r="EI53" s="120"/>
      <c r="EJ53" s="120"/>
      <c r="EK53" s="120"/>
      <c r="EL53" s="120"/>
      <c r="EM53" s="120"/>
      <c r="EN53" s="120"/>
      <c r="EO53" s="120"/>
      <c r="EP53" s="120"/>
    </row>
    <row r="54" spans="1:146" s="118" customFormat="1" ht="45" customHeight="1">
      <c r="A54" s="126" t="s">
        <v>1053</v>
      </c>
      <c r="B54" s="126"/>
      <c r="C54" s="121" t="s">
        <v>859</v>
      </c>
      <c r="D54" s="121">
        <v>2012</v>
      </c>
      <c r="E54" s="121">
        <v>2012</v>
      </c>
      <c r="F54" s="121" t="s">
        <v>737</v>
      </c>
      <c r="G54" s="127" t="s">
        <v>271</v>
      </c>
      <c r="H54" s="121" t="s">
        <v>738</v>
      </c>
      <c r="I54" s="121" t="s">
        <v>57</v>
      </c>
      <c r="J54" s="121" t="s">
        <v>31</v>
      </c>
      <c r="K54" s="121"/>
      <c r="L54" s="128"/>
      <c r="M54" s="121"/>
      <c r="N54" s="121" t="s">
        <v>31</v>
      </c>
      <c r="O54" s="121"/>
      <c r="P54" s="121"/>
      <c r="Q54" s="121"/>
      <c r="R54" s="121"/>
      <c r="S54" s="124" t="s">
        <v>1054</v>
      </c>
      <c r="T54" s="121"/>
      <c r="U54" s="127"/>
      <c r="V54" s="121"/>
      <c r="W54" s="121"/>
      <c r="X54" s="119"/>
      <c r="Z54" s="120" t="s">
        <v>33</v>
      </c>
      <c r="AA54" s="120"/>
      <c r="AB54" s="120"/>
      <c r="AC54" s="120"/>
      <c r="AD54" s="120"/>
      <c r="AE54" s="120"/>
      <c r="AF54" s="120"/>
      <c r="AG54" s="120"/>
      <c r="AH54" s="120"/>
      <c r="AI54" s="120"/>
      <c r="AJ54" s="120"/>
      <c r="AK54" s="120"/>
      <c r="AL54" s="120"/>
      <c r="AM54" s="120"/>
      <c r="AN54" s="120"/>
      <c r="AO54" s="120"/>
      <c r="AP54" s="120"/>
      <c r="AQ54" s="120"/>
      <c r="AR54" s="120"/>
      <c r="AS54" s="120"/>
      <c r="AT54" s="120"/>
      <c r="AU54" s="120"/>
      <c r="AV54" s="120"/>
      <c r="AW54" s="120"/>
      <c r="AX54" s="120"/>
      <c r="AY54" s="120"/>
      <c r="AZ54" s="120"/>
      <c r="BA54" s="120"/>
      <c r="BB54" s="120"/>
      <c r="BC54" s="120"/>
      <c r="BD54" s="120"/>
      <c r="BE54" s="120"/>
      <c r="BF54" s="120"/>
      <c r="BG54" s="120"/>
      <c r="BH54" s="120"/>
      <c r="BI54" s="120"/>
      <c r="BJ54" s="120"/>
      <c r="BK54" s="120"/>
      <c r="BL54" s="120"/>
      <c r="BM54" s="120"/>
      <c r="BN54" s="120"/>
      <c r="BO54" s="120"/>
      <c r="BP54" s="120"/>
      <c r="BQ54" s="120"/>
      <c r="BR54" s="120"/>
      <c r="BS54" s="120"/>
      <c r="BT54" s="120"/>
      <c r="BU54" s="120"/>
      <c r="BV54" s="120"/>
      <c r="BW54" s="120"/>
      <c r="BX54" s="120"/>
      <c r="BY54" s="120"/>
      <c r="BZ54" s="120"/>
      <c r="CA54" s="120"/>
      <c r="CB54" s="120"/>
      <c r="CC54" s="120"/>
      <c r="CD54" s="120"/>
      <c r="CE54" s="120"/>
      <c r="CF54" s="120"/>
      <c r="CG54" s="120"/>
      <c r="CH54" s="120"/>
      <c r="CI54" s="120"/>
      <c r="CJ54" s="120"/>
      <c r="CK54" s="120"/>
      <c r="CL54" s="120"/>
      <c r="CM54" s="120"/>
      <c r="CN54" s="120"/>
      <c r="CO54" s="120"/>
      <c r="CP54" s="120"/>
      <c r="CQ54" s="120"/>
      <c r="CR54" s="120"/>
      <c r="CS54" s="120"/>
      <c r="CT54" s="120"/>
      <c r="CU54" s="120"/>
      <c r="CV54" s="120"/>
      <c r="CW54" s="120"/>
      <c r="CX54" s="120"/>
      <c r="CY54" s="120"/>
      <c r="CZ54" s="120"/>
      <c r="DA54" s="120"/>
      <c r="DB54" s="120"/>
      <c r="DC54" s="120"/>
      <c r="DD54" s="120"/>
      <c r="DE54" s="120"/>
      <c r="DF54" s="120"/>
      <c r="DG54" s="120"/>
      <c r="DH54" s="120"/>
      <c r="DI54" s="120"/>
      <c r="DJ54" s="120"/>
      <c r="DK54" s="120"/>
      <c r="DL54" s="120"/>
      <c r="DM54" s="120"/>
      <c r="DN54" s="120"/>
      <c r="DO54" s="120"/>
      <c r="DP54" s="120"/>
      <c r="DQ54" s="120"/>
      <c r="DR54" s="120"/>
      <c r="DS54" s="120"/>
      <c r="DT54" s="120"/>
      <c r="DU54" s="120"/>
      <c r="DV54" s="120"/>
      <c r="DW54" s="120"/>
      <c r="DX54" s="120"/>
      <c r="DY54" s="120"/>
      <c r="DZ54" s="120"/>
      <c r="EA54" s="120"/>
      <c r="EB54" s="120"/>
      <c r="EC54" s="120"/>
      <c r="ED54" s="120"/>
      <c r="EE54" s="120"/>
      <c r="EF54" s="120"/>
      <c r="EG54" s="120"/>
      <c r="EH54" s="120"/>
      <c r="EI54" s="120"/>
      <c r="EJ54" s="120"/>
      <c r="EK54" s="120"/>
      <c r="EL54" s="120"/>
      <c r="EM54" s="120"/>
      <c r="EN54" s="120"/>
      <c r="EO54" s="120"/>
      <c r="EP54" s="120"/>
    </row>
  </sheetData>
  <hyperlinks>
    <hyperlink ref="K1" r:id="rId1"/>
    <hyperlink ref="K23" r:id="rId2"/>
    <hyperlink ref="K25" r:id="rId3"/>
    <hyperlink ref="K21" r:id="rId4"/>
    <hyperlink ref="K26" r:id="rId5"/>
    <hyperlink ref="K22" r:id="rId6"/>
    <hyperlink ref="K24" r:id="rId7"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IyODMw&amp;qcf=ODVhZjk4NWQtM2YyMi00YjRmLTkxNjktZTcxMjM2NDBmY2Uy&amp;ph=VHJ1ZQ==&amp;bckToL=VHJ1ZQ==&amp;"/>
    <hyperlink ref="K15" r:id="rId8"/>
    <hyperlink ref="T27" r:id="rId9"/>
    <hyperlink ref="T28" r:id="rId10"/>
    <hyperlink ref="T29" r:id="rId11"/>
    <hyperlink ref="T30" r:id="rId12"/>
    <hyperlink ref="T33" r:id="rId13"/>
    <hyperlink ref="T31" r:id="rId14"/>
    <hyperlink ref="T32" r:id="rId15"/>
    <hyperlink ref="T34" r:id="rId16"/>
    <hyperlink ref="T37" r:id="rId17"/>
    <hyperlink ref="T35" r:id="rId18"/>
    <hyperlink ref="T36" r:id="rId19"/>
    <hyperlink ref="T40" r:id="rId20"/>
    <hyperlink ref="T46" r:id="rId21"/>
    <hyperlink ref="T48" r:id="rId22"/>
    <hyperlink ref="T41" r:id="rId23"/>
    <hyperlink ref="T45" r:id="rId24"/>
    <hyperlink ref="T42" r:id="rId25"/>
    <hyperlink ref="T47" r:id="rId26"/>
    <hyperlink ref="T53" r:id="rId27"/>
    <hyperlink ref="T50" r:id="rId28"/>
    <hyperlink ref="X49" r:id="rId29" display="https://dec.usaid.gov/dec/content/Detail.aspx?q=KERvY3VtZW50cy5JbnN0aXR1dGlvbl9vcl9VU0FJRF9CdXJlYXVfQXV0aG9yOigoIjAwNTkzMSAtIERldmVsb3BtZW50IFRlY2hub2xvZ2llcywgSW5jLiAoRGV2VGVjaCkiKSBPUiAoIjAwOTA1NCAtIERldlRlY2ggU3lzdGVtcywgSW5jLiIpKSk=&amp;ctID=ODVhZjk4NWQtM2YyMi00YjRmLTkxNjktZTcxMjM2NDBmY2Uy&amp;rID=MzQ4MTEz&amp;qcf=ODVhZjk4NWQtM2YyMi00YjRmLTkxNjktZTcxMjM2NDBmY2Uy&amp;ph=VHJ1ZQ==&amp;bckToL=VHJ1ZQ==&amp;"/>
    <hyperlink ref="T52" r:id="rId30"/>
  </hyperlinks>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MASTER</vt:lpstr>
      <vt:lpstr>DEC</vt:lpstr>
      <vt:lpstr>Gender TDYs</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2017-11-13T19:16:56Z</dcterms:modified>
  <cp:category/>
  <cp:contentStatus/>
</cp:coreProperties>
</file>